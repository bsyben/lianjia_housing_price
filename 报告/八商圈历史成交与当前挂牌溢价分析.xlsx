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7ab2f67e04e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圈对比" sheetId="1" r:id="R8221312af0b243da"/>
    <x:sheet xmlns:r="http://schemas.openxmlformats.org/officeDocument/2006/relationships" name="小区对比" sheetId="2" r:id="Rfbe5a9bf9aad400d"/>
    <x:sheet xmlns:r="http://schemas.openxmlformats.org/officeDocument/2006/relationships" name="在售逐套估值" sheetId="3" r:id="R0643aef10ccb4e64"/>
    <x:sheet xmlns:r="http://schemas.openxmlformats.org/officeDocument/2006/relationships" name="历史成交明细" sheetId="4" r:id="Ra19c628d53df426d"/>
    <x:sheet xmlns:r="http://schemas.openxmlformats.org/officeDocument/2006/relationships" name="成交季度变化" sheetId="5" r:id="R227fcfb567a5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"/>
  </x:numFmts>
  <x:fonts count="5">
    <x:font>
      <x:sz val="11"/>
      <x:name val="Carlito"/>
    </x:font>
    <x:font>
      <x:b/>
      <x:sz val="15"/>
      <x:color rgb="FF223E58"/>
      <x:name val="Arial"/>
    </x:font>
    <x:font>
      <x:i/>
      <x:sz val="10"/>
      <x:color rgb="FF536D82"/>
      <x:name val="Arial"/>
    </x:font>
    <x:font>
      <x:b/>
      <x:sz val="10"/>
      <x:color rgb="FFFFFFFF"/>
      <x:name val="Arial"/>
    </x:font>
    <x:font>
      <x:sz val="10"/>
      <x:color rgb="FF25384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E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5d964588bb45b8" /><Relationship Type="http://schemas.openxmlformats.org/officeDocument/2006/relationships/theme" Target="/xl/theme/theme1.xml" Id="Rf743f234d29b4ec1" /><Relationship Type="http://schemas.openxmlformats.org/officeDocument/2006/relationships/sharedStrings" Target="/xl/sharedStrings.xml" Id="R75e0290b3ca049a6" /><Relationship Type="http://schemas.openxmlformats.org/officeDocument/2006/relationships/worksheet" Target="/xl/worksheets/sheet1.xml" Id="R8221312af0b243da" /><Relationship Type="http://schemas.openxmlformats.org/officeDocument/2006/relationships/worksheet" Target="/xl/worksheets/sheet2.xml" Id="Rfbe5a9bf9aad400d" /><Relationship Type="http://schemas.openxmlformats.org/officeDocument/2006/relationships/worksheet" Target="/xl/worksheets/sheet3.xml" Id="R0643aef10ccb4e64" /><Relationship Type="http://schemas.openxmlformats.org/officeDocument/2006/relationships/worksheet" Target="/xl/worksheets/sheet4.xml" Id="Ra19c628d53df426d" /><Relationship Type="http://schemas.openxmlformats.org/officeDocument/2006/relationships/worksheet" Target="/xl/worksheets/sheet5.xml" Id="R227fcfb567a548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4" hidden="0" customWidth="1"/>
    <x:col min="5" max="5" width="17" hidden="0" customWidth="1"/>
    <x:col min="6" max="6" width="24" hidden="0" customWidth="1"/>
    <x:col min="7" max="7" width="25" hidden="0" customWidth="1"/>
    <x:col min="8" max="8" width="23" hidden="0" customWidth="1"/>
    <x:col min="9" max="9" width="24" hidden="0" customWidth="1"/>
    <x:col min="10" max="10" width="20" hidden="0" customWidth="1"/>
    <x:col min="11" max="11" width="19" hidden="0" customWidth="1"/>
  </x:cols>
  <x:sheetData>
    <x:row r="2">
      <x:c r="A2" s="1" t="str">
        <x:v>八个商圈：挂牌相对实际成交价格的溢价</x:v>
      </x:c>
    </x:row>
    <x:row r="3">
      <x:c r="A3" s="2" t="str">
        <x:v>25–60㎡精简装在售；严格匹配同商圈/小区/室厅，面积差≤15%。挂牌溢价≠能够实际砍价的幅度。</x:v>
      </x:c>
    </x:row>
    <x:row r="6" ht="30" customHeight="1">
      <x:c r="A6" s="7" t="str">
        <x:v>商圈</x:v>
      </x:c>
      <x:c r="B6" s="7" t="str">
        <x:v>在售房源</x:v>
      </x:c>
      <x:c r="C6" s="7" t="str">
        <x:v>有成交可比</x:v>
      </x:c>
      <x:c r="D6" s="7" t="str">
        <x:v>匹配率</x:v>
      </x:c>
      <x:c r="E6" s="7" t="str">
        <x:v>近12月匹配</x:v>
      </x:c>
      <x:c r="F6" s="7" t="str">
        <x:v>全部成交参照溢价中位数</x:v>
      </x:c>
      <x:c r="G6" s="7" t="str">
        <x:v>近12月成交参照溢价中位数</x:v>
      </x:c>
      <x:c r="H6" s="7" t="str">
        <x:v>成交挂牌折让中位数</x:v>
      </x:c>
      <x:c r="I6" s="7" t="str">
        <x:v>近12月成交折让中位数</x:v>
      </x:c>
      <x:c r="J6" s="7" t="str">
        <x:v>历史精简装成交</x:v>
      </x:c>
      <x:c r="K6" s="7" t="str">
        <x:v>近12月成交</x:v>
      </x:c>
    </x:row>
    <x:row r="7" ht="22" customHeight="1">
      <x:c r="A7" s="6" t="str">
        <x:v>华西</x:v>
      </x:c>
      <x:c r="B7" s="6" t="n">
        <x:v>28</x:v>
      </x:c>
      <x:c r="C7" s="6" t="n">
        <x:v>17</x:v>
      </x:c>
      <x:c r="D7" s="8" t="n">
        <x:f>C7/B7</x:f>
        <x:v>0.6071428571428571</x:v>
      </x:c>
      <x:c r="E7" s="8" t="n">
        <x:v>10</x:v>
      </x:c>
      <x:c r="F7" s="8" t="n">
        <x:v>0.1314855796655534</x:v>
      </x:c>
      <x:c r="G7" s="8" t="n">
        <x:v>0.12191700533553874</x:v>
      </x:c>
      <x:c r="H7" s="8" t="n">
        <x:v>0.0574</x:v>
      </x:c>
      <x:c r="I7" s="8" t="n">
        <x:v>0.059500000000000004</x:v>
      </x:c>
      <x:c r="J7" s="6" t="n">
        <x:v>49</x:v>
      </x:c>
      <x:c r="K7" s="6" t="n">
        <x:v>22</x:v>
      </x:c>
    </x:row>
    <x:row r="8" ht="22" customHeight="1">
      <x:c r="A8" s="6" t="str">
        <x:v>合江亭</x:v>
      </x:c>
      <x:c r="B8" s="6" t="n">
        <x:v>166</x:v>
      </x:c>
      <x:c r="C8" s="6" t="n">
        <x:v>145</x:v>
      </x:c>
      <x:c r="D8" s="8" t="n">
        <x:f>C8/B8</x:f>
        <x:v>0.8734939759036144</x:v>
      </x:c>
      <x:c r="E8" s="8" t="n">
        <x:v>126</x:v>
      </x:c>
      <x:c r="F8" s="8" t="n">
        <x:v>0.014776620979048971</x:v>
      </x:c>
      <x:c r="G8" s="8" t="n">
        <x:v>0.025452214603401413</x:v>
      </x:c>
      <x:c r="H8" s="8" t="n">
        <x:v>0.034300000000000004</x:v>
      </x:c>
      <x:c r="I8" s="8" t="n">
        <x:v>0.04385</x:v>
      </x:c>
      <x:c r="J8" s="6" t="n">
        <x:v>141</x:v>
      </x:c>
      <x:c r="K8" s="6" t="n">
        <x:v>48</x:v>
      </x:c>
    </x:row>
    <x:row r="9" ht="22" customHeight="1">
      <x:c r="A9" s="6" t="str">
        <x:v>川大</x:v>
      </x:c>
      <x:c r="B9" s="6" t="n">
        <x:v>40</x:v>
      </x:c>
      <x:c r="C9" s="6" t="n">
        <x:v>29</x:v>
      </x:c>
      <x:c r="D9" s="8" t="n">
        <x:f>C9/B9</x:f>
        <x:v>0.725</x:v>
      </x:c>
      <x:c r="E9" s="8" t="n">
        <x:v>22</x:v>
      </x:c>
      <x:c r="F9" s="8" t="n">
        <x:v>0.12354526168380332</x:v>
      </x:c>
      <x:c r="G9" s="8" t="n">
        <x:v>0.1589936554848812</x:v>
      </x:c>
      <x:c r="H9" s="8" t="n">
        <x:v>0.051050000000000005</x:v>
      </x:c>
      <x:c r="I9" s="8" t="n">
        <x:v>0.0632</x:v>
      </x:c>
      <x:c r="J9" s="6" t="n">
        <x:v>48</x:v>
      </x:c>
      <x:c r="K9" s="6" t="n">
        <x:v>20</x:v>
      </x:c>
    </x:row>
    <x:row r="10" ht="22" customHeight="1">
      <x:c r="A10" s="6" t="str">
        <x:v>川音</x:v>
      </x:c>
      <x:c r="B10" s="6" t="n">
        <x:v>28</x:v>
      </x:c>
      <x:c r="C10" s="6" t="n">
        <x:v>21</x:v>
      </x:c>
      <x:c r="D10" s="8" t="n">
        <x:f>C10/B10</x:f>
        <x:v>0.75</x:v>
      </x:c>
      <x:c r="E10" s="8" t="n">
        <x:v>14</x:v>
      </x:c>
      <x:c r="F10" s="8" t="n">
        <x:v>0.09703045799764265</x:v>
      </x:c>
      <x:c r="G10" s="8" t="n">
        <x:v>0.09523446695536653</x:v>
      </x:c>
      <x:c r="H10" s="8" t="n">
        <x:v>0.0441</x:v>
      </x:c>
      <x:c r="I10" s="8" t="n">
        <x:v>0.050649999999999994</x:v>
      </x:c>
      <x:c r="J10" s="6" t="n">
        <x:v>41</x:v>
      </x:c>
      <x:c r="K10" s="6" t="n">
        <x:v>12</x:v>
      </x:c>
    </x:row>
    <x:row r="11" ht="22" customHeight="1">
      <x:c r="A11" s="6" t="str">
        <x:v>棕北</x:v>
      </x:c>
      <x:c r="B11" s="6" t="n">
        <x:v>33</x:v>
      </x:c>
      <x:c r="C11" s="6" t="n">
        <x:v>31</x:v>
      </x:c>
      <x:c r="D11" s="8" t="n">
        <x:f>C11/B11</x:f>
        <x:v>0.9393939393939394</x:v>
      </x:c>
      <x:c r="E11" s="8" t="n">
        <x:v>21</x:v>
      </x:c>
      <x:c r="F11" s="8" t="n">
        <x:v>0.09167330986264834</x:v>
      </x:c>
      <x:c r="G11" s="8" t="n">
        <x:v>0.13837097853497382</x:v>
      </x:c>
      <x:c r="H11" s="8" t="n">
        <x:v>0.0429</x:v>
      </x:c>
      <x:c r="I11" s="8" t="n">
        <x:v>0.0429</x:v>
      </x:c>
      <x:c r="J11" s="6" t="n">
        <x:v>51</x:v>
      </x:c>
      <x:c r="K11" s="6" t="n">
        <x:v>15</x:v>
      </x:c>
    </x:row>
    <x:row r="12" ht="22" customHeight="1">
      <x:c r="A12" s="6" t="str">
        <x:v>玉林</x:v>
      </x:c>
      <x:c r="B12" s="6" t="n">
        <x:v>11</x:v>
      </x:c>
      <x:c r="C12" s="6" t="n">
        <x:v>11</x:v>
      </x:c>
      <x:c r="D12" s="8" t="n">
        <x:f>C12/B12</x:f>
        <x:v>1</x:v>
      </x:c>
      <x:c r="E12" s="8" t="n">
        <x:v>1</x:v>
      </x:c>
      <x:c r="F12" s="8" t="n">
        <x:v>0.019239601230767178</x:v>
      </x:c>
      <x:c r="G12" s="8" t="n">
        <x:v>0.10959377145643412</x:v>
      </x:c>
      <x:c r="H12" s="8" t="n">
        <x:v>0.04165</x:v>
      </x:c>
      <x:c r="I12" s="8" t="n">
        <x:v>0.0533</x:v>
      </x:c>
      <x:c r="J12" s="6" t="n">
        <x:v>22</x:v>
      </x:c>
      <x:c r="K12" s="6" t="n">
        <x:v>1</x:v>
      </x:c>
    </x:row>
    <x:row r="13" ht="22" customHeight="1">
      <x:c r="A13" s="6" t="str">
        <x:v>盐市口</x:v>
      </x:c>
      <x:c r="B13" s="6" t="n">
        <x:v>197</x:v>
      </x:c>
      <x:c r="C13" s="6" t="n">
        <x:v>159</x:v>
      </x:c>
      <x:c r="D13" s="8" t="n">
        <x:f>C13/B13</x:f>
        <x:v>0.8071065989847716</x:v>
      </x:c>
      <x:c r="E13" s="8" t="n">
        <x:v>138</x:v>
      </x:c>
      <x:c r="F13" s="8" t="n">
        <x:v>0.05260764597352319</x:v>
      </x:c>
      <x:c r="G13" s="8" t="n">
        <x:v>0.05982323095486897</x:v>
      </x:c>
      <x:c r="H13" s="8" t="n">
        <x:v>0.0446</x:v>
      </x:c>
      <x:c r="I13" s="8" t="n">
        <x:v>0.0572</x:v>
      </x:c>
      <x:c r="J13" s="6" t="n">
        <x:v>195</x:v>
      </x:c>
      <x:c r="K13" s="6" t="n">
        <x:v>83</x:v>
      </x:c>
    </x:row>
    <x:row r="14" ht="22" customHeight="1">
      <x:c r="A14" s="6" t="str">
        <x:v>西南财大</x:v>
      </x:c>
      <x:c r="B14" s="6" t="n">
        <x:v>36</x:v>
      </x:c>
      <x:c r="C14" s="6" t="n">
        <x:v>28</x:v>
      </x:c>
      <x:c r="D14" s="8" t="n">
        <x:f>C14/B14</x:f>
        <x:v>0.7777777777777778</x:v>
      </x:c>
      <x:c r="E14" s="8" t="n">
        <x:v>10</x:v>
      </x:c>
      <x:c r="F14" s="8" t="n">
        <x:v>0.07903066785503599</x:v>
      </x:c>
      <x:c r="G14" s="8" t="n">
        <x:v>0.06887308760558641</x:v>
      </x:c>
      <x:c r="H14" s="8" t="n">
        <x:v>0.024050000000000002</x:v>
      </x:c>
      <x:c r="I14" s="8" t="n">
        <x:v>0.0231</x:v>
      </x:c>
      <x:c r="J14" s="6" t="n">
        <x:v>44</x:v>
      </x:c>
      <x:c r="K14" s="6" t="n">
        <x:v>5</x:v>
      </x:c>
    </x:row>
    <x:row r="18">
      <x:c r="A18" t="str">
        <x:v>溢价=(当前挂牌单价÷同户型历史成交单价中位数)-1；同样价差不等于同一套房源的实际议价率。</x:v>
      </x:c>
    </x:row>
    <x:row r="19">
      <x:c r="A19" t="str">
        <x:v>历史成交折让=(当时挂牌价－成交价)÷当时挂牌价；两种指标的样本与经济含义不同。</x:v>
      </x:c>
    </x:row>
    <x:row r="20">
      <x:c r="A20" t="str">
        <x:v>最近12个月：2025-10-27起；数据实际起止：2024-08-11至2026-09-25。玉林近12月可比仅1套在售，谨慎解读。</x:v>
      </x:c>
    </x:row>
    <x:row r="21">
      <x:c r="A21" t="str">
        <x:v>仅精装和简装房源。参考价未按年份或楼层、装修差异做因果或时间趋势调整；挂牌与成交不是同一套房。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6" hidden="0" customWidth="1"/>
    <x:col min="4" max="4" width="17" hidden="0" customWidth="1"/>
    <x:col min="5" max="5" width="15" hidden="0" customWidth="1"/>
    <x:col min="6" max="6" width="18" hidden="0" customWidth="1"/>
    <x:col min="7" max="7" width="23" hidden="0" customWidth="1"/>
    <x:col min="8" max="8" width="24" hidden="0" customWidth="1"/>
  </x:cols>
  <x:sheetData>
    <x:row r="2">
      <x:c r="A2" s="1" t="str">
        <x:v>小区当前挂牌与历史成交价差</x:v>
      </x:c>
    </x:row>
    <x:row r="3">
      <x:c r="A3" s="2" t="str">
        <x:v>逐套匹配后再按在售房源取中位数；未匹配的小区保留为空。</x:v>
      </x:c>
    </x:row>
    <x:row r="6" ht="30" customHeight="1">
      <x:c r="A6" s="7" t="str">
        <x:v>商圈</x:v>
      </x:c>
      <x:c r="B6" s="7" t="str">
        <x:v>小区</x:v>
      </x:c>
      <x:c r="C6" s="7" t="str">
        <x:v>在售房源</x:v>
      </x:c>
      <x:c r="D6" s="7" t="str">
        <x:v>可匹配数</x:v>
      </x:c>
      <x:c r="E6" s="7" t="str">
        <x:v>覆盖率</x:v>
      </x:c>
      <x:c r="F6" s="7" t="str">
        <x:v>近12月匹配</x:v>
      </x:c>
      <x:c r="G6" s="7" t="str">
        <x:v>全部参照溢价</x:v>
      </x:c>
      <x:c r="H6" s="7" t="str">
        <x:v>近12月参照溢价</x:v>
      </x:c>
    </x:row>
    <x:row r="7" ht="22" customHeight="1">
      <x:c r="A7" s="6" t="str">
        <x:v>华西</x:v>
      </x:c>
      <x:c r="B7" s="6" t="str">
        <x:v>丽景天成</x:v>
      </x:c>
      <x:c r="C7" s="6" t="n">
        <x:v>4</x:v>
      </x:c>
      <x:c r="D7" s="6" t="n">
        <x:v>2</x:v>
      </x:c>
      <x:c r="E7" s="8" t="n">
        <x:f>D7/C7</x:f>
        <x:v>0.5</x:v>
      </x:c>
      <x:c r="F7" s="8" t="n">
        <x:v>0</x:v>
      </x:c>
      <x:c r="G7" s="8" t="n">
        <x:v>-0.03580471018824399</x:v>
      </x:c>
      <x:c r="H7" s="8"/>
    </x:row>
    <x:row r="8" ht="22" customHeight="1">
      <x:c r="A8" s="6" t="str">
        <x:v>华西</x:v>
      </x:c>
      <x:c r="B8" s="6" t="str">
        <x:v>傲仕门</x:v>
      </x:c>
      <x:c r="C8" s="6" t="n">
        <x:v>2</x:v>
      </x:c>
      <x:c r="D8" s="6" t="n">
        <x:v>2</x:v>
      </x:c>
      <x:c r="E8" s="8" t="n">
        <x:f>D8/C8</x:f>
        <x:v>1</x:v>
      </x:c>
      <x:c r="F8" s="8" t="n">
        <x:v>2</x:v>
      </x:c>
      <x:c r="G8" s="8" t="n">
        <x:v>0.1383211825415528</x:v>
      </x:c>
      <x:c r="H8" s="8" t="n">
        <x:v>0.1383211825415528</x:v>
      </x:c>
    </x:row>
    <x:row r="9" ht="22" customHeight="1">
      <x:c r="A9" s="6" t="str">
        <x:v>华西</x:v>
      </x:c>
      <x:c r="B9" s="6" t="str">
        <x:v>凯蒂阳光</x:v>
      </x:c>
      <x:c r="C9" s="6" t="n">
        <x:v>2</x:v>
      </x:c>
      <x:c r="D9" s="6" t="n">
        <x:v>2</x:v>
      </x:c>
      <x:c r="E9" s="8" t="n">
        <x:f>D9/C9</x:f>
        <x:v>1</x:v>
      </x:c>
      <x:c r="F9" s="8" t="n">
        <x:v>2</x:v>
      </x:c>
      <x:c r="G9" s="8" t="n">
        <x:v>0.2793436003379305</x:v>
      </x:c>
      <x:c r="H9" s="8" t="n">
        <x:v>0.2793436003379305</x:v>
      </x:c>
    </x:row>
    <x:row r="10" ht="22" customHeight="1">
      <x:c r="A10" s="6" t="str">
        <x:v>华西</x:v>
      </x:c>
      <x:c r="B10" s="6" t="str">
        <x:v>天乐嘉苑</x:v>
      </x:c>
      <x:c r="C10" s="6" t="n">
        <x:v>1</x:v>
      </x:c>
      <x:c r="D10" s="6" t="n">
        <x:v>0</x:v>
      </x:c>
      <x:c r="E10" s="8" t="n">
        <x:f>D10/C10</x:f>
        <x:v>0</x:v>
      </x:c>
      <x:c r="F10" s="8" t="n">
        <x:v>0</x:v>
      </x:c>
      <x:c r="G10" s="8"/>
      <x:c r="H10" s="8"/>
    </x:row>
    <x:row r="11" ht="22" customHeight="1">
      <x:c r="A11" s="6" t="str">
        <x:v>华西</x:v>
      </x:c>
      <x:c r="B11" s="6" t="str">
        <x:v>天竺丽苑</x:v>
      </x:c>
      <x:c r="C11" s="6" t="n">
        <x:v>1</x:v>
      </x:c>
      <x:c r="D11" s="6" t="n">
        <x:v>1</x:v>
      </x:c>
      <x:c r="E11" s="8" t="n">
        <x:f>D11/C11</x:f>
        <x:v>1</x:v>
      </x:c>
      <x:c r="F11" s="8" t="n">
        <x:v>0</x:v>
      </x:c>
      <x:c r="G11" s="8" t="n">
        <x:v>0.21932376499085415</x:v>
      </x:c>
      <x:c r="H11" s="8"/>
    </x:row>
    <x:row r="12" ht="22" customHeight="1">
      <x:c r="A12" s="6" t="str">
        <x:v>华西</x:v>
      </x:c>
      <x:c r="B12" s="6" t="str">
        <x:v>米兰风度花园</x:v>
      </x:c>
      <x:c r="C12" s="6" t="n">
        <x:v>3</x:v>
      </x:c>
      <x:c r="D12" s="6" t="n">
        <x:v>2</x:v>
      </x:c>
      <x:c r="E12" s="8" t="n">
        <x:f>D12/C12</x:f>
        <x:v>0.6666666666666666</x:v>
      </x:c>
      <x:c r="F12" s="8" t="n">
        <x:v>0</x:v>
      </x:c>
      <x:c r="G12" s="8" t="n">
        <x:v>0.1650885661202547</x:v>
      </x:c>
      <x:c r="H12" s="8"/>
    </x:row>
    <x:row r="13" ht="22" customHeight="1">
      <x:c r="A13" s="6" t="str">
        <x:v>华西</x:v>
      </x:c>
      <x:c r="B13" s="6" t="str">
        <x:v>艺墅花乡</x:v>
      </x:c>
      <x:c r="C13" s="6" t="n">
        <x:v>9</x:v>
      </x:c>
      <x:c r="D13" s="6" t="n">
        <x:v>2</x:v>
      </x:c>
      <x:c r="E13" s="8" t="n">
        <x:f>D13/C13</x:f>
        <x:v>0.2222222222222222</x:v>
      </x:c>
      <x:c r="F13" s="8" t="n">
        <x:v>1</x:v>
      </x:c>
      <x:c r="G13" s="8" t="n">
        <x:v>0.4047800510368988</x:v>
      </x:c>
      <x:c r="H13" s="8" t="n">
        <x:v>0.704432031544524</x:v>
      </x:c>
    </x:row>
    <x:row r="14" ht="22" customHeight="1">
      <x:c r="A14" s="6" t="str">
        <x:v>华西</x:v>
      </x:c>
      <x:c r="B14" s="6" t="str">
        <x:v>金茂礼都</x:v>
      </x:c>
      <x:c r="C14" s="6" t="n">
        <x:v>4</x:v>
      </x:c>
      <x:c r="D14" s="6" t="n">
        <x:v>4</x:v>
      </x:c>
      <x:c r="E14" s="8" t="n">
        <x:f>D14/C14</x:f>
        <x:v>1</x:v>
      </x:c>
      <x:c r="F14" s="8" t="n">
        <x:v>3</x:v>
      </x:c>
      <x:c r="G14" s="8" t="n">
        <x:v>0.1000110043984428</x:v>
      </x:c>
      <x:c r="H14" s="8" t="n">
        <x:v>0.08767357779136153</x:v>
      </x:c>
    </x:row>
    <x:row r="15" ht="22" customHeight="1">
      <x:c r="A15" s="6" t="str">
        <x:v>华西</x:v>
      </x:c>
      <x:c r="B15" s="6" t="str">
        <x:v>黉门公馆</x:v>
      </x:c>
      <x:c r="C15" s="6" t="n">
        <x:v>2</x:v>
      </x:c>
      <x:c r="D15" s="6" t="n">
        <x:v>2</x:v>
      </x:c>
      <x:c r="E15" s="8" t="n">
        <x:f>D15/C15</x:f>
        <x:v>1</x:v>
      </x:c>
      <x:c r="F15" s="8" t="n">
        <x:v>2</x:v>
      </x:c>
      <x:c r="G15" s="8" t="n">
        <x:v>0.08489499697344238</x:v>
      </x:c>
      <x:c r="H15" s="8" t="n">
        <x:v>0.08489499697344238</x:v>
      </x:c>
    </x:row>
    <x:row r="16" ht="22" customHeight="1">
      <x:c r="A16" s="6" t="str">
        <x:v>合江亭</x:v>
      </x:c>
      <x:c r="B16" s="6" t="str">
        <x:v>SOHO我的寓所</x:v>
      </x:c>
      <x:c r="C16" s="6" t="n">
        <x:v>6</x:v>
      </x:c>
      <x:c r="D16" s="6" t="n">
        <x:v>5</x:v>
      </x:c>
      <x:c r="E16" s="8" t="n">
        <x:f>D16/C16</x:f>
        <x:v>0.8333333333333334</x:v>
      </x:c>
      <x:c r="F16" s="8" t="n">
        <x:v>4</x:v>
      </x:c>
      <x:c r="G16" s="8" t="n">
        <x:v>0.0009000280721178644</x:v>
      </x:c>
      <x:c r="H16" s="8" t="n">
        <x:v>0.07333378578999816</x:v>
      </x:c>
    </x:row>
    <x:row r="17" ht="22" customHeight="1">
      <x:c r="A17" s="6" t="str">
        <x:v>合江亭</x:v>
      </x:c>
      <x:c r="B17" s="6" t="str">
        <x:v>上东吉座</x:v>
      </x:c>
      <x:c r="C17" s="6" t="n">
        <x:v>2</x:v>
      </x:c>
      <x:c r="D17" s="6" t="n">
        <x:v>0</x:v>
      </x:c>
      <x:c r="E17" s="8" t="n">
        <x:f>D17/C17</x:f>
        <x:v>0</x:v>
      </x:c>
      <x:c r="F17" s="8" t="n">
        <x:v>0</x:v>
      </x:c>
      <x:c r="G17" s="8"/>
      <x:c r="H17" s="8"/>
    </x:row>
    <x:row r="18" ht="22" customHeight="1">
      <x:c r="A18" s="6" t="str">
        <x:v>合江亭</x:v>
      </x:c>
      <x:c r="B18" s="6" t="str">
        <x:v>喜年广场</x:v>
      </x:c>
      <x:c r="C18" s="6" t="n">
        <x:v>27</x:v>
      </x:c>
      <x:c r="D18" s="6" t="n">
        <x:v>27</x:v>
      </x:c>
      <x:c r="E18" s="8" t="n">
        <x:f>D18/C18</x:f>
        <x:v>1</x:v>
      </x:c>
      <x:c r="F18" s="8" t="n">
        <x:v>27</x:v>
      </x:c>
      <x:c r="G18" s="8" t="n">
        <x:v>-0.04736432450434681</x:v>
      </x:c>
      <x:c r="H18" s="8" t="n">
        <x:v>-0.04736432450434681</x:v>
      </x:c>
    </x:row>
    <x:row r="19" ht="22" customHeight="1">
      <x:c r="A19" s="6" t="str">
        <x:v>合江亭</x:v>
      </x:c>
      <x:c r="B19" s="6" t="str">
        <x:v>国际商务大厦</x:v>
      </x:c>
      <x:c r="C19" s="6" t="n">
        <x:v>7</x:v>
      </x:c>
      <x:c r="D19" s="6" t="n">
        <x:v>5</x:v>
      </x:c>
      <x:c r="E19" s="8" t="n">
        <x:f>D19/C19</x:f>
        <x:v>0.7142857142857143</x:v>
      </x:c>
      <x:c r="F19" s="8" t="n">
        <x:v>0</x:v>
      </x:c>
      <x:c r="G19" s="8" t="n">
        <x:v>0.007432110323792651</x:v>
      </x:c>
      <x:c r="H19" s="8"/>
    </x:row>
    <x:row r="20" ht="22" customHeight="1">
      <x:c r="A20" s="6" t="str">
        <x:v>合江亭</x:v>
      </x:c>
      <x:c r="B20" s="6" t="str">
        <x:v>星城银座</x:v>
      </x:c>
      <x:c r="C20" s="6" t="n">
        <x:v>17</x:v>
      </x:c>
      <x:c r="D20" s="6" t="n">
        <x:v>16</x:v>
      </x:c>
      <x:c r="E20" s="8" t="n">
        <x:f>D20/C20</x:f>
        <x:v>0.9411764705882353</x:v>
      </x:c>
      <x:c r="F20" s="8" t="n">
        <x:v>8</x:v>
      </x:c>
      <x:c r="G20" s="8" t="n">
        <x:v>0.07609444727160486</x:v>
      </x:c>
      <x:c r="H20" s="8" t="n">
        <x:v>0.09265524298309401</x:v>
      </x:c>
    </x:row>
    <x:row r="21" ht="22" customHeight="1">
      <x:c r="A21" s="6" t="str">
        <x:v>合江亭</x:v>
      </x:c>
      <x:c r="B21" s="6" t="str">
        <x:v>水岸银座</x:v>
      </x:c>
      <x:c r="C21" s="6" t="n">
        <x:v>1</x:v>
      </x:c>
      <x:c r="D21" s="6" t="n">
        <x:v>0</x:v>
      </x:c>
      <x:c r="E21" s="8" t="n">
        <x:f>D21/C21</x:f>
        <x:v>0</x:v>
      </x:c>
      <x:c r="F21" s="8" t="n">
        <x:v>0</x:v>
      </x:c>
      <x:c r="G21" s="8"/>
      <x:c r="H21" s="8"/>
    </x:row>
    <x:row r="22" ht="22" customHeight="1">
      <x:c r="A22" s="6" t="str">
        <x:v>合江亭</x:v>
      </x:c>
      <x:c r="B22" s="6" t="str">
        <x:v>流星花园</x:v>
      </x:c>
      <x:c r="C22" s="6" t="n">
        <x:v>25</x:v>
      </x:c>
      <x:c r="D22" s="6" t="n">
        <x:v>23</x:v>
      </x:c>
      <x:c r="E22" s="8" t="n">
        <x:f>D22/C22</x:f>
        <x:v>0.92</x:v>
      </x:c>
      <x:c r="F22" s="8" t="n">
        <x:v>21</x:v>
      </x:c>
      <x:c r="G22" s="8" t="n">
        <x:v>-0.00358145564308332</x:v>
      </x:c>
      <x:c r="H22" s="8" t="n">
        <x:v>-0.0012094051333494393</x:v>
      </x:c>
    </x:row>
    <x:row r="23" ht="22" customHeight="1">
      <x:c r="A23" s="6" t="str">
        <x:v>合江亭</x:v>
      </x:c>
      <x:c r="B23" s="6" t="str">
        <x:v>美丽合江</x:v>
      </x:c>
      <x:c r="C23" s="6" t="n">
        <x:v>3</x:v>
      </x:c>
      <x:c r="D23" s="6" t="n">
        <x:v>3</x:v>
      </x:c>
      <x:c r="E23" s="8" t="n">
        <x:f>D23/C23</x:f>
        <x:v>1</x:v>
      </x:c>
      <x:c r="F23" s="8" t="n">
        <x:v>3</x:v>
      </x:c>
      <x:c r="G23" s="8" t="n">
        <x:v>0.05329971870912842</x:v>
      </x:c>
      <x:c r="H23" s="8" t="n">
        <x:v>0.05329971870912842</x:v>
      </x:c>
    </x:row>
    <x:row r="24" ht="22" customHeight="1">
      <x:c r="A24" s="6" t="str">
        <x:v>合江亭</x:v>
      </x:c>
      <x:c r="B24" s="6" t="str">
        <x:v>蓉上坊一期</x:v>
      </x:c>
      <x:c r="C24" s="6" t="n">
        <x:v>9</x:v>
      </x:c>
      <x:c r="D24" s="6" t="n">
        <x:v>8</x:v>
      </x:c>
      <x:c r="E24" s="8" t="n">
        <x:f>D24/C24</x:f>
        <x:v>0.8888888888888888</x:v>
      </x:c>
      <x:c r="F24" s="8" t="n">
        <x:v>8</x:v>
      </x:c>
      <x:c r="G24" s="8" t="n">
        <x:v>0.05973886114592918</x:v>
      </x:c>
      <x:c r="H24" s="8" t="n">
        <x:v>0.05973886114592918</x:v>
      </x:c>
    </x:row>
    <x:row r="25" ht="22" customHeight="1">
      <x:c r="A25" s="6" t="str">
        <x:v>合江亭</x:v>
      </x:c>
      <x:c r="B25" s="6" t="str">
        <x:v>蓝光时代华章</x:v>
      </x:c>
      <x:c r="C25" s="6" t="n">
        <x:v>24</x:v>
      </x:c>
      <x:c r="D25" s="6" t="n">
        <x:v>24</x:v>
      </x:c>
      <x:c r="E25" s="8" t="n">
        <x:f>D25/C25</x:f>
        <x:v>1</x:v>
      </x:c>
      <x:c r="F25" s="8" t="n">
        <x:v>24</x:v>
      </x:c>
      <x:c r="G25" s="8" t="n">
        <x:v>0.07496326441684209</x:v>
      </x:c>
      <x:c r="H25" s="8" t="n">
        <x:v>0.07496326441684209</x:v>
      </x:c>
    </x:row>
    <x:row r="26" ht="22" customHeight="1">
      <x:c r="A26" s="6" t="str">
        <x:v>合江亭</x:v>
      </x:c>
      <x:c r="B26" s="6" t="str">
        <x:v>蓝光郁金香花园广场</x:v>
      </x:c>
      <x:c r="C26" s="6" t="n">
        <x:v>10</x:v>
      </x:c>
      <x:c r="D26" s="6" t="n">
        <x:v>4</x:v>
      </x:c>
      <x:c r="E26" s="8" t="n">
        <x:f>D26/C26</x:f>
        <x:v>0.4</x:v>
      </x:c>
      <x:c r="F26" s="8" t="n">
        <x:v>4</x:v>
      </x:c>
      <x:c r="G26" s="8" t="n">
        <x:v>0.014399315577276472</x:v>
      </x:c>
      <x:c r="H26" s="8" t="n">
        <x:v>0.014399315577276472</x:v>
      </x:c>
    </x:row>
    <x:row r="27" ht="22" customHeight="1">
      <x:c r="A27" s="6" t="str">
        <x:v>合江亭</x:v>
      </x:c>
      <x:c r="B27" s="6" t="str">
        <x:v>锦上花</x:v>
      </x:c>
      <x:c r="C27" s="6" t="n">
        <x:v>17</x:v>
      </x:c>
      <x:c r="D27" s="6" t="n">
        <x:v>13</x:v>
      </x:c>
      <x:c r="E27" s="8" t="n">
        <x:f>D27/C27</x:f>
        <x:v>0.7647058823529411</x:v>
      </x:c>
      <x:c r="F27" s="8" t="n">
        <x:v>12</x:v>
      </x:c>
      <x:c r="G27" s="8" t="n">
        <x:v>0.11847076286040226</x:v>
      </x:c>
      <x:c r="H27" s="8" t="n">
        <x:v>0.11847076286040226</x:v>
      </x:c>
    </x:row>
    <x:row r="28" ht="22" customHeight="1">
      <x:c r="A28" s="6" t="str">
        <x:v>合江亭</x:v>
      </x:c>
      <x:c r="B28" s="6" t="str">
        <x:v>锦江印象</x:v>
      </x:c>
      <x:c r="C28" s="6" t="n">
        <x:v>17</x:v>
      </x:c>
      <x:c r="D28" s="6" t="n">
        <x:v>16</x:v>
      </x:c>
      <x:c r="E28" s="8" t="n">
        <x:f>D28/C28</x:f>
        <x:v>0.9411764705882353</x:v>
      </x:c>
      <x:c r="F28" s="8" t="n">
        <x:v>15</x:v>
      </x:c>
      <x:c r="G28" s="8" t="n">
        <x:v>-0.03572626860625827</x:v>
      </x:c>
      <x:c r="H28" s="8" t="n">
        <x:v>-0.03059436757027545</x:v>
      </x:c>
    </x:row>
    <x:row r="29" ht="22" customHeight="1">
      <x:c r="A29" s="6" t="str">
        <x:v>合江亭</x:v>
      </x:c>
      <x:c r="B29" s="6" t="str">
        <x:v>龙瑞苑</x:v>
      </x:c>
      <x:c r="C29" s="6" t="n">
        <x:v>1</x:v>
      </x:c>
      <x:c r="D29" s="6" t="n">
        <x:v>1</x:v>
      </x:c>
      <x:c r="E29" s="8" t="n">
        <x:f>D29/C29</x:f>
        <x:v>1</x:v>
      </x:c>
      <x:c r="F29" s="8" t="n">
        <x:v>0</x:v>
      </x:c>
      <x:c r="G29" s="8" t="n">
        <x:v>-0.07475318692709398</x:v>
      </x:c>
      <x:c r="H29" s="8"/>
    </x:row>
    <x:row r="30" ht="22" customHeight="1">
      <x:c r="A30" s="6" t="str">
        <x:v>川大</x:v>
      </x:c>
      <x:c r="B30" s="6" t="str">
        <x:v>中海格林威治城小户</x:v>
      </x:c>
      <x:c r="C30" s="6" t="n">
        <x:v>3</x:v>
      </x:c>
      <x:c r="D30" s="6" t="n">
        <x:v>0</x:v>
      </x:c>
      <x:c r="E30" s="8" t="n">
        <x:f>D30/C30</x:f>
        <x:v>0</x:v>
      </x:c>
      <x:c r="F30" s="8" t="n">
        <x:v>0</x:v>
      </x:c>
      <x:c r="G30" s="8"/>
      <x:c r="H30" s="8"/>
    </x:row>
    <x:row r="31" ht="22" customHeight="1">
      <x:c r="A31" s="6" t="str">
        <x:v>川大</x:v>
      </x:c>
      <x:c r="B31" s="6" t="str">
        <x:v>和信派都</x:v>
      </x:c>
      <x:c r="C31" s="6" t="n">
        <x:v>8</x:v>
      </x:c>
      <x:c r="D31" s="6" t="n">
        <x:v>8</x:v>
      </x:c>
      <x:c r="E31" s="8" t="n">
        <x:f>D31/C31</x:f>
        <x:v>1</x:v>
      </x:c>
      <x:c r="F31" s="8" t="n">
        <x:v>8</x:v>
      </x:c>
      <x:c r="G31" s="8" t="n">
        <x:v>0.1436845594106536</x:v>
      </x:c>
      <x:c r="H31" s="8" t="n">
        <x:v>0.1436845594106536</x:v>
      </x:c>
    </x:row>
    <x:row r="32" ht="22" customHeight="1">
      <x:c r="A32" s="6" t="str">
        <x:v>川大</x:v>
      </x:c>
      <x:c r="B32" s="6" t="str">
        <x:v>好望角</x:v>
      </x:c>
      <x:c r="C32" s="6" t="n">
        <x:v>5</x:v>
      </x:c>
      <x:c r="D32" s="6" t="n">
        <x:v>5</x:v>
      </x:c>
      <x:c r="E32" s="8" t="n">
        <x:f>D32/C32</x:f>
        <x:v>1</x:v>
      </x:c>
      <x:c r="F32" s="8" t="n">
        <x:v>5</x:v>
      </x:c>
      <x:c r="G32" s="8" t="n">
        <x:v>0.12354526168380332</x:v>
      </x:c>
      <x:c r="H32" s="8" t="n">
        <x:v>0.12354526168380332</x:v>
      </x:c>
    </x:row>
    <x:row r="33" ht="22" customHeight="1">
      <x:c r="A33" s="6" t="str">
        <x:v>川大</x:v>
      </x:c>
      <x:c r="B33" s="6" t="str">
        <x:v>新时空公寓</x:v>
      </x:c>
      <x:c r="C33" s="6" t="n">
        <x:v>2</x:v>
      </x:c>
      <x:c r="D33" s="6" t="n">
        <x:v>0</x:v>
      </x:c>
      <x:c r="E33" s="8" t="n">
        <x:f>D33/C33</x:f>
        <x:v>0</x:v>
      </x:c>
      <x:c r="F33" s="8" t="n">
        <x:v>0</x:v>
      </x:c>
      <x:c r="G33" s="8"/>
      <x:c r="H33" s="8"/>
    </x:row>
    <x:row r="34" ht="22" customHeight="1">
      <x:c r="A34" s="6" t="str">
        <x:v>川大</x:v>
      </x:c>
      <x:c r="B34" s="6" t="str">
        <x:v>棕榈花园</x:v>
      </x:c>
      <x:c r="C34" s="6" t="n">
        <x:v>2</x:v>
      </x:c>
      <x:c r="D34" s="6" t="n">
        <x:v>0</x:v>
      </x:c>
      <x:c r="E34" s="8" t="n">
        <x:f>D34/C34</x:f>
        <x:v>0</x:v>
      </x:c>
      <x:c r="F34" s="8" t="n">
        <x:v>0</x:v>
      </x:c>
      <x:c r="G34" s="8"/>
      <x:c r="H34" s="8"/>
    </x:row>
    <x:row r="35" ht="22" customHeight="1">
      <x:c r="A35" s="6" t="str">
        <x:v>川大</x:v>
      </x:c>
      <x:c r="B35" s="6" t="str">
        <x:v>樱花假日</x:v>
      </x:c>
      <x:c r="C35" s="6" t="n">
        <x:v>12</x:v>
      </x:c>
      <x:c r="D35" s="6" t="n">
        <x:v>10</x:v>
      </x:c>
      <x:c r="E35" s="8" t="n">
        <x:f>D35/C35</x:f>
        <x:v>0.8333333333333334</x:v>
      </x:c>
      <x:c r="F35" s="8" t="n">
        <x:v>4</x:v>
      </x:c>
      <x:c r="G35" s="8" t="n">
        <x:v>0.021589337119726326</x:v>
      </x:c>
      <x:c r="H35" s="8" t="n">
        <x:v>0.03285568602036926</x:v>
      </x:c>
    </x:row>
    <x:row r="36" ht="22" customHeight="1">
      <x:c r="A36" s="6" t="str">
        <x:v>川大</x:v>
      </x:c>
      <x:c r="B36" s="6" t="str">
        <x:v>纯真年代</x:v>
      </x:c>
      <x:c r="C36" s="6" t="n">
        <x:v>6</x:v>
      </x:c>
      <x:c r="D36" s="6" t="n">
        <x:v>5</x:v>
      </x:c>
      <x:c r="E36" s="8" t="n">
        <x:f>D36/C36</x:f>
        <x:v>0.8333333333333334</x:v>
      </x:c>
      <x:c r="F36" s="8" t="n">
        <x:v>4</x:v>
      </x:c>
      <x:c r="G36" s="8" t="n">
        <x:v>0.25095088946944855</x:v>
      </x:c>
      <x:c r="H36" s="8" t="n">
        <x:v>0.2560766018626235</x:v>
      </x:c>
    </x:row>
    <x:row r="37" ht="22" customHeight="1">
      <x:c r="A37" s="6" t="str">
        <x:v>川大</x:v>
      </x:c>
      <x:c r="B37" s="6" t="str">
        <x:v>蓝色加勒比广场</x:v>
      </x:c>
      <x:c r="C37" s="6" t="n">
        <x:v>1</x:v>
      </x:c>
      <x:c r="D37" s="6" t="n">
        <x:v>1</x:v>
      </x:c>
      <x:c r="E37" s="8" t="n">
        <x:f>D37/C37</x:f>
        <x:v>1</x:v>
      </x:c>
      <x:c r="F37" s="8" t="n">
        <x:v>1</x:v>
      </x:c>
      <x:c r="G37" s="8" t="n">
        <x:v>0.1395460200595553</x:v>
      </x:c>
      <x:c r="H37" s="8" t="n">
        <x:v>0.1395460200595553</x:v>
      </x:c>
    </x:row>
    <x:row r="38" ht="22" customHeight="1">
      <x:c r="A38" s="6" t="str">
        <x:v>川大</x:v>
      </x:c>
      <x:c r="B38" s="6" t="str">
        <x:v>青年家园</x:v>
      </x:c>
      <x:c r="C38" s="6" t="n">
        <x:v>1</x:v>
      </x:c>
      <x:c r="D38" s="6" t="n">
        <x:v>0</x:v>
      </x:c>
      <x:c r="E38" s="8" t="n">
        <x:f>D38/C38</x:f>
        <x:v>0</x:v>
      </x:c>
      <x:c r="F38" s="8" t="n">
        <x:v>0</x:v>
      </x:c>
      <x:c r="G38" s="8"/>
      <x:c r="H38" s="8"/>
    </x:row>
    <x:row r="39" ht="22" customHeight="1">
      <x:c r="A39" s="6" t="str">
        <x:v>川音</x:v>
      </x:c>
      <x:c r="B39" s="6" t="str">
        <x:v>colour彼岸</x:v>
      </x:c>
      <x:c r="C39" s="6" t="n">
        <x:v>1</x:v>
      </x:c>
      <x:c r="D39" s="6" t="n">
        <x:v>1</x:v>
      </x:c>
      <x:c r="E39" s="8" t="n">
        <x:f>D39/C39</x:f>
        <x:v>1</x:v>
      </x:c>
      <x:c r="F39" s="8" t="n">
        <x:v>0</x:v>
      </x:c>
      <x:c r="G39" s="8" t="n">
        <x:v>0.019262239957617444</x:v>
      </x:c>
      <x:c r="H39" s="8"/>
    </x:row>
    <x:row r="40" ht="22" customHeight="1">
      <x:c r="A40" s="6" t="str">
        <x:v>川音</x:v>
      </x:c>
      <x:c r="B40" s="6" t="str">
        <x:v>凯悦新城</x:v>
      </x:c>
      <x:c r="C40" s="6" t="n">
        <x:v>13</x:v>
      </x:c>
      <x:c r="D40" s="6" t="n">
        <x:v>13</x:v>
      </x:c>
      <x:c r="E40" s="8" t="n">
        <x:f>D40/C40</x:f>
        <x:v>1</x:v>
      </x:c>
      <x:c r="F40" s="8" t="n">
        <x:v>12</x:v>
      </x:c>
      <x:c r="G40" s="8" t="n">
        <x:v>0.10575890944450549</x:v>
      </x:c>
      <x:c r="H40" s="8" t="n">
        <x:v>0.10139468372107407</x:v>
      </x:c>
    </x:row>
    <x:row r="41" ht="22" customHeight="1">
      <x:c r="A41" s="6" t="str">
        <x:v>川音</x:v>
      </x:c>
      <x:c r="B41" s="6" t="str">
        <x:v>廊桥乐章</x:v>
      </x:c>
      <x:c r="C41" s="6" t="n">
        <x:v>1</x:v>
      </x:c>
      <x:c r="D41" s="6" t="n">
        <x:v>1</x:v>
      </x:c>
      <x:c r="E41" s="8" t="n">
        <x:f>D41/C41</x:f>
        <x:v>1</x:v>
      </x:c>
      <x:c r="F41" s="8" t="n">
        <x:v>1</x:v>
      </x:c>
      <x:c r="G41" s="8" t="n">
        <x:v>0.09003659631997006</x:v>
      </x:c>
      <x:c r="H41" s="8" t="n">
        <x:v>0.09003659631997006</x:v>
      </x:c>
    </x:row>
    <x:row r="42" ht="22" customHeight="1">
      <x:c r="A42" s="6" t="str">
        <x:v>川音</x:v>
      </x:c>
      <x:c r="B42" s="6" t="str">
        <x:v>摩卡筑</x:v>
      </x:c>
      <x:c r="C42" s="6" t="n">
        <x:v>4</x:v>
      </x:c>
      <x:c r="D42" s="6" t="n">
        <x:v>1</x:v>
      </x:c>
      <x:c r="E42" s="8" t="n">
        <x:f>D42/C42</x:f>
        <x:v>0.25</x:v>
      </x:c>
      <x:c r="F42" s="8" t="n">
        <x:v>0</x:v>
      </x:c>
      <x:c r="G42" s="8" t="n">
        <x:v>0.10920880461495486</x:v>
      </x:c>
      <x:c r="H42" s="8"/>
    </x:row>
    <x:row r="43" ht="22" customHeight="1">
      <x:c r="A43" s="6" t="str">
        <x:v>川音</x:v>
      </x:c>
      <x:c r="B43" s="6" t="str">
        <x:v>时代100</x:v>
      </x:c>
      <x:c r="C43" s="6" t="n">
        <x:v>1</x:v>
      </x:c>
      <x:c r="D43" s="6" t="n">
        <x:v>1</x:v>
      </x:c>
      <x:c r="E43" s="8" t="n">
        <x:f>D43/C43</x:f>
        <x:v>1</x:v>
      </x:c>
      <x:c r="F43" s="8" t="n">
        <x:v>0</x:v>
      </x:c>
      <x:c r="G43" s="8" t="n">
        <x:v>0.30786432069056335</x:v>
      </x:c>
      <x:c r="H43" s="8"/>
    </x:row>
    <x:row r="44" ht="22" customHeight="1">
      <x:c r="A44" s="6" t="str">
        <x:v>川音</x:v>
      </x:c>
      <x:c r="B44" s="6" t="str">
        <x:v>林荫嘉园</x:v>
      </x:c>
      <x:c r="C44" s="6" t="n">
        <x:v>3</x:v>
      </x:c>
      <x:c r="D44" s="6" t="n">
        <x:v>3</x:v>
      </x:c>
      <x:c r="E44" s="8" t="n">
        <x:f>D44/C44</x:f>
        <x:v>1</x:v>
      </x:c>
      <x:c r="F44" s="8" t="n">
        <x:v>0</x:v>
      </x:c>
      <x:c r="G44" s="8" t="n">
        <x:v>0.08251610133408249</x:v>
      </x:c>
      <x:c r="H44" s="8"/>
    </x:row>
    <x:row r="45" ht="22" customHeight="1">
      <x:c r="A45" s="6" t="str">
        <x:v>川音</x:v>
      </x:c>
      <x:c r="B45" s="6" t="str">
        <x:v>正黄上岭</x:v>
      </x:c>
      <x:c r="C45" s="6" t="n">
        <x:v>1</x:v>
      </x:c>
      <x:c r="D45" s="6" t="n">
        <x:v>1</x:v>
      </x:c>
      <x:c r="E45" s="8" t="n">
        <x:f>D45/C45</x:f>
        <x:v>1</x:v>
      </x:c>
      <x:c r="F45" s="8" t="n">
        <x:v>1</x:v>
      </x:c>
      <x:c r="G45" s="8" t="n">
        <x:v>0.06342817340259788</x:v>
      </x:c>
      <x:c r="H45" s="8" t="n">
        <x:v>0.06342817340259788</x:v>
      </x:c>
    </x:row>
    <x:row r="46" ht="22" customHeight="1">
      <x:c r="A46" s="6" t="str">
        <x:v>川音</x:v>
      </x:c>
      <x:c r="B46" s="6" t="str">
        <x:v>美丽人生</x:v>
      </x:c>
      <x:c r="C46" s="6" t="n">
        <x:v>1</x:v>
      </x:c>
      <x:c r="D46" s="6" t="n">
        <x:v>0</x:v>
      </x:c>
      <x:c r="E46" s="8" t="n">
        <x:f>D46/C46</x:f>
        <x:v>0</x:v>
      </x:c>
      <x:c r="F46" s="8" t="n">
        <x:v>0</x:v>
      </x:c>
      <x:c r="G46" s="8"/>
      <x:c r="H46" s="8"/>
    </x:row>
    <x:row r="47" ht="22" customHeight="1">
      <x:c r="A47" s="6" t="str">
        <x:v>川音</x:v>
      </x:c>
      <x:c r="B47" s="6" t="str">
        <x:v>锦宏骏苑北区</x:v>
      </x:c>
      <x:c r="C47" s="6" t="n">
        <x:v>2</x:v>
      </x:c>
      <x:c r="D47" s="6" t="n">
        <x:v>0</x:v>
      </x:c>
      <x:c r="E47" s="8" t="n">
        <x:f>D47/C47</x:f>
        <x:v>0</x:v>
      </x:c>
      <x:c r="F47" s="8" t="n">
        <x:v>0</x:v>
      </x:c>
      <x:c r="G47" s="8"/>
      <x:c r="H47" s="8"/>
    </x:row>
    <x:row r="48" ht="22" customHeight="1">
      <x:c r="A48" s="6" t="str">
        <x:v>川音</x:v>
      </x:c>
      <x:c r="B48" s="6" t="str">
        <x:v>锦宏骏苑南区</x:v>
      </x:c>
      <x:c r="C48" s="6" t="n">
        <x:v>1</x:v>
      </x:c>
      <x:c r="D48" s="6" t="n">
        <x:v>0</x:v>
      </x:c>
      <x:c r="E48" s="8" t="n">
        <x:f>D48/C48</x:f>
        <x:v>0</x:v>
      </x:c>
      <x:c r="F48" s="8" t="n">
        <x:v>0</x:v>
      </x:c>
      <x:c r="G48" s="8"/>
      <x:c r="H48" s="8"/>
    </x:row>
    <x:row r="49" ht="22" customHeight="1">
      <x:c r="A49" s="6" t="str">
        <x:v>棕北</x:v>
      </x:c>
      <x:c r="B49" s="6" t="str">
        <x:v>SOHO沸城</x:v>
      </x:c>
      <x:c r="C49" s="6" t="n">
        <x:v>4</x:v>
      </x:c>
      <x:c r="D49" s="6" t="n">
        <x:v>3</x:v>
      </x:c>
      <x:c r="E49" s="8" t="n">
        <x:f>D49/C49</x:f>
        <x:v>0.75</x:v>
      </x:c>
      <x:c r="F49" s="8" t="n">
        <x:v>1</x:v>
      </x:c>
      <x:c r="G49" s="8" t="n">
        <x:v>0.056383944532366836</x:v>
      </x:c>
      <x:c r="H49" s="8" t="n">
        <x:v>0.056383944532366836</x:v>
      </x:c>
    </x:row>
    <x:row r="50" ht="22" customHeight="1">
      <x:c r="A50" s="6" t="str">
        <x:v>棕北</x:v>
      </x:c>
      <x:c r="B50" s="6" t="str">
        <x:v>新棕北</x:v>
      </x:c>
      <x:c r="C50" s="6" t="n">
        <x:v>2</x:v>
      </x:c>
      <x:c r="D50" s="6" t="n">
        <x:v>1</x:v>
      </x:c>
      <x:c r="E50" s="8" t="n">
        <x:f>D50/C50</x:f>
        <x:v>0.5</x:v>
      </x:c>
      <x:c r="F50" s="8" t="n">
        <x:v>1</x:v>
      </x:c>
      <x:c r="G50" s="8" t="n">
        <x:v>0.09762900374879525</x:v>
      </x:c>
      <x:c r="H50" s="8" t="n">
        <x:v>0.09762900374879525</x:v>
      </x:c>
    </x:row>
    <x:row r="51" ht="22" customHeight="1">
      <x:c r="A51" s="6" t="str">
        <x:v>棕北</x:v>
      </x:c>
      <x:c r="B51" s="6" t="str">
        <x:v>棕北国际</x:v>
      </x:c>
      <x:c r="C51" s="6" t="n">
        <x:v>3</x:v>
      </x:c>
      <x:c r="D51" s="6" t="n">
        <x:v>3</x:v>
      </x:c>
      <x:c r="E51" s="8" t="n">
        <x:f>D51/C51</x:f>
        <x:v>1</x:v>
      </x:c>
      <x:c r="F51" s="8" t="n">
        <x:v>3</x:v>
      </x:c>
      <x:c r="G51" s="8" t="n">
        <x:v>0.20296906513493185</x:v>
      </x:c>
      <x:c r="H51" s="8" t="n">
        <x:v>0.20296906513493185</x:v>
      </x:c>
    </x:row>
    <x:row r="52" ht="22" customHeight="1">
      <x:c r="A52" s="6" t="str">
        <x:v>棕北</x:v>
      </x:c>
      <x:c r="B52" s="6" t="str">
        <x:v>棕南公寓</x:v>
      </x:c>
      <x:c r="C52" s="6" t="n">
        <x:v>2</x:v>
      </x:c>
      <x:c r="D52" s="6" t="n">
        <x:v>2</x:v>
      </x:c>
      <x:c r="E52" s="8" t="n">
        <x:f>D52/C52</x:f>
        <x:v>1</x:v>
      </x:c>
      <x:c r="F52" s="8" t="n">
        <x:v>0</x:v>
      </x:c>
      <x:c r="G52" s="8" t="n">
        <x:v>0.04161849181142041</x:v>
      </x:c>
      <x:c r="H52" s="8"/>
    </x:row>
    <x:row r="53" ht="22" customHeight="1">
      <x:c r="A53" s="6" t="str">
        <x:v>棕北</x:v>
      </x:c>
      <x:c r="B53" s="6" t="str">
        <x:v>花样年华梦想家</x:v>
      </x:c>
      <x:c r="C53" s="6" t="n">
        <x:v>15</x:v>
      </x:c>
      <x:c r="D53" s="6" t="n">
        <x:v>15</x:v>
      </x:c>
      <x:c r="E53" s="8" t="n">
        <x:f>D53/C53</x:f>
        <x:v>1</x:v>
      </x:c>
      <x:c r="F53" s="8" t="n">
        <x:v>12</x:v>
      </x:c>
      <x:c r="G53" s="8" t="n">
        <x:v>0.12160562217174764</x:v>
      </x:c>
      <x:c r="H53" s="8" t="n">
        <x:v>0.12998830035336073</x:v>
      </x:c>
    </x:row>
    <x:row r="54" ht="22" customHeight="1">
      <x:c r="A54" s="6" t="str">
        <x:v>棕北</x:v>
      </x:c>
      <x:c r="B54" s="6" t="str">
        <x:v>首航欣程</x:v>
      </x:c>
      <x:c r="C54" s="6" t="n">
        <x:v>7</x:v>
      </x:c>
      <x:c r="D54" s="6" t="n">
        <x:v>7</x:v>
      </x:c>
      <x:c r="E54" s="8" t="n">
        <x:f>D54/C54</x:f>
        <x:v>1</x:v>
      </x:c>
      <x:c r="F54" s="8" t="n">
        <x:v>4</x:v>
      </x:c>
      <x:c r="G54" s="8" t="n">
        <x:v>0.15824585467025987</x:v>
      </x:c>
      <x:c r="H54" s="8" t="n">
        <x:v>0.21154793452217768</x:v>
      </x:c>
    </x:row>
    <x:row r="55" ht="22" customHeight="1">
      <x:c r="A55" s="6" t="str">
        <x:v>玉林</x:v>
      </x:c>
      <x:c r="B55" s="6" t="str">
        <x:v>华宇蓉国府</x:v>
      </x:c>
      <x:c r="C55" s="6" t="n">
        <x:v>7</x:v>
      </x:c>
      <x:c r="D55" s="6" t="n">
        <x:v>7</x:v>
      </x:c>
      <x:c r="E55" s="8" t="n">
        <x:f>D55/C55</x:f>
        <x:v>1</x:v>
      </x:c>
      <x:c r="F55" s="8" t="n">
        <x:v>0</x:v>
      </x:c>
      <x:c r="G55" s="8" t="n">
        <x:v>0.019239601230767178</x:v>
      </x:c>
      <x:c r="H55" s="8"/>
    </x:row>
    <x:row r="56" ht="22" customHeight="1">
      <x:c r="A56" s="6" t="str">
        <x:v>玉林</x:v>
      </x:c>
      <x:c r="B56" s="6" t="str">
        <x:v>都市金岸</x:v>
      </x:c>
      <x:c r="C56" s="6" t="n">
        <x:v>4</x:v>
      </x:c>
      <x:c r="D56" s="6" t="n">
        <x:v>4</x:v>
      </x:c>
      <x:c r="E56" s="8" t="n">
        <x:f>D56/C56</x:f>
        <x:v>1</x:v>
      </x:c>
      <x:c r="F56" s="8" t="n">
        <x:v>1</x:v>
      </x:c>
      <x:c r="G56" s="8" t="n">
        <x:v>0.05166858153143994</x:v>
      </x:c>
      <x:c r="H56" s="8" t="n">
        <x:v>0.10959377145643412</x:v>
      </x:c>
    </x:row>
    <x:row r="57" ht="22" customHeight="1">
      <x:c r="A57" s="6" t="str">
        <x:v>盐市口</x:v>
      </x:c>
      <x:c r="B57" s="6" t="str">
        <x:v>世代锦江商务楼</x:v>
      </x:c>
      <x:c r="C57" s="6" t="n">
        <x:v>19</x:v>
      </x:c>
      <x:c r="D57" s="6" t="n">
        <x:v>19</x:v>
      </x:c>
      <x:c r="E57" s="8" t="n">
        <x:f>D57/C57</x:f>
        <x:v>1</x:v>
      </x:c>
      <x:c r="F57" s="8" t="n">
        <x:v>13</x:v>
      </x:c>
      <x:c r="G57" s="8" t="n">
        <x:v>0.17986569794424967</x:v>
      </x:c>
      <x:c r="H57" s="8" t="n">
        <x:v>0.3006382208101548</x:v>
      </x:c>
    </x:row>
    <x:row r="58" ht="22" customHeight="1">
      <x:c r="A58" s="6" t="str">
        <x:v>盐市口</x:v>
      </x:c>
      <x:c r="B58" s="6" t="str">
        <x:v>京都大厦</x:v>
      </x:c>
      <x:c r="C58" s="6" t="n">
        <x:v>2</x:v>
      </x:c>
      <x:c r="D58" s="6" t="n">
        <x:v>0</x:v>
      </x:c>
      <x:c r="E58" s="8" t="n">
        <x:f>D58/C58</x:f>
        <x:v>0</x:v>
      </x:c>
      <x:c r="F58" s="8" t="n">
        <x:v>0</x:v>
      </x:c>
      <x:c r="G58" s="8"/>
      <x:c r="H58" s="8"/>
    </x:row>
    <x:row r="59" ht="22" customHeight="1">
      <x:c r="A59" s="6" t="str">
        <x:v>盐市口</x:v>
      </x:c>
      <x:c r="B59" s="6" t="str">
        <x:v>兴隆街23号</x:v>
      </x:c>
      <x:c r="C59" s="6" t="n">
        <x:v>3</x:v>
      </x:c>
      <x:c r="D59" s="6" t="n">
        <x:v>2</x:v>
      </x:c>
      <x:c r="E59" s="8" t="n">
        <x:f>D59/C59</x:f>
        <x:v>0.6666666666666666</x:v>
      </x:c>
      <x:c r="F59" s="8" t="n">
        <x:v>0</x:v>
      </x:c>
      <x:c r="G59" s="8" t="n">
        <x:v>0.05514238997218052</x:v>
      </x:c>
      <x:c r="H59" s="8"/>
    </x:row>
    <x:row r="60" ht="22" customHeight="1">
      <x:c r="A60" s="6" t="str">
        <x:v>盐市口</x:v>
      </x:c>
      <x:c r="B60" s="6" t="str">
        <x:v>城市理想</x:v>
      </x:c>
      <x:c r="C60" s="6" t="n">
        <x:v>20</x:v>
      </x:c>
      <x:c r="D60" s="6" t="n">
        <x:v>20</x:v>
      </x:c>
      <x:c r="E60" s="8" t="n">
        <x:f>D60/C60</x:f>
        <x:v>1</x:v>
      </x:c>
      <x:c r="F60" s="8" t="n">
        <x:v>20</x:v>
      </x:c>
      <x:c r="G60" s="8" t="n">
        <x:v>0.07533622100373005</x:v>
      </x:c>
      <x:c r="H60" s="8" t="n">
        <x:v>0.07533622100373005</x:v>
      </x:c>
    </x:row>
    <x:row r="61" ht="22" customHeight="1">
      <x:c r="A61" s="6" t="str">
        <x:v>盐市口</x:v>
      </x:c>
      <x:c r="B61" s="6" t="str">
        <x:v>大发百度城</x:v>
      </x:c>
      <x:c r="C61" s="6" t="n">
        <x:v>6</x:v>
      </x:c>
      <x:c r="D61" s="6" t="n">
        <x:v>3</x:v>
      </x:c>
      <x:c r="E61" s="8" t="n">
        <x:f>D61/C61</x:f>
        <x:v>0.5</x:v>
      </x:c>
      <x:c r="F61" s="8" t="n">
        <x:v>3</x:v>
      </x:c>
      <x:c r="G61" s="8" t="n">
        <x:v>0.19787991664068527</x:v>
      </x:c>
      <x:c r="H61" s="8" t="n">
        <x:v>0.19787991664068527</x:v>
      </x:c>
    </x:row>
    <x:row r="62" ht="22" customHeight="1">
      <x:c r="A62" s="6" t="str">
        <x:v>盐市口</x:v>
      </x:c>
      <x:c r="B62" s="6" t="str">
        <x:v>大地城市脉搏</x:v>
      </x:c>
      <x:c r="C62" s="6" t="n">
        <x:v>1</x:v>
      </x:c>
      <x:c r="D62" s="6" t="n">
        <x:v>0</x:v>
      </x:c>
      <x:c r="E62" s="8" t="n">
        <x:f>D62/C62</x:f>
        <x:v>0</x:v>
      </x:c>
      <x:c r="F62" s="8" t="n">
        <x:v>0</x:v>
      </x:c>
      <x:c r="G62" s="8"/>
      <x:c r="H62" s="8"/>
    </x:row>
    <x:row r="63" ht="22" customHeight="1">
      <x:c r="A63" s="6" t="str">
        <x:v>盐市口</x:v>
      </x:c>
      <x:c r="B63" s="6" t="str">
        <x:v>弘邦领邸</x:v>
      </x:c>
      <x:c r="C63" s="6" t="n">
        <x:v>3</x:v>
      </x:c>
      <x:c r="D63" s="6" t="n">
        <x:v>0</x:v>
      </x:c>
      <x:c r="E63" s="8" t="n">
        <x:f>D63/C63</x:f>
        <x:v>0</x:v>
      </x:c>
      <x:c r="F63" s="8" t="n">
        <x:v>0</x:v>
      </x:c>
      <x:c r="G63" s="8"/>
      <x:c r="H63" s="8"/>
    </x:row>
    <x:row r="64" ht="22" customHeight="1">
      <x:c r="A64" s="6" t="str">
        <x:v>盐市口</x:v>
      </x:c>
      <x:c r="B64" s="6" t="str">
        <x:v>新和春禧时代</x:v>
      </x:c>
      <x:c r="C64" s="6" t="n">
        <x:v>9</x:v>
      </x:c>
      <x:c r="D64" s="6" t="n">
        <x:v>7</x:v>
      </x:c>
      <x:c r="E64" s="8" t="n">
        <x:f>D64/C64</x:f>
        <x:v>0.7777777777777778</x:v>
      </x:c>
      <x:c r="F64" s="8" t="n">
        <x:v>7</x:v>
      </x:c>
      <x:c r="G64" s="8" t="n">
        <x:v>0.009614899223606255</x:v>
      </x:c>
      <x:c r="H64" s="8" t="n">
        <x:v>0.009614899223606255</x:v>
      </x:c>
    </x:row>
    <x:row r="65" ht="22" customHeight="1">
      <x:c r="A65" s="6" t="str">
        <x:v>盐市口</x:v>
      </x:c>
      <x:c r="B65" s="6" t="str">
        <x:v>正成财富ID</x:v>
      </x:c>
      <x:c r="C65" s="6" t="n">
        <x:v>8</x:v>
      </x:c>
      <x:c r="D65" s="6" t="n">
        <x:v>6</x:v>
      </x:c>
      <x:c r="E65" s="8" t="n">
        <x:f>D65/C65</x:f>
        <x:v>0.75</x:v>
      </x:c>
      <x:c r="F65" s="8" t="n">
        <x:v>6</x:v>
      </x:c>
      <x:c r="G65" s="8" t="n">
        <x:v>-0.05857440699471838</x:v>
      </x:c>
      <x:c r="H65" s="8" t="n">
        <x:v>-0.05857440699471838</x:v>
      </x:c>
    </x:row>
    <x:row r="66" ht="22" customHeight="1">
      <x:c r="A66" s="6" t="str">
        <x:v>盐市口</x:v>
      </x:c>
      <x:c r="B66" s="6" t="str">
        <x:v>现代之窗</x:v>
      </x:c>
      <x:c r="C66" s="6" t="n">
        <x:v>4</x:v>
      </x:c>
      <x:c r="D66" s="6" t="n">
        <x:v>3</x:v>
      </x:c>
      <x:c r="E66" s="8" t="n">
        <x:f>D66/C66</x:f>
        <x:v>0.75</x:v>
      </x:c>
      <x:c r="F66" s="8" t="n">
        <x:v>3</x:v>
      </x:c>
      <x:c r="G66" s="8" t="n">
        <x:v>0.04221909974139293</x:v>
      </x:c>
      <x:c r="H66" s="8" t="n">
        <x:v>0.04221909974139293</x:v>
      </x:c>
    </x:row>
    <x:row r="67" ht="22" customHeight="1">
      <x:c r="A67" s="6" t="str">
        <x:v>盐市口</x:v>
      </x:c>
      <x:c r="B67" s="6" t="str">
        <x:v>科甲大厦</x:v>
      </x:c>
      <x:c r="C67" s="6" t="n">
        <x:v>14</x:v>
      </x:c>
      <x:c r="D67" s="6" t="n">
        <x:v>7</x:v>
      </x:c>
      <x:c r="E67" s="8" t="n">
        <x:f>D67/C67</x:f>
        <x:v>0.5</x:v>
      </x:c>
      <x:c r="F67" s="8" t="n">
        <x:v>7</x:v>
      </x:c>
      <x:c r="G67" s="8" t="n">
        <x:v>0.15942287275157585</x:v>
      </x:c>
      <x:c r="H67" s="8" t="n">
        <x:v>0.15942287275157585</x:v>
      </x:c>
    </x:row>
    <x:row r="68" ht="22" customHeight="1">
      <x:c r="A68" s="6" t="str">
        <x:v>盐市口</x:v>
      </x:c>
      <x:c r="B68" s="6" t="str">
        <x:v>第一城</x:v>
      </x:c>
      <x:c r="C68" s="6" t="n">
        <x:v>1</x:v>
      </x:c>
      <x:c r="D68" s="6" t="n">
        <x:v>0</x:v>
      </x:c>
      <x:c r="E68" s="8" t="n">
        <x:f>D68/C68</x:f>
        <x:v>0</x:v>
      </x:c>
      <x:c r="F68" s="8" t="n">
        <x:v>0</x:v>
      </x:c>
      <x:c r="G68" s="8"/>
      <x:c r="H68" s="8"/>
    </x:row>
    <x:row r="69" ht="22" customHeight="1">
      <x:c r="A69" s="6" t="str">
        <x:v>盐市口</x:v>
      </x:c>
      <x:c r="B69" s="6" t="str">
        <x:v>紫薇银座</x:v>
      </x:c>
      <x:c r="C69" s="6" t="n">
        <x:v>1</x:v>
      </x:c>
      <x:c r="D69" s="6" t="n">
        <x:v>0</x:v>
      </x:c>
      <x:c r="E69" s="8" t="n">
        <x:f>D69/C69</x:f>
        <x:v>0</x:v>
      </x:c>
      <x:c r="F69" s="8" t="n">
        <x:v>0</x:v>
      </x:c>
      <x:c r="G69" s="8"/>
      <x:c r="H69" s="8"/>
    </x:row>
    <x:row r="70" ht="22" customHeight="1">
      <x:c r="A70" s="6" t="str">
        <x:v>盐市口</x:v>
      </x:c>
      <x:c r="B70" s="6" t="str">
        <x:v>经典坐标</x:v>
      </x:c>
      <x:c r="C70" s="6" t="n">
        <x:v>4</x:v>
      </x:c>
      <x:c r="D70" s="6" t="n">
        <x:v>1</x:v>
      </x:c>
      <x:c r="E70" s="8" t="n">
        <x:f>D70/C70</x:f>
        <x:v>0.25</x:v>
      </x:c>
      <x:c r="F70" s="8" t="n">
        <x:v>0</x:v>
      </x:c>
      <x:c r="G70" s="8" t="n">
        <x:v>0.19579124963446848</x:v>
      </x:c>
      <x:c r="H70" s="8"/>
    </x:row>
    <x:row r="71" ht="22" customHeight="1">
      <x:c r="A71" s="6" t="str">
        <x:v>盐市口</x:v>
      </x:c>
      <x:c r="B71" s="6" t="str">
        <x:v>缤舍</x:v>
      </x:c>
      <x:c r="C71" s="6" t="n">
        <x:v>4</x:v>
      </x:c>
      <x:c r="D71" s="6" t="n">
        <x:v>4</x:v>
      </x:c>
      <x:c r="E71" s="8" t="n">
        <x:f>D71/C71</x:f>
        <x:v>1</x:v>
      </x:c>
      <x:c r="F71" s="8" t="n">
        <x:v>4</x:v>
      </x:c>
      <x:c r="G71" s="8" t="n">
        <x:v>0.08380990609579275</x:v>
      </x:c>
      <x:c r="H71" s="8" t="n">
        <x:v>0.08380990609579275</x:v>
      </x:c>
    </x:row>
    <x:row r="72" ht="22" customHeight="1">
      <x:c r="A72" s="6" t="str">
        <x:v>盐市口</x:v>
      </x:c>
      <x:c r="B72" s="6" t="str">
        <x:v>美华大厦</x:v>
      </x:c>
      <x:c r="C72" s="6" t="n">
        <x:v>10</x:v>
      </x:c>
      <x:c r="D72" s="6" t="n">
        <x:v>9</x:v>
      </x:c>
      <x:c r="E72" s="8" t="n">
        <x:f>D72/C72</x:f>
        <x:v>0.9</x:v>
      </x:c>
      <x:c r="F72" s="8" t="n">
        <x:v>9</x:v>
      </x:c>
      <x:c r="G72" s="8" t="n">
        <x:v>0.045336586524033606</x:v>
      </x:c>
      <x:c r="H72" s="8" t="n">
        <x:v>0.045336586524033606</x:v>
      </x:c>
    </x:row>
    <x:row r="73" ht="22" customHeight="1">
      <x:c r="A73" s="6" t="str">
        <x:v>盐市口</x:v>
      </x:c>
      <x:c r="B73" s="6" t="str">
        <x:v>萧邦</x:v>
      </x:c>
      <x:c r="C73" s="6" t="n">
        <x:v>8</x:v>
      </x:c>
      <x:c r="D73" s="6" t="n">
        <x:v>8</x:v>
      </x:c>
      <x:c r="E73" s="8" t="n">
        <x:f>D73/C73</x:f>
        <x:v>1</x:v>
      </x:c>
      <x:c r="F73" s="8" t="n">
        <x:v>8</x:v>
      </x:c>
      <x:c r="G73" s="8" t="n">
        <x:v>0.19928352011474224</x:v>
      </x:c>
      <x:c r="H73" s="8" t="n">
        <x:v>0.19928352011474224</x:v>
      </x:c>
    </x:row>
    <x:row r="74" ht="22" customHeight="1">
      <x:c r="A74" s="6" t="str">
        <x:v>盐市口</x:v>
      </x:c>
      <x:c r="B74" s="6" t="str">
        <x:v>财富中心</x:v>
      </x:c>
      <x:c r="C74" s="6" t="n">
        <x:v>50</x:v>
      </x:c>
      <x:c r="D74" s="6" t="n">
        <x:v>50</x:v>
      </x:c>
      <x:c r="E74" s="8" t="n">
        <x:f>D74/C74</x:f>
        <x:v>1</x:v>
      </x:c>
      <x:c r="F74" s="8" t="n">
        <x:v>48</x:v>
      </x:c>
      <x:c r="G74" s="8" t="n">
        <x:v>0.04112142707722589</x:v>
      </x:c>
      <x:c r="H74" s="8" t="n">
        <x:v>0.04112142707722589</x:v>
      </x:c>
    </x:row>
    <x:row r="75" ht="22" customHeight="1">
      <x:c r="A75" s="6" t="str">
        <x:v>盐市口</x:v>
      </x:c>
      <x:c r="B75" s="6" t="str">
        <x:v>都仕闲庭</x:v>
      </x:c>
      <x:c r="C75" s="6" t="n">
        <x:v>3</x:v>
      </x:c>
      <x:c r="D75" s="6" t="n">
        <x:v>0</x:v>
      </x:c>
      <x:c r="E75" s="8" t="n">
        <x:f>D75/C75</x:f>
        <x:v>0</x:v>
      </x:c>
      <x:c r="F75" s="8" t="n">
        <x:v>0</x:v>
      </x:c>
      <x:c r="G75" s="8"/>
      <x:c r="H75" s="8"/>
    </x:row>
    <x:row r="76" ht="22" customHeight="1">
      <x:c r="A76" s="6" t="str">
        <x:v>盐市口</x:v>
      </x:c>
      <x:c r="B76" s="6" t="str">
        <x:v>都市驿站</x:v>
      </x:c>
      <x:c r="C76" s="6" t="n">
        <x:v>9</x:v>
      </x:c>
      <x:c r="D76" s="6" t="n">
        <x:v>9</x:v>
      </x:c>
      <x:c r="E76" s="8" t="n">
        <x:f>D76/C76</x:f>
        <x:v>1</x:v>
      </x:c>
      <x:c r="F76" s="8" t="n">
        <x:v>9</x:v>
      </x:c>
      <x:c r="G76" s="8" t="n">
        <x:v>0.0739797653340204</x:v>
      </x:c>
      <x:c r="H76" s="8" t="n">
        <x:v>0.0739797653340204</x:v>
      </x:c>
    </x:row>
    <x:row r="77" ht="22" customHeight="1">
      <x:c r="A77" s="6" t="str">
        <x:v>盐市口</x:v>
      </x:c>
      <x:c r="B77" s="6" t="str">
        <x:v>银杏地带</x:v>
      </x:c>
      <x:c r="C77" s="6" t="n">
        <x:v>2</x:v>
      </x:c>
      <x:c r="D77" s="6" t="n">
        <x:v>2</x:v>
      </x:c>
      <x:c r="E77" s="8" t="n">
        <x:f>D77/C77</x:f>
        <x:v>1</x:v>
      </x:c>
      <x:c r="F77" s="8" t="n">
        <x:v>1</x:v>
      </x:c>
      <x:c r="G77" s="8" t="n">
        <x:v>0.248832546701372</x:v>
      </x:c>
      <x:c r="H77" s="8" t="n">
        <x:v>0.33415757588371436</x:v>
      </x:c>
    </x:row>
    <x:row r="78" ht="22" customHeight="1">
      <x:c r="A78" s="6" t="str">
        <x:v>盐市口</x:v>
      </x:c>
      <x:c r="B78" s="6" t="str">
        <x:v>阳光365</x:v>
      </x:c>
      <x:c r="C78" s="6" t="n">
        <x:v>14</x:v>
      </x:c>
      <x:c r="D78" s="6" t="n">
        <x:v>9</x:v>
      </x:c>
      <x:c r="E78" s="8" t="n">
        <x:f>D78/C78</x:f>
        <x:v>0.6428571428571429</x:v>
      </x:c>
      <x:c r="F78" s="8" t="n">
        <x:v>0</x:v>
      </x:c>
      <x:c r="G78" s="8" t="n">
        <x:v>-0.09206040201696108</x:v>
      </x:c>
      <x:c r="H78" s="8"/>
    </x:row>
    <x:row r="79" ht="22" customHeight="1">
      <x:c r="A79" s="6" t="str">
        <x:v>盐市口</x:v>
      </x:c>
      <x:c r="B79" s="6" t="str">
        <x:v>雕墅</x:v>
      </x:c>
      <x:c r="C79" s="6" t="n">
        <x:v>2</x:v>
      </x:c>
      <x:c r="D79" s="6" t="n">
        <x:v>0</x:v>
      </x:c>
      <x:c r="E79" s="8" t="n">
        <x:f>D79/C79</x:f>
        <x:v>0</x:v>
      </x:c>
      <x:c r="F79" s="8" t="n">
        <x:v>0</x:v>
      </x:c>
      <x:c r="G79" s="8"/>
      <x:c r="H79" s="8"/>
    </x:row>
    <x:row r="80" ht="22" customHeight="1">
      <x:c r="A80" s="6" t="str">
        <x:v>西南财大</x:v>
      </x:c>
      <x:c r="B80" s="6" t="str">
        <x:v>中华家园东区</x:v>
      </x:c>
      <x:c r="C80" s="6" t="n">
        <x:v>3</x:v>
      </x:c>
      <x:c r="D80" s="6" t="n">
        <x:v>3</x:v>
      </x:c>
      <x:c r="E80" s="8" t="n">
        <x:f>D80/C80</x:f>
        <x:v>1</x:v>
      </x:c>
      <x:c r="F80" s="8" t="n">
        <x:v>3</x:v>
      </x:c>
      <x:c r="G80" s="8" t="n">
        <x:v>0.0038737717309145214</x:v>
      </x:c>
      <x:c r="H80" s="8" t="n">
        <x:v>0.0038737717309145214</x:v>
      </x:c>
    </x:row>
    <x:row r="81" ht="22" customHeight="1">
      <x:c r="A81" s="6" t="str">
        <x:v>西南财大</x:v>
      </x:c>
      <x:c r="B81" s="6" t="str">
        <x:v>仁和时代春天广场</x:v>
      </x:c>
      <x:c r="C81" s="6" t="n">
        <x:v>4</x:v>
      </x:c>
      <x:c r="D81" s="6" t="n">
        <x:v>4</x:v>
      </x:c>
      <x:c r="E81" s="8" t="n">
        <x:f>D81/C81</x:f>
        <x:v>1</x:v>
      </x:c>
      <x:c r="F81" s="8" t="n">
        <x:v>1</x:v>
      </x:c>
      <x:c r="G81" s="8" t="n">
        <x:v>0.1129950557560303</x:v>
      </x:c>
      <x:c r="H81" s="8" t="n">
        <x:v>0.34770308268212324</x:v>
      </x:c>
    </x:row>
    <x:row r="82" ht="22" customHeight="1">
      <x:c r="A82" s="6" t="str">
        <x:v>西南财大</x:v>
      </x:c>
      <x:c r="B82" s="6" t="str">
        <x:v>光华馨地</x:v>
      </x:c>
      <x:c r="C82" s="6" t="n">
        <x:v>1</x:v>
      </x:c>
      <x:c r="D82" s="6" t="n">
        <x:v>1</x:v>
      </x:c>
      <x:c r="E82" s="8" t="n">
        <x:f>D82/C82</x:f>
        <x:v>1</x:v>
      </x:c>
      <x:c r="F82" s="8" t="n">
        <x:v>1</x:v>
      </x:c>
      <x:c r="G82" s="8" t="n">
        <x:v>0.06823511067665389</x:v>
      </x:c>
      <x:c r="H82" s="8" t="n">
        <x:v>0.06823511067665389</x:v>
      </x:c>
    </x:row>
    <x:row r="83" ht="22" customHeight="1">
      <x:c r="A83" s="6" t="str">
        <x:v>西南财大</x:v>
      </x:c>
      <x:c r="B83" s="6" t="str">
        <x:v>大陆西城秀筑</x:v>
      </x:c>
      <x:c r="C83" s="6" t="n">
        <x:v>2</x:v>
      </x:c>
      <x:c r="D83" s="6" t="n">
        <x:v>0</x:v>
      </x:c>
      <x:c r="E83" s="8" t="n">
        <x:f>D83/C83</x:f>
        <x:v>0</x:v>
      </x:c>
      <x:c r="F83" s="8" t="n">
        <x:v>0</x:v>
      </x:c>
      <x:c r="G83" s="8"/>
      <x:c r="H83" s="8"/>
    </x:row>
    <x:row r="84" ht="22" customHeight="1">
      <x:c r="A84" s="6" t="str">
        <x:v>西南财大</x:v>
      </x:c>
      <x:c r="B84" s="6" t="str">
        <x:v>水木光华</x:v>
      </x:c>
      <x:c r="C84" s="6" t="n">
        <x:v>16</x:v>
      </x:c>
      <x:c r="D84" s="6" t="n">
        <x:v>15</x:v>
      </x:c>
      <x:c r="E84" s="8" t="n">
        <x:f>D84/C84</x:f>
        <x:v>0.9375</x:v>
      </x:c>
      <x:c r="F84" s="8" t="n">
        <x:v>2</x:v>
      </x:c>
      <x:c r="G84" s="8" t="n">
        <x:v>0.08855027117555302</x:v>
      </x:c>
      <x:c r="H84" s="8" t="n">
        <x:v>0.3970665418485629</x:v>
      </x:c>
    </x:row>
    <x:row r="85" ht="22" customHeight="1">
      <x:c r="A85" s="6" t="str">
        <x:v>西南财大</x:v>
      </x:c>
      <x:c r="B85" s="6" t="str">
        <x:v>西财骏苑</x:v>
      </x:c>
      <x:c r="C85" s="6" t="n">
        <x:v>5</x:v>
      </x:c>
      <x:c r="D85" s="6" t="n">
        <x:v>2</x:v>
      </x:c>
      <x:c r="E85" s="8" t="n">
        <x:f>D85/C85</x:f>
        <x:v>0.4</x:v>
      </x:c>
      <x:c r="F85" s="8" t="n">
        <x:v>2</x:v>
      </x:c>
      <x:c r="G85" s="8" t="n">
        <x:v>0.030877697100475165</x:v>
      </x:c>
      <x:c r="H85" s="8" t="n">
        <x:v>0.030877697100475165</x:v>
      </x:c>
    </x:row>
    <x:row r="86" ht="22" customHeight="1">
      <x:c r="A86" s="6" t="str">
        <x:v>西南财大</x:v>
      </x:c>
      <x:c r="B86" s="6" t="str">
        <x:v>金沙时代城</x:v>
      </x:c>
      <x:c r="C86" s="6" t="n">
        <x:v>3</x:v>
      </x:c>
      <x:c r="D86" s="6" t="n">
        <x:v>3</x:v>
      </x:c>
      <x:c r="E86" s="8" t="n">
        <x:f>D86/C86</x:f>
        <x:v>1</x:v>
      </x:c>
      <x:c r="F86" s="8" t="n">
        <x:v>1</x:v>
      </x:c>
      <x:c r="G86" s="8" t="n">
        <x:v>0.16686795138828114</x:v>
      </x:c>
      <x:c r="H86" s="8" t="n">
        <x:v>0.2257451643546855</x:v>
      </x:c>
    </x:row>
    <x:row r="87" ht="22" customHeight="1">
      <x:c r="A87" s="6" t="str">
        <x:v>西南财大</x:v>
      </x:c>
      <x:c r="B87" s="6" t="str">
        <x:v>金沙时代生活广场</x:v>
      </x:c>
      <x:c r="C87" s="6" t="n">
        <x:v>2</x:v>
      </x:c>
      <x:c r="D87" s="6" t="n">
        <x:v>0</x:v>
      </x:c>
      <x:c r="E87" s="8" t="n">
        <x:f>D87/C87</x:f>
        <x:v>0</x:v>
      </x:c>
      <x:c r="F87" s="8" t="n">
        <x:v>0</x:v>
      </x:c>
      <x:c r="G87" s="8"/>
      <x:c r="H87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14" hidden="0" customWidth="1"/>
    <x:col min="4" max="4" width="14" hidden="0" customWidth="1"/>
    <x:col min="5" max="5" width="17" hidden="0" customWidth="1"/>
    <x:col min="6" max="6" width="19" hidden="0" customWidth="1"/>
    <x:col min="7" max="7" width="21" hidden="0" customWidth="1"/>
    <x:col min="8" max="8" width="17" hidden="0" customWidth="1"/>
    <x:col min="9" max="9" width="22" hidden="0" customWidth="1"/>
    <x:col min="10" max="10" width="18" hidden="0" customWidth="1"/>
    <x:col min="11" max="11" width="18" hidden="0" customWidth="1"/>
    <x:col min="12" max="12" width="17" hidden="0" customWidth="1"/>
    <x:col min="13" max="13" width="23" hidden="0" customWidth="1"/>
    <x:col min="14" max="14" width="24" hidden="0" customWidth="1"/>
    <x:col min="15" max="15" width="63" hidden="0" customWidth="1"/>
    <x:col min="16" max="16" width="22" hidden="0" customWidth="1"/>
  </x:cols>
  <x:sheetData>
    <x:row r="2">
      <x:c r="A2" s="1" t="str">
        <x:v>25–60㎡的539套精简装挂牌房源</x:v>
      </x:c>
    </x:row>
    <x:row r="3">
      <x:c r="A3" s="2" t="str">
        <x:v>成交参照：先用近12个月可比成交，若无则用历史全部成交；同小区+同室厅+面积差≤15%，以成交单价中位数估值。</x:v>
      </x:c>
    </x:row>
    <x:row r="6" ht="30" customHeight="1">
      <x:c r="A6" s="7" t="str">
        <x:v>商圈</x:v>
      </x:c>
      <x:c r="B6" s="7" t="str">
        <x:v>小区</x:v>
      </x:c>
      <x:c r="C6" s="7" t="str">
        <x:v>户型</x:v>
      </x:c>
      <x:c r="D6" s="7" t="str">
        <x:v>面积㎡</x:v>
      </x:c>
      <x:c r="E6" s="7" t="str">
        <x:v>挂牌价万元</x:v>
      </x:c>
      <x:c r="F6" s="7" t="str">
        <x:v>挂牌单价元/㎡</x:v>
      </x:c>
      <x:c r="G6" s="7" t="str">
        <x:v>可比成交中位单价</x:v>
      </x:c>
      <x:c r="H6" s="7" t="str">
        <x:v>挂牌溢价率</x:v>
      </x:c>
      <x:c r="I6" s="7" t="str">
        <x:v>参考成交总价万元</x:v>
      </x:c>
      <x:c r="J6" s="7" t="str">
        <x:v>全部可比成交</x:v>
      </x:c>
      <x:c r="K6" s="7" t="str">
        <x:v>近12月成交</x:v>
      </x:c>
      <x:c r="L6" s="7" t="str">
        <x:v>参照时间</x:v>
      </x:c>
      <x:c r="M6" s="7" t="str">
        <x:v>参照成交最新日期</x:v>
      </x:c>
      <x:c r="N6" s="7" t="str">
        <x:v>房源编号</x:v>
      </x:c>
      <x:c r="O6" s="7" t="str">
        <x:v>在售链接</x:v>
      </x:c>
      <x:c r="P6" s="7" t="str">
        <x:v>参考价下调幅度</x:v>
      </x:c>
    </x:row>
    <x:row r="7" ht="22" customHeight="1">
      <x:c r="A7" s="6" t="str">
        <x:v>华西</x:v>
      </x:c>
      <x:c r="B7" s="6" t="str">
        <x:v>黉门公馆</x:v>
      </x:c>
      <x:c r="C7" s="6" t="str">
        <x:v>1室1厅</x:v>
      </x:c>
      <x:c r="D7" s="6" t="n">
        <x:v>50.09</x:v>
      </x:c>
      <x:c r="E7" s="9" t="n">
        <x:v>78</x:v>
      </x:c>
      <x:c r="F7" s="6" t="n">
        <x:v>15571.970453184267</x:v>
      </x:c>
      <x:c r="G7" s="6" t="n">
        <x:v>14997.5</x:v>
      </x:c>
      <x:c r="H7" s="8" t="n">
        <x:f>F7/G7-1</x:f>
        <x:v>0.038304414281331356</x:v>
      </x:c>
      <x:c r="I7" s="9" t="n">
        <x:f>G7*D7/10000</x:f>
        <x:v>75.1224775</x:v>
      </x:c>
      <x:c r="J7" s="6" t="n">
        <x:v>5</x:v>
      </x:c>
      <x:c r="K7" s="6" t="n">
        <x:v>4</x:v>
      </x:c>
      <x:c r="L7" s="6" t="str">
        <x:v>近12个月</x:v>
      </x:c>
      <x:c r="M7" s="6" t="str">
        <x:v>2026-08-19</x:v>
      </x:c>
      <x:c r="N7" s="6" t="str">
        <x:v>106129666723</x:v>
      </x:c>
      <x:c r="O7" s="6" t="str">
        <x:v>https://cd.lianjia.com/ershoufang/106129666723.html</x:v>
      </x:c>
      <x:c r="P7" s="8" t="n">
        <x:f>1-I7/E7</x:f>
        <x:v>0.03689131410256408</x:v>
      </x:c>
    </x:row>
    <x:row r="8" ht="22" customHeight="1">
      <x:c r="A8" s="6" t="str">
        <x:v>华西</x:v>
      </x:c>
      <x:c r="B8" s="6" t="str">
        <x:v>黉门公馆</x:v>
      </x:c>
      <x:c r="C8" s="6" t="str">
        <x:v>1室1厅</x:v>
      </x:c>
      <x:c r="D8" s="6" t="n">
        <x:v>50.09</x:v>
      </x:c>
      <x:c r="E8" s="9" t="n">
        <x:v>85</x:v>
      </x:c>
      <x:c r="F8" s="6" t="n">
        <x:v>16969.454981034138</x:v>
      </x:c>
      <x:c r="G8" s="6" t="n">
        <x:v>14997.5</x:v>
      </x:c>
      <x:c r="H8" s="8" t="n">
        <x:f>F8/G8-1</x:f>
        <x:v>0.1314855796655534</x:v>
      </x:c>
      <x:c r="I8" s="9" t="n">
        <x:f>G8*D8/10000</x:f>
        <x:v>75.1224775</x:v>
      </x:c>
      <x:c r="J8" s="6" t="n">
        <x:v>5</x:v>
      </x:c>
      <x:c r="K8" s="6" t="n">
        <x:v>4</x:v>
      </x:c>
      <x:c r="L8" s="6" t="str">
        <x:v>近12个月</x:v>
      </x:c>
      <x:c r="M8" s="6" t="str">
        <x:v>2026-08-19</x:v>
      </x:c>
      <x:c r="N8" s="6" t="str">
        <x:v>106128591031</x:v>
      </x:c>
      <x:c r="O8" s="6" t="str">
        <x:v>https://cd.lianjia.com/ershoufang/106128591031.html</x:v>
      </x:c>
      <x:c r="P8" s="8" t="n">
        <x:f>1-I8/E8</x:f>
        <x:v>0.11620614705882348</x:v>
      </x:c>
    </x:row>
    <x:row r="9" ht="22" customHeight="1">
      <x:c r="A9" s="6" t="str">
        <x:v>华西</x:v>
      </x:c>
      <x:c r="B9" s="6" t="str">
        <x:v>丽景天成</x:v>
      </x:c>
      <x:c r="C9" s="6" t="str">
        <x:v>2室1厅</x:v>
      </x:c>
      <x:c r="D9" s="6" t="n">
        <x:v>56.34</x:v>
      </x:c>
      <x:c r="E9" s="9" t="n">
        <x:v>102</x:v>
      </x:c>
      <x:c r="F9" s="6" t="n">
        <x:v>18104.36634717785</x:v>
      </x:c>
      <x:c r="G9" s="6"/>
      <x:c r="H9" s="8"/>
      <x:c r="I9" s="9"/>
      <x:c r="J9" s="6" t="n">
        <x:v>0</x:v>
      </x:c>
      <x:c r="K9" s="6" t="n">
        <x:v>0</x:v>
      </x:c>
      <x:c r="L9" s="6" t="str">
        <x:v>无可比</x:v>
      </x:c>
      <x:c r="M9" s="6" t="str"/>
      <x:c r="N9" s="6" t="str">
        <x:v>106118664527</x:v>
      </x:c>
      <x:c r="O9" s="6" t="str">
        <x:v>https://cd.lianjia.com/ershoufang/106118664527.html</x:v>
      </x:c>
      <x:c r="P9" s="8"/>
    </x:row>
    <x:row r="10" ht="22" customHeight="1">
      <x:c r="A10" s="6" t="str">
        <x:v>华西</x:v>
      </x:c>
      <x:c r="B10" s="6" t="str">
        <x:v>丽景天成</x:v>
      </x:c>
      <x:c r="C10" s="6" t="str">
        <x:v>2室1厅</x:v>
      </x:c>
      <x:c r="D10" s="6" t="n">
        <x:v>58.52</x:v>
      </x:c>
      <x:c r="E10" s="9" t="n">
        <x:v>117</x:v>
      </x:c>
      <x:c r="F10" s="6" t="n">
        <x:v>19993.164730006833</x:v>
      </x:c>
      <x:c r="G10" s="6"/>
      <x:c r="H10" s="8"/>
      <x:c r="I10" s="9"/>
      <x:c r="J10" s="6" t="n">
        <x:v>0</x:v>
      </x:c>
      <x:c r="K10" s="6" t="n">
        <x:v>0</x:v>
      </x:c>
      <x:c r="L10" s="6" t="str">
        <x:v>无可比</x:v>
      </x:c>
      <x:c r="M10" s="6" t="str"/>
      <x:c r="N10" s="6" t="str">
        <x:v>106127557823</x:v>
      </x:c>
      <x:c r="O10" s="6" t="str">
        <x:v>https://cd.lianjia.com/ershoufang/106127557823.html</x:v>
      </x:c>
      <x:c r="P10" s="8"/>
    </x:row>
    <x:row r="11" ht="22" customHeight="1">
      <x:c r="A11" s="6" t="str">
        <x:v>华西</x:v>
      </x:c>
      <x:c r="B11" s="6" t="str">
        <x:v>丽景天成</x:v>
      </x:c>
      <x:c r="C11" s="6" t="str">
        <x:v>1室1厅</x:v>
      </x:c>
      <x:c r="D11" s="6" t="n">
        <x:v>59.3</x:v>
      </x:c>
      <x:c r="E11" s="9" t="n">
        <x:v>97</x:v>
      </x:c>
      <x:c r="F11" s="6" t="n">
        <x:v>16357.504215851603</x:v>
      </x:c>
      <x:c r="G11" s="6" t="n">
        <x:v>16986.5</x:v>
      </x:c>
      <x:c r="H11" s="8" t="n">
        <x:f>F11/G11-1</x:f>
        <x:v>-0.03702915751616853</x:v>
      </x:c>
      <x:c r="I11" s="9" t="n">
        <x:f>G11*D11/10000</x:f>
        <x:v>100.729945</x:v>
      </x:c>
      <x:c r="J11" s="6" t="n">
        <x:v>4</x:v>
      </x:c>
      <x:c r="K11" s="6" t="n">
        <x:v>0</x:v>
      </x:c>
      <x:c r="L11" s="6" t="str">
        <x:v>超过12个月</x:v>
      </x:c>
      <x:c r="M11" s="6" t="str">
        <x:v>2025-03-23</x:v>
      </x:c>
      <x:c r="N11" s="6" t="str">
        <x:v>106129483566</x:v>
      </x:c>
      <x:c r="O11" s="6" t="str">
        <x:v>https://cd.lianjia.com/ershoufang/106129483566.html</x:v>
      </x:c>
      <x:c r="P11" s="8" t="n">
        <x:f>1-I11/E11</x:f>
        <x:v>-0.03845304123711335</x:v>
      </x:c>
    </x:row>
    <x:row r="12" ht="22" customHeight="1">
      <x:c r="A12" s="6" t="str">
        <x:v>华西</x:v>
      </x:c>
      <x:c r="B12" s="6" t="str">
        <x:v>丽景天成</x:v>
      </x:c>
      <x:c r="C12" s="6" t="str">
        <x:v>1室1厅</x:v>
      </x:c>
      <x:c r="D12" s="6" t="n">
        <x:v>57.93</x:v>
      </x:c>
      <x:c r="E12" s="9" t="n">
        <x:v>95</x:v>
      </x:c>
      <x:c r="F12" s="6" t="n">
        <x:v>16399.102364923183</x:v>
      </x:c>
      <x:c r="G12" s="6" t="n">
        <x:v>16986.5</x:v>
      </x:c>
      <x:c r="H12" s="8" t="n">
        <x:f>F12/G12-1</x:f>
        <x:v>-0.034580262860319455</x:v>
      </x:c>
      <x:c r="I12" s="9" t="n">
        <x:f>G12*D12/10000</x:f>
        <x:v>98.4027945</x:v>
      </x:c>
      <x:c r="J12" s="6" t="n">
        <x:v>4</x:v>
      </x:c>
      <x:c r="K12" s="6" t="n">
        <x:v>0</x:v>
      </x:c>
      <x:c r="L12" s="6" t="str">
        <x:v>超过12个月</x:v>
      </x:c>
      <x:c r="M12" s="6" t="str">
        <x:v>2025-03-23</x:v>
      </x:c>
      <x:c r="N12" s="6" t="str">
        <x:v>106129412042</x:v>
      </x:c>
      <x:c r="O12" s="6" t="str">
        <x:v>https://cd.lianjia.com/ershoufang/106129412042.html</x:v>
      </x:c>
      <x:c r="P12" s="8" t="n">
        <x:f>1-I12/E12</x:f>
        <x:v>-0.03581888947368417</x:v>
      </x:c>
    </x:row>
    <x:row r="13" ht="22" customHeight="1">
      <x:c r="A13" s="6" t="str">
        <x:v>华西</x:v>
      </x:c>
      <x:c r="B13" s="6" t="str">
        <x:v>艺墅花乡</x:v>
      </x:c>
      <x:c r="C13" s="6" t="str">
        <x:v>2室1厅</x:v>
      </x:c>
      <x:c r="D13" s="6" t="n">
        <x:v>53.95</x:v>
      </x:c>
      <x:c r="E13" s="9" t="n">
        <x:v>100</x:v>
      </x:c>
      <x:c r="F13" s="6" t="n">
        <x:v>18535.681186283597</x:v>
      </x:c>
      <x:c r="G13" s="6"/>
      <x:c r="H13" s="8"/>
      <x:c r="I13" s="9"/>
      <x:c r="J13" s="6" t="n">
        <x:v>0</x:v>
      </x:c>
      <x:c r="K13" s="6" t="n">
        <x:v>0</x:v>
      </x:c>
      <x:c r="L13" s="6" t="str">
        <x:v>无可比</x:v>
      </x:c>
      <x:c r="M13" s="6" t="str"/>
      <x:c r="N13" s="6" t="str">
        <x:v>106118801081</x:v>
      </x:c>
      <x:c r="O13" s="6" t="str">
        <x:v>https://cd.lianjia.com/ershoufang/106118801081.html</x:v>
      </x:c>
      <x:c r="P13" s="8"/>
    </x:row>
    <x:row r="14" ht="22" customHeight="1">
      <x:c r="A14" s="6" t="str">
        <x:v>华西</x:v>
      </x:c>
      <x:c r="B14" s="6" t="str">
        <x:v>天竺丽苑</x:v>
      </x:c>
      <x:c r="C14" s="6" t="str">
        <x:v>1室1厅</x:v>
      </x:c>
      <x:c r="D14" s="6" t="n">
        <x:v>47.04</x:v>
      </x:c>
      <x:c r="E14" s="9" t="n">
        <x:v>75</x:v>
      </x:c>
      <x:c r="F14" s="6" t="n">
        <x:v>15943.877551020409</x:v>
      </x:c>
      <x:c r="G14" s="6" t="n">
        <x:v>13076</x:v>
      </x:c>
      <x:c r="H14" s="8" t="n">
        <x:f>F14/G14-1</x:f>
        <x:v>0.21932376499085415</x:v>
      </x:c>
      <x:c r="I14" s="9" t="n">
        <x:f>G14*D14/10000</x:f>
        <x:v>61.50950400000001</x:v>
      </x:c>
      <x:c r="J14" s="6" t="n">
        <x:v>3</x:v>
      </x:c>
      <x:c r="K14" s="6" t="n">
        <x:v>0</x:v>
      </x:c>
      <x:c r="L14" s="6" t="str">
        <x:v>超过12个月</x:v>
      </x:c>
      <x:c r="M14" s="6" t="str">
        <x:v>2025-03-29</x:v>
      </x:c>
      <x:c r="N14" s="6" t="str">
        <x:v>106129150378</x:v>
      </x:c>
      <x:c r="O14" s="6" t="str">
        <x:v>https://cd.lianjia.com/ershoufang/106129150378.html</x:v>
      </x:c>
      <x:c r="P14" s="8" t="n">
        <x:f>1-I14/E14</x:f>
        <x:v>0.1798732799999999</x:v>
      </x:c>
    </x:row>
    <x:row r="15" ht="22" customHeight="1">
      <x:c r="A15" s="6" t="str">
        <x:v>华西</x:v>
      </x:c>
      <x:c r="B15" s="6" t="str">
        <x:v>米兰风度花园</x:v>
      </x:c>
      <x:c r="C15" s="6" t="str">
        <x:v>2室1厅</x:v>
      </x:c>
      <x:c r="D15" s="6" t="n">
        <x:v>52.51</x:v>
      </x:c>
      <x:c r="E15" s="9" t="n">
        <x:v>80</x:v>
      </x:c>
      <x:c r="F15" s="6" t="n">
        <x:v>15235.19329651495</x:v>
      </x:c>
      <x:c r="G15" s="6" t="n">
        <x:v>12942.5</x:v>
      </x:c>
      <x:c r="H15" s="8" t="n">
        <x:f>F15/G15-1</x:f>
        <x:v>0.17714454676569047</x:v>
      </x:c>
      <x:c r="I15" s="9" t="n">
        <x:f>G15*D15/10000</x:f>
        <x:v>67.9610675</x:v>
      </x:c>
      <x:c r="J15" s="6" t="n">
        <x:v>2</x:v>
      </x:c>
      <x:c r="K15" s="6" t="n">
        <x:v>0</x:v>
      </x:c>
      <x:c r="L15" s="6" t="str">
        <x:v>超过12个月</x:v>
      </x:c>
      <x:c r="M15" s="6" t="str">
        <x:v>2025-09-14</x:v>
      </x:c>
      <x:c r="N15" s="6" t="str">
        <x:v>106127339364</x:v>
      </x:c>
      <x:c r="O15" s="6" t="str">
        <x:v>https://cd.lianjia.com/ershoufang/106127339364.html</x:v>
      </x:c>
      <x:c r="P15" s="8" t="n">
        <x:f>1-I15/E15</x:f>
        <x:v>0.15048665625000002</x:v>
      </x:c>
    </x:row>
    <x:row r="16" ht="22" customHeight="1">
      <x:c r="A16" s="6" t="str">
        <x:v>华西</x:v>
      </x:c>
      <x:c r="B16" s="6" t="str">
        <x:v>傲仕门</x:v>
      </x:c>
      <x:c r="C16" s="6" t="str">
        <x:v>1室1厅</x:v>
      </x:c>
      <x:c r="D16" s="6" t="n">
        <x:v>55.41</x:v>
      </x:c>
      <x:c r="E16" s="9" t="n">
        <x:v>95</x:v>
      </x:c>
      <x:c r="F16" s="6" t="n">
        <x:v>17144.919689586717</x:v>
      </x:c>
      <x:c r="G16" s="6" t="n">
        <x:v>14551</x:v>
      </x:c>
      <x:c r="H16" s="8" t="n">
        <x:f>F16/G16-1</x:f>
        <x:v>0.17826401550317628</x:v>
      </x:c>
      <x:c r="I16" s="9" t="n">
        <x:f>G16*D16/10000</x:f>
        <x:v>80.627091</x:v>
      </x:c>
      <x:c r="J16" s="6" t="n">
        <x:v>4</x:v>
      </x:c>
      <x:c r="K16" s="6" t="n">
        <x:v>2</x:v>
      </x:c>
      <x:c r="L16" s="6" t="str">
        <x:v>近12个月</x:v>
      </x:c>
      <x:c r="M16" s="6" t="str">
        <x:v>2026-03-08</x:v>
      </x:c>
      <x:c r="N16" s="6" t="str">
        <x:v>106121807884</x:v>
      </x:c>
      <x:c r="O16" s="6" t="str">
        <x:v>https://cd.lianjia.com/ershoufang/106121807884.html</x:v>
      </x:c>
      <x:c r="P16" s="8" t="n">
        <x:f>1-I16/E16</x:f>
        <x:v>0.1512937789473685</x:v>
      </x:c>
    </x:row>
    <x:row r="17" ht="22" customHeight="1">
      <x:c r="A17" s="6" t="str">
        <x:v>华西</x:v>
      </x:c>
      <x:c r="B17" s="6" t="str">
        <x:v>傲仕门</x:v>
      </x:c>
      <x:c r="C17" s="6" t="str">
        <x:v>1室1厅</x:v>
      </x:c>
      <x:c r="D17" s="6" t="n">
        <x:v>59.44</x:v>
      </x:c>
      <x:c r="E17" s="9" t="n">
        <x:v>95</x:v>
      </x:c>
      <x:c r="F17" s="6" t="n">
        <x:v>15982.503364737551</x:v>
      </x:c>
      <x:c r="G17" s="6" t="n">
        <x:v>14551</x:v>
      </x:c>
      <x:c r="H17" s="8" t="n">
        <x:f>F17/G17-1</x:f>
        <x:v>0.0983783495799293</x:v>
      </x:c>
      <x:c r="I17" s="9" t="n">
        <x:f>G17*D17/10000</x:f>
        <x:v>86.49114399999999</x:v>
      </x:c>
      <x:c r="J17" s="6" t="n">
        <x:v>4</x:v>
      </x:c>
      <x:c r="K17" s="6" t="n">
        <x:v>2</x:v>
      </x:c>
      <x:c r="L17" s="6" t="str">
        <x:v>近12个月</x:v>
      </x:c>
      <x:c r="M17" s="6" t="str">
        <x:v>2026-03-08</x:v>
      </x:c>
      <x:c r="N17" s="6" t="str">
        <x:v>106123379786</x:v>
      </x:c>
      <x:c r="O17" s="6" t="str">
        <x:v>https://cd.lianjia.com/ershoufang/106123379786.html</x:v>
      </x:c>
      <x:c r="P17" s="8" t="n">
        <x:f>1-I17/E17</x:f>
        <x:v>0.08956690526315803</x:v>
      </x:c>
    </x:row>
    <x:row r="18" ht="22" customHeight="1">
      <x:c r="A18" s="6" t="str">
        <x:v>华西</x:v>
      </x:c>
      <x:c r="B18" s="6" t="str">
        <x:v>米兰风度花园</x:v>
      </x:c>
      <x:c r="C18" s="6" t="str">
        <x:v>1室1厅</x:v>
      </x:c>
      <x:c r="D18" s="6" t="n">
        <x:v>52.51</x:v>
      </x:c>
      <x:c r="E18" s="9" t="n">
        <x:v>73</x:v>
      </x:c>
      <x:c r="F18" s="6" t="n">
        <x:v>13902.113883069893</x:v>
      </x:c>
      <x:c r="G18" s="6" t="n">
        <x:v>12057</x:v>
      </x:c>
      <x:c r="H18" s="8" t="n">
        <x:f>F18/G18-1</x:f>
        <x:v>0.1530325854748189</x:v>
      </x:c>
      <x:c r="I18" s="9" t="n">
        <x:f>G18*D18/10000</x:f>
        <x:v>63.31130699999999</x:v>
      </x:c>
      <x:c r="J18" s="6" t="n">
        <x:v>1</x:v>
      </x:c>
      <x:c r="K18" s="6" t="n">
        <x:v>0</x:v>
      </x:c>
      <x:c r="L18" s="6" t="str">
        <x:v>超过12个月</x:v>
      </x:c>
      <x:c r="M18" s="6" t="str">
        <x:v>2024-11-19</x:v>
      </x:c>
      <x:c r="N18" s="6" t="str">
        <x:v>106124158582</x:v>
      </x:c>
      <x:c r="O18" s="6" t="str">
        <x:v>https://cd.lianjia.com/ershoufang/106124158582.html</x:v>
      </x:c>
      <x:c r="P18" s="8" t="n">
        <x:f>1-I18/E18</x:f>
        <x:v>0.13272182191780835</x:v>
      </x:c>
    </x:row>
    <x:row r="19" ht="22" customHeight="1">
      <x:c r="A19" s="6" t="str">
        <x:v>华西</x:v>
      </x:c>
      <x:c r="B19" s="6" t="str">
        <x:v>凯蒂阳光</x:v>
      </x:c>
      <x:c r="C19" s="6" t="str">
        <x:v>1室1厅</x:v>
      </x:c>
      <x:c r="D19" s="6" t="n">
        <x:v>51.94</x:v>
      </x:c>
      <x:c r="E19" s="9" t="n">
        <x:v>98</x:v>
      </x:c>
      <x:c r="F19" s="6" t="n">
        <x:v>18867.924528301886</x:v>
      </x:c>
      <x:c r="G19" s="6" t="n">
        <x:v>14778.5</x:v>
      </x:c>
      <x:c r="H19" s="8" t="n">
        <x:f>F19/G19-1</x:f>
        <x:v>0.27671445196074607</x:v>
      </x:c>
      <x:c r="I19" s="9" t="n">
        <x:f>G19*D19/10000</x:f>
        <x:v>76.75952899999999</x:v>
      </x:c>
      <x:c r="J19" s="6" t="n">
        <x:v>4</x:v>
      </x:c>
      <x:c r="K19" s="6" t="n">
        <x:v>2</x:v>
      </x:c>
      <x:c r="L19" s="6" t="str">
        <x:v>近12个月</x:v>
      </x:c>
      <x:c r="M19" s="6" t="str">
        <x:v>2026-09-02</x:v>
      </x:c>
      <x:c r="N19" s="6" t="str">
        <x:v>106123405462</x:v>
      </x:c>
      <x:c r="O19" s="6" t="str">
        <x:v>https://cd.lianjia.com/ershoufang/106123405462.html</x:v>
      </x:c>
      <x:c r="P19" s="8" t="n">
        <x:f>1-I19/E19</x:f>
        <x:v>0.21673950000000008</x:v>
      </x:c>
    </x:row>
    <x:row r="20" ht="22" customHeight="1">
      <x:c r="A20" s="6" t="str">
        <x:v>华西</x:v>
      </x:c>
      <x:c r="B20" s="6" t="str">
        <x:v>艺墅花乡</x:v>
      </x:c>
      <x:c r="C20" s="6" t="str">
        <x:v>2室1厅</x:v>
      </x:c>
      <x:c r="D20" s="6" t="n">
        <x:v>42.17</x:v>
      </x:c>
      <x:c r="E20" s="9" t="n">
        <x:v>63</x:v>
      </x:c>
      <x:c r="F20" s="6" t="n">
        <x:v>14939.530471899454</x:v>
      </x:c>
      <x:c r="G20" s="6"/>
      <x:c r="H20" s="8"/>
      <x:c r="I20" s="9"/>
      <x:c r="J20" s="6" t="n">
        <x:v>0</x:v>
      </x:c>
      <x:c r="K20" s="6" t="n">
        <x:v>0</x:v>
      </x:c>
      <x:c r="L20" s="6" t="str">
        <x:v>无可比</x:v>
      </x:c>
      <x:c r="M20" s="6" t="str"/>
      <x:c r="N20" s="6" t="str">
        <x:v>106116981602</x:v>
      </x:c>
      <x:c r="O20" s="6" t="str">
        <x:v>https://cd.lianjia.com/ershoufang/106116981602.html</x:v>
      </x:c>
      <x:c r="P20" s="8"/>
    </x:row>
    <x:row r="21" ht="22" customHeight="1">
      <x:c r="A21" s="6" t="str">
        <x:v>川大</x:v>
      </x:c>
      <x:c r="B21" s="6" t="str">
        <x:v>和信派都</x:v>
      </x:c>
      <x:c r="C21" s="6" t="str">
        <x:v>1室1厅</x:v>
      </x:c>
      <x:c r="D21" s="6" t="n">
        <x:v>54.77</x:v>
      </x:c>
      <x:c r="E21" s="9" t="n">
        <x:v>83</x:v>
      </x:c>
      <x:c r="F21" s="6" t="n">
        <x:v>15154.281540989592</x:v>
      </x:c>
      <x:c r="G21" s="6" t="n">
        <x:v>13995</x:v>
      </x:c>
      <x:c r="H21" s="8" t="n">
        <x:f>F21/G21-1</x:f>
        <x:v>0.08283540843083892</x:v>
      </x:c>
      <x:c r="I21" s="9" t="n">
        <x:f>G21*D21/10000</x:f>
        <x:v>76.650615</x:v>
      </x:c>
      <x:c r="J21" s="6" t="n">
        <x:v>9</x:v>
      </x:c>
      <x:c r="K21" s="6" t="n">
        <x:v>4</x:v>
      </x:c>
      <x:c r="L21" s="6" t="str">
        <x:v>近12个月</x:v>
      </x:c>
      <x:c r="M21" s="6" t="str">
        <x:v>2026-07-16</x:v>
      </x:c>
      <x:c r="N21" s="6" t="str">
        <x:v>106120391071</x:v>
      </x:c>
      <x:c r="O21" s="6" t="str">
        <x:v>https://cd.lianjia.com/ershoufang/106120391071.html</x:v>
      </x:c>
      <x:c r="P21" s="8" t="n">
        <x:f>1-I21/E21</x:f>
        <x:v>0.07649861445783135</x:v>
      </x:c>
    </x:row>
    <x:row r="22" ht="22" customHeight="1">
      <x:c r="A22" s="6" t="str">
        <x:v>川大</x:v>
      </x:c>
      <x:c r="B22" s="6" t="str">
        <x:v>樱花假日</x:v>
      </x:c>
      <x:c r="C22" s="6" t="str">
        <x:v>1室1厅</x:v>
      </x:c>
      <x:c r="D22" s="6" t="n">
        <x:v>51.85</x:v>
      </x:c>
      <x:c r="E22" s="9" t="n">
        <x:v>74</x:v>
      </x:c>
      <x:c r="F22" s="6" t="n">
        <x:v>14271.938283510124</x:v>
      </x:c>
      <x:c r="G22" s="6"/>
      <x:c r="H22" s="8"/>
      <x:c r="I22" s="9"/>
      <x:c r="J22" s="6" t="n">
        <x:v>0</x:v>
      </x:c>
      <x:c r="K22" s="6" t="n">
        <x:v>0</x:v>
      </x:c>
      <x:c r="L22" s="6" t="str">
        <x:v>无可比</x:v>
      </x:c>
      <x:c r="M22" s="6" t="str"/>
      <x:c r="N22" s="6" t="str">
        <x:v>106124044904</x:v>
      </x:c>
      <x:c r="O22" s="6" t="str">
        <x:v>https://cd.lianjia.com/ershoufang/106124044904.html</x:v>
      </x:c>
      <x:c r="P22" s="8"/>
    </x:row>
    <x:row r="23" ht="22" customHeight="1">
      <x:c r="A23" s="6" t="str">
        <x:v>川大</x:v>
      </x:c>
      <x:c r="B23" s="6" t="str">
        <x:v>纯真年代</x:v>
      </x:c>
      <x:c r="C23" s="6" t="str">
        <x:v>1室1厅</x:v>
      </x:c>
      <x:c r="D23" s="6" t="n">
        <x:v>52.24</x:v>
      </x:c>
      <x:c r="E23" s="9" t="n">
        <x:v>84</x:v>
      </x:c>
      <x:c r="F23" s="6" t="n">
        <x:v>16079.632465543644</x:v>
      </x:c>
      <x:c r="G23" s="6" t="n">
        <x:v>15027</x:v>
      </x:c>
      <x:c r="H23" s="8" t="n">
        <x:f>F23/G23-1</x:f>
        <x:v>0.07004940876712884</x:v>
      </x:c>
      <x:c r="I23" s="9" t="n">
        <x:f>G23*D23/10000</x:f>
        <x:v>78.501048</x:v>
      </x:c>
      <x:c r="J23" s="6" t="n">
        <x:v>2</x:v>
      </x:c>
      <x:c r="K23" s="6" t="n">
        <x:v>0</x:v>
      </x:c>
      <x:c r="L23" s="6" t="str">
        <x:v>超过12个月</x:v>
      </x:c>
      <x:c r="M23" s="6" t="str">
        <x:v>2025-05-28</x:v>
      </x:c>
      <x:c r="N23" s="6" t="str">
        <x:v>106125469615</x:v>
      </x:c>
      <x:c r="O23" s="6" t="str">
        <x:v>https://cd.lianjia.com/ershoufang/106125469615.html</x:v>
      </x:c>
      <x:c r="P23" s="8" t="n">
        <x:f>1-I23/E23</x:f>
        <x:v>0.06546371428571429</x:v>
      </x:c>
    </x:row>
    <x:row r="24" ht="22" customHeight="1">
      <x:c r="A24" s="6" t="str">
        <x:v>川大</x:v>
      </x:c>
      <x:c r="B24" s="6" t="str">
        <x:v>和信派都</x:v>
      </x:c>
      <x:c r="C24" s="6" t="str">
        <x:v>1室1厅</x:v>
      </x:c>
      <x:c r="D24" s="6" t="n">
        <x:v>52.38</x:v>
      </x:c>
      <x:c r="E24" s="9" t="n">
        <x:v>83</x:v>
      </x:c>
      <x:c r="F24" s="6" t="n">
        <x:v>15845.74264986636</x:v>
      </x:c>
      <x:c r="G24" s="6" t="n">
        <x:v>14892</x:v>
      </x:c>
      <x:c r="H24" s="8" t="n">
        <x:f>F24/G24-1</x:f>
        <x:v>0.06404395983523781</x:v>
      </x:c>
      <x:c r="I24" s="9" t="n">
        <x:f>G24*D24/10000</x:f>
        <x:v>78.00429600000001</x:v>
      </x:c>
      <x:c r="J24" s="6" t="n">
        <x:v>4</x:v>
      </x:c>
      <x:c r="K24" s="6" t="n">
        <x:v>1</x:v>
      </x:c>
      <x:c r="L24" s="6" t="str">
        <x:v>近12个月</x:v>
      </x:c>
      <x:c r="M24" s="6" t="str">
        <x:v>2026-06-28</x:v>
      </x:c>
      <x:c r="N24" s="6" t="str">
        <x:v>106127172217</x:v>
      </x:c>
      <x:c r="O24" s="6" t="str">
        <x:v>https://cd.lianjia.com/ershoufang/106127172217.html</x:v>
      </x:c>
      <x:c r="P24" s="8" t="n">
        <x:f>1-I24/E24</x:f>
        <x:v>0.06018920481927703</x:v>
      </x:c>
    </x:row>
    <x:row r="25" ht="22" customHeight="1">
      <x:c r="A25" s="6" t="str">
        <x:v>川大</x:v>
      </x:c>
      <x:c r="B25" s="6" t="str">
        <x:v>樱花假日</x:v>
      </x:c>
      <x:c r="C25" s="6" t="str">
        <x:v>1室1厅</x:v>
      </x:c>
      <x:c r="D25" s="6" t="n">
        <x:v>51.85</x:v>
      </x:c>
      <x:c r="E25" s="9" t="n">
        <x:v>70</x:v>
      </x:c>
      <x:c r="F25" s="6" t="n">
        <x:v>13500.482160077145</x:v>
      </x:c>
      <x:c r="G25" s="6"/>
      <x:c r="H25" s="8"/>
      <x:c r="I25" s="9"/>
      <x:c r="J25" s="6" t="n">
        <x:v>0</x:v>
      </x:c>
      <x:c r="K25" s="6" t="n">
        <x:v>0</x:v>
      </x:c>
      <x:c r="L25" s="6" t="str">
        <x:v>无可比</x:v>
      </x:c>
      <x:c r="M25" s="6" t="str"/>
      <x:c r="N25" s="6" t="str">
        <x:v>106129340854</x:v>
      </x:c>
      <x:c r="O25" s="6" t="str">
        <x:v>https://cd.lianjia.com/ershoufang/106129340854.html</x:v>
      </x:c>
      <x:c r="P25" s="8"/>
    </x:row>
    <x:row r="26" ht="22" customHeight="1">
      <x:c r="A26" s="6" t="str">
        <x:v>川大</x:v>
      </x:c>
      <x:c r="B26" s="6" t="str">
        <x:v>和信派都</x:v>
      </x:c>
      <x:c r="C26" s="6" t="str">
        <x:v>1室1厅</x:v>
      </x:c>
      <x:c r="D26" s="6" t="n">
        <x:v>52.38</x:v>
      </x:c>
      <x:c r="E26" s="9" t="n">
        <x:v>78</x:v>
      </x:c>
      <x:c r="F26" s="6" t="n">
        <x:v>14891.179839633447</x:v>
      </x:c>
      <x:c r="G26" s="6" t="n">
        <x:v>14892</x:v>
      </x:c>
      <x:c r="H26" s="8" t="n">
        <x:f>F26/G26-1</x:f>
        <x:v>-0.000055073889776546814</x:v>
      </x:c>
      <x:c r="I26" s="9" t="n">
        <x:f>G26*D26/10000</x:f>
        <x:v>78.00429600000001</x:v>
      </x:c>
      <x:c r="J26" s="6" t="n">
        <x:v>4</x:v>
      </x:c>
      <x:c r="K26" s="6" t="n">
        <x:v>1</x:v>
      </x:c>
      <x:c r="L26" s="6" t="str">
        <x:v>近12个月</x:v>
      </x:c>
      <x:c r="M26" s="6" t="str">
        <x:v>2026-06-28</x:v>
      </x:c>
      <x:c r="N26" s="6" t="str">
        <x:v>106124620643</x:v>
      </x:c>
      <x:c r="O26" s="6" t="str">
        <x:v>https://cd.lianjia.com/ershoufang/106124620643.html</x:v>
      </x:c>
      <x:c r="P26" s="8" t="n">
        <x:f>1-I26/E26</x:f>
        <x:v>-0.0000550769230771575</x:v>
      </x:c>
    </x:row>
    <x:row r="27" ht="22" customHeight="1">
      <x:c r="A27" s="6" t="str">
        <x:v>川大</x:v>
      </x:c>
      <x:c r="B27" s="6" t="str">
        <x:v>和信派都</x:v>
      </x:c>
      <x:c r="C27" s="6" t="str">
        <x:v>1室1厅</x:v>
      </x:c>
      <x:c r="D27" s="6" t="n">
        <x:v>54.77</x:v>
      </x:c>
      <x:c r="E27" s="9" t="n">
        <x:v>85</x:v>
      </x:c>
      <x:c r="F27" s="6" t="n">
        <x:v>15519.444951615847</x:v>
      </x:c>
      <x:c r="G27" s="6" t="n">
        <x:v>13995</x:v>
      </x:c>
      <x:c r="H27" s="8" t="n">
        <x:f>F27/G27-1</x:f>
        <x:v>0.10892782791110012</x:v>
      </x:c>
      <x:c r="I27" s="9" t="n">
        <x:f>G27*D27/10000</x:f>
        <x:v>76.650615</x:v>
      </x:c>
      <x:c r="J27" s="6" t="n">
        <x:v>9</x:v>
      </x:c>
      <x:c r="K27" s="6" t="n">
        <x:v>4</x:v>
      </x:c>
      <x:c r="L27" s="6" t="str">
        <x:v>近12个月</x:v>
      </x:c>
      <x:c r="M27" s="6" t="str">
        <x:v>2026-07-16</x:v>
      </x:c>
      <x:c r="N27" s="6" t="str">
        <x:v>106121829033</x:v>
      </x:c>
      <x:c r="O27" s="6" t="str">
        <x:v>https://cd.lianjia.com/ershoufang/106121829033.html</x:v>
      </x:c>
      <x:c r="P27" s="8" t="n">
        <x:f>1-I27/E27</x:f>
        <x:v>0.09822805882352936</x:v>
      </x:c>
    </x:row>
    <x:row r="28" ht="22" customHeight="1">
      <x:c r="A28" s="6" t="str">
        <x:v>川大</x:v>
      </x:c>
      <x:c r="B28" s="6" t="str">
        <x:v>青年家园</x:v>
      </x:c>
      <x:c r="C28" s="6" t="str">
        <x:v>1室1厅</x:v>
      </x:c>
      <x:c r="D28" s="6" t="n">
        <x:v>58.53</x:v>
      </x:c>
      <x:c r="E28" s="9" t="n">
        <x:v>90</x:v>
      </x:c>
      <x:c r="F28" s="6" t="n">
        <x:v>15376.729882111737</x:v>
      </x:c>
      <x:c r="G28" s="6"/>
      <x:c r="H28" s="8"/>
      <x:c r="I28" s="9"/>
      <x:c r="J28" s="6" t="n">
        <x:v>0</x:v>
      </x:c>
      <x:c r="K28" s="6" t="n">
        <x:v>0</x:v>
      </x:c>
      <x:c r="L28" s="6" t="str">
        <x:v>无可比</x:v>
      </x:c>
      <x:c r="M28" s="6" t="str"/>
      <x:c r="N28" s="6" t="str">
        <x:v>106128669538</x:v>
      </x:c>
      <x:c r="O28" s="6" t="str">
        <x:v>https://cd.lianjia.com/ershoufang/106128669538.html</x:v>
      </x:c>
      <x:c r="P28" s="8"/>
    </x:row>
    <x:row r="29" ht="22" customHeight="1">
      <x:c r="A29" s="6" t="str">
        <x:v>川大</x:v>
      </x:c>
      <x:c r="B29" s="6" t="str">
        <x:v>樱花假日</x:v>
      </x:c>
      <x:c r="C29" s="6" t="str">
        <x:v>2室1厅</x:v>
      </x:c>
      <x:c r="D29" s="6" t="n">
        <x:v>59</x:v>
      </x:c>
      <x:c r="E29" s="9" t="n">
        <x:v>80</x:v>
      </x:c>
      <x:c r="F29" s="6" t="n">
        <x:v>13559.322033898305</x:v>
      </x:c>
      <x:c r="G29" s="6" t="n">
        <x:v>12947</x:v>
      </x:c>
      <x:c r="H29" s="8" t="n">
        <x:f>F29/G29-1</x:f>
        <x:v>0.04729451099855608</x:v>
      </x:c>
      <x:c r="I29" s="9" t="n">
        <x:f>G29*D29/10000</x:f>
        <x:v>76.3873</x:v>
      </x:c>
      <x:c r="J29" s="6" t="n">
        <x:v>2</x:v>
      </x:c>
      <x:c r="K29" s="6" t="n">
        <x:v>1</x:v>
      </x:c>
      <x:c r="L29" s="6" t="str">
        <x:v>近12个月</x:v>
      </x:c>
      <x:c r="M29" s="6" t="str">
        <x:v>2025-12-30</x:v>
      </x:c>
      <x:c r="N29" s="6" t="str">
        <x:v>106120532293</x:v>
      </x:c>
      <x:c r="O29" s="6" t="str">
        <x:v>https://cd.lianjia.com/ershoufang/106120532293.html</x:v>
      </x:c>
      <x:c r="P29" s="8" t="n">
        <x:f>1-I29/E29</x:f>
        <x:v>0.045158750000000025</x:v>
      </x:c>
    </x:row>
    <x:row r="30" ht="22" customHeight="1">
      <x:c r="A30" s="6" t="str">
        <x:v>川大</x:v>
      </x:c>
      <x:c r="B30" s="6" t="str">
        <x:v>和信派都</x:v>
      </x:c>
      <x:c r="C30" s="6" t="str">
        <x:v>1室1厅</x:v>
      </x:c>
      <x:c r="D30" s="6" t="n">
        <x:v>56.39</x:v>
      </x:c>
      <x:c r="E30" s="9" t="n">
        <x:v>93</x:v>
      </x:c>
      <x:c r="F30" s="6" t="n">
        <x:v>16492.28586628835</x:v>
      </x:c>
      <x:c r="G30" s="6" t="n">
        <x:v>13995</x:v>
      </x:c>
      <x:c r="H30" s="8" t="n">
        <x:f>F30/G30-1</x:f>
        <x:v>0.1784412909102071</x:v>
      </x:c>
      <x:c r="I30" s="9" t="n">
        <x:f>G30*D30/10000</x:f>
        <x:v>78.917805</x:v>
      </x:c>
      <x:c r="J30" s="6" t="n">
        <x:v>9</x:v>
      </x:c>
      <x:c r="K30" s="6" t="n">
        <x:v>4</x:v>
      </x:c>
      <x:c r="L30" s="6" t="str">
        <x:v>近12个月</x:v>
      </x:c>
      <x:c r="M30" s="6" t="str">
        <x:v>2026-07-16</x:v>
      </x:c>
      <x:c r="N30" s="6" t="str">
        <x:v>106128213694</x:v>
      </x:c>
      <x:c r="O30" s="6" t="str">
        <x:v>https://cd.lianjia.com/ershoufang/106128213694.html</x:v>
      </x:c>
      <x:c r="P30" s="8" t="n">
        <x:f>1-I30/E30</x:f>
        <x:v>0.1514214516129032</x:v>
      </x:c>
    </x:row>
    <x:row r="31" ht="22" customHeight="1">
      <x:c r="A31" s="6" t="str">
        <x:v>川大</x:v>
      </x:c>
      <x:c r="B31" s="6" t="str">
        <x:v>和信派都</x:v>
      </x:c>
      <x:c r="C31" s="6" t="str">
        <x:v>1室1厅</x:v>
      </x:c>
      <x:c r="D31" s="6" t="n">
        <x:v>52.38</x:v>
      </x:c>
      <x:c r="E31" s="9" t="n">
        <x:v>95</x:v>
      </x:c>
      <x:c r="F31" s="6" t="n">
        <x:v>18136.69339442535</x:v>
      </x:c>
      <x:c r="G31" s="6" t="n">
        <x:v>14892</x:v>
      </x:c>
      <x:c r="H31" s="8" t="n">
        <x:f>F31/G31-1</x:f>
        <x:v>0.21788164077527195</x:v>
      </x:c>
      <x:c r="I31" s="9" t="n">
        <x:f>G31*D31/10000</x:f>
        <x:v>78.00429600000001</x:v>
      </x:c>
      <x:c r="J31" s="6" t="n">
        <x:v>4</x:v>
      </x:c>
      <x:c r="K31" s="6" t="n">
        <x:v>1</x:v>
      </x:c>
      <x:c r="L31" s="6" t="str">
        <x:v>近12个月</x:v>
      </x:c>
      <x:c r="M31" s="6" t="str">
        <x:v>2026-06-28</x:v>
      </x:c>
      <x:c r="N31" s="6" t="str">
        <x:v>106122735713</x:v>
      </x:c>
      <x:c r="O31" s="6" t="str">
        <x:v>https://cd.lianjia.com/ershoufang/106122735713.html</x:v>
      </x:c>
      <x:c r="P31" s="8" t="n">
        <x:f>1-I31/E31</x:f>
        <x:v>0.17890214736842092</x:v>
      </x:c>
    </x:row>
    <x:row r="32" ht="22" customHeight="1">
      <x:c r="A32" s="6" t="str">
        <x:v>川大</x:v>
      </x:c>
      <x:c r="B32" s="6" t="str">
        <x:v>纯真年代</x:v>
      </x:c>
      <x:c r="C32" s="6" t="str">
        <x:v>1室1厅</x:v>
      </x:c>
      <x:c r="D32" s="6" t="n">
        <x:v>56.08</x:v>
      </x:c>
      <x:c r="E32" s="9" t="n">
        <x:v>99.7</x:v>
      </x:c>
      <x:c r="F32" s="6" t="n">
        <x:v>17778.174037089873</x:v>
      </x:c>
      <x:c r="G32" s="6"/>
      <x:c r="H32" s="8"/>
      <x:c r="I32" s="9"/>
      <x:c r="J32" s="6" t="n">
        <x:v>0</x:v>
      </x:c>
      <x:c r="K32" s="6" t="n">
        <x:v>0</x:v>
      </x:c>
      <x:c r="L32" s="6" t="str">
        <x:v>无可比</x:v>
      </x:c>
      <x:c r="M32" s="6" t="str"/>
      <x:c r="N32" s="6" t="str">
        <x:v>106125627226</x:v>
      </x:c>
      <x:c r="O32" s="6" t="str">
        <x:v>https://cd.lianjia.com/ershoufang/106125627226.html</x:v>
      </x:c>
      <x:c r="P32" s="8"/>
    </x:row>
    <x:row r="33" ht="22" customHeight="1">
      <x:c r="A33" s="6" t="str">
        <x:v>川音</x:v>
      </x:c>
      <x:c r="B33" s="6" t="str">
        <x:v>美丽人生</x:v>
      </x:c>
      <x:c r="C33" s="6" t="str">
        <x:v>1室1厅</x:v>
      </x:c>
      <x:c r="D33" s="6" t="n">
        <x:v>57.21</x:v>
      </x:c>
      <x:c r="E33" s="9" t="n">
        <x:v>118</x:v>
      </x:c>
      <x:c r="F33" s="6" t="n">
        <x:v>20625.764726446425</x:v>
      </x:c>
      <x:c r="G33" s="6"/>
      <x:c r="H33" s="8"/>
      <x:c r="I33" s="9"/>
      <x:c r="J33" s="6" t="n">
        <x:v>0</x:v>
      </x:c>
      <x:c r="K33" s="6" t="n">
        <x:v>0</x:v>
      </x:c>
      <x:c r="L33" s="6" t="str">
        <x:v>无可比</x:v>
      </x:c>
      <x:c r="M33" s="6" t="str"/>
      <x:c r="N33" s="6" t="str">
        <x:v>106115439402</x:v>
      </x:c>
      <x:c r="O33" s="6" t="str">
        <x:v>https://cd.lianjia.com/ershoufang/106115439402.html</x:v>
      </x:c>
      <x:c r="P33" s="8"/>
    </x:row>
    <x:row r="34" ht="22" customHeight="1">
      <x:c r="A34" s="6" t="str">
        <x:v>川音</x:v>
      </x:c>
      <x:c r="B34" s="6" t="str">
        <x:v>廊桥乐章</x:v>
      </x:c>
      <x:c r="C34" s="6" t="str">
        <x:v>2室1厅</x:v>
      </x:c>
      <x:c r="D34" s="6" t="n">
        <x:v>57.85</x:v>
      </x:c>
      <x:c r="E34" s="9" t="n">
        <x:v>115</x:v>
      </x:c>
      <x:c r="F34" s="6" t="n">
        <x:v>19878.997407087296</x:v>
      </x:c>
      <x:c r="G34" s="6" t="n">
        <x:v>18237</x:v>
      </x:c>
      <x:c r="H34" s="8" t="n">
        <x:f>F34/G34-1</x:f>
        <x:v>0.09003659631997007</x:v>
      </x:c>
      <x:c r="I34" s="9" t="n">
        <x:f>G34*D34/10000</x:f>
        <x:v>105.50104499999999</x:v>
      </x:c>
      <x:c r="J34" s="6" t="n">
        <x:v>3</x:v>
      </x:c>
      <x:c r="K34" s="6" t="n">
        <x:v>1</x:v>
      </x:c>
      <x:c r="L34" s="6" t="str">
        <x:v>近12个月</x:v>
      </x:c>
      <x:c r="M34" s="6" t="str">
        <x:v>2025-11-26</x:v>
      </x:c>
      <x:c r="N34" s="6" t="str">
        <x:v>106125412997</x:v>
      </x:c>
      <x:c r="O34" s="6" t="str">
        <x:v>https://cd.lianjia.com/ershoufang/106125412997.html</x:v>
      </x:c>
      <x:c r="P34" s="8" t="n">
        <x:f>1-I34/E34</x:f>
        <x:v>0.0825996086956523</x:v>
      </x:c>
    </x:row>
    <x:row r="35" ht="22" customHeight="1">
      <x:c r="A35" s="6" t="str">
        <x:v>棕北</x:v>
      </x:c>
      <x:c r="B35" s="6" t="str">
        <x:v>花样年华梦想家</x:v>
      </x:c>
      <x:c r="C35" s="6" t="str">
        <x:v>1室1厅</x:v>
      </x:c>
      <x:c r="D35" s="6" t="n">
        <x:v>55.6</x:v>
      </x:c>
      <x:c r="E35" s="9" t="n">
        <x:v>71.8</x:v>
      </x:c>
      <x:c r="F35" s="6" t="n">
        <x:v>12913.669064748201</x:v>
      </x:c>
      <x:c r="G35" s="6" t="n">
        <x:v>9461</x:v>
      </x:c>
      <x:c r="H35" s="8" t="n">
        <x:f>F35/G35-1</x:f>
        <x:v>0.3649370113886694</x:v>
      </x:c>
      <x:c r="I35" s="9" t="n">
        <x:f>G35*D35/10000</x:f>
        <x:v>52.603159999999995</x:v>
      </x:c>
      <x:c r="J35" s="6" t="n">
        <x:v>5</x:v>
      </x:c>
      <x:c r="K35" s="6" t="n">
        <x:v>3</x:v>
      </x:c>
      <x:c r="L35" s="6" t="str">
        <x:v>近12个月</x:v>
      </x:c>
      <x:c r="M35" s="6" t="str">
        <x:v>2026-09-16</x:v>
      </x:c>
      <x:c r="N35" s="6" t="str">
        <x:v>106124139172</x:v>
      </x:c>
      <x:c r="O35" s="6" t="str">
        <x:v>https://cd.lianjia.com/ershoufang/106124139172.html</x:v>
      </x:c>
      <x:c r="P35" s="8" t="n">
        <x:f>1-I35/E35</x:f>
        <x:v>0.2673654596100279</x:v>
      </x:c>
    </x:row>
    <x:row r="36" ht="22" customHeight="1">
      <x:c r="A36" s="6" t="str">
        <x:v>棕北</x:v>
      </x:c>
      <x:c r="B36" s="6" t="str">
        <x:v>花样年华梦想家</x:v>
      </x:c>
      <x:c r="C36" s="6" t="str">
        <x:v>1室1厅</x:v>
      </x:c>
      <x:c r="D36" s="6" t="n">
        <x:v>55.6</x:v>
      </x:c>
      <x:c r="E36" s="9" t="n">
        <x:v>62</x:v>
      </x:c>
      <x:c r="F36" s="6" t="n">
        <x:v>11151.079136690647</x:v>
      </x:c>
      <x:c r="G36" s="6" t="n">
        <x:v>9461</x:v>
      </x:c>
      <x:c r="H36" s="8" t="n">
        <x:f>F36/G36-1</x:f>
        <x:v>0.17863641651946383</x:v>
      </x:c>
      <x:c r="I36" s="9" t="n">
        <x:f>G36*D36/10000</x:f>
        <x:v>52.603159999999995</x:v>
      </x:c>
      <x:c r="J36" s="6" t="n">
        <x:v>5</x:v>
      </x:c>
      <x:c r="K36" s="6" t="n">
        <x:v>3</x:v>
      </x:c>
      <x:c r="L36" s="6" t="str">
        <x:v>近12个月</x:v>
      </x:c>
      <x:c r="M36" s="6" t="str">
        <x:v>2026-09-16</x:v>
      </x:c>
      <x:c r="N36" s="6" t="str">
        <x:v>106123325296</x:v>
      </x:c>
      <x:c r="O36" s="6" t="str">
        <x:v>https://cd.lianjia.com/ershoufang/106123325296.html</x:v>
      </x:c>
      <x:c r="P36" s="8" t="n">
        <x:f>1-I36/E36</x:f>
        <x:v>0.1515619354838711</x:v>
      </x:c>
    </x:row>
    <x:row r="37" ht="22" customHeight="1">
      <x:c r="A37" s="6" t="str">
        <x:v>棕北</x:v>
      </x:c>
      <x:c r="B37" s="6" t="str">
        <x:v>SOHO沸城</x:v>
      </x:c>
      <x:c r="C37" s="6" t="str">
        <x:v>1室1厅</x:v>
      </x:c>
      <x:c r="D37" s="6" t="n">
        <x:v>53.96</x:v>
      </x:c>
      <x:c r="E37" s="9" t="n">
        <x:v>75</x:v>
      </x:c>
      <x:c r="F37" s="6" t="n">
        <x:v>13899.184581171237</x:v>
      </x:c>
      <x:c r="G37" s="6" t="n">
        <x:v>12732</x:v>
      </x:c>
      <x:c r="H37" s="8" t="n">
        <x:f>F37/G37-1</x:f>
        <x:v>0.09167330986264832</x:v>
      </x:c>
      <x:c r="I37" s="9" t="n">
        <x:f>G37*D37/10000</x:f>
        <x:v>68.701872</x:v>
      </x:c>
      <x:c r="J37" s="6" t="n">
        <x:v>1</x:v>
      </x:c>
      <x:c r="K37" s="6" t="n">
        <x:v>0</x:v>
      </x:c>
      <x:c r="L37" s="6" t="str">
        <x:v>超过12个月</x:v>
      </x:c>
      <x:c r="M37" s="6" t="str">
        <x:v>2024-11-11</x:v>
      </x:c>
      <x:c r="N37" s="6" t="str">
        <x:v>106128612788</x:v>
      </x:c>
      <x:c r="O37" s="6" t="str">
        <x:v>https://cd.lianjia.com/ershoufang/106128612788.html</x:v>
      </x:c>
      <x:c r="P37" s="8" t="n">
        <x:f>1-I37/E37</x:f>
        <x:v>0.08397504000000011</x:v>
      </x:c>
    </x:row>
    <x:row r="38" ht="22" customHeight="1">
      <x:c r="A38" s="6" t="str">
        <x:v>棕北</x:v>
      </x:c>
      <x:c r="B38" s="6" t="str">
        <x:v>花样年华梦想家</x:v>
      </x:c>
      <x:c r="C38" s="6" t="str">
        <x:v>1室0厅</x:v>
      </x:c>
      <x:c r="D38" s="6" t="n">
        <x:v>51.61</x:v>
      </x:c>
      <x:c r="E38" s="9" t="n">
        <x:v>65</x:v>
      </x:c>
      <x:c r="F38" s="6" t="n">
        <x:v>12594.458438287154</x:v>
      </x:c>
      <x:c r="G38" s="6" t="n">
        <x:v>9689</x:v>
      </x:c>
      <x:c r="H38" s="8" t="n">
        <x:f>F38/G38-1</x:f>
        <x:v>0.299871858632176</x:v>
      </x:c>
      <x:c r="I38" s="9" t="n">
        <x:f>G38*D38/10000</x:f>
        <x:v>50.004929</x:v>
      </x:c>
      <x:c r="J38" s="6" t="n">
        <x:v>5</x:v>
      </x:c>
      <x:c r="K38" s="6" t="n">
        <x:v>0</x:v>
      </x:c>
      <x:c r="L38" s="6" t="str">
        <x:v>超过12个月</x:v>
      </x:c>
      <x:c r="M38" s="6" t="str">
        <x:v>2025-07-10</x:v>
      </x:c>
      <x:c r="N38" s="6" t="str">
        <x:v>106123415515</x:v>
      </x:c>
      <x:c r="O38" s="6" t="str">
        <x:v>https://cd.lianjia.com/ershoufang/106123415515.html</x:v>
      </x:c>
      <x:c r="P38" s="8" t="n">
        <x:f>1-I38/E38</x:f>
        <x:v>0.23069340000000005</x:v>
      </x:c>
    </x:row>
    <x:row r="39" ht="22" customHeight="1">
      <x:c r="A39" s="6" t="str">
        <x:v>棕北</x:v>
      </x:c>
      <x:c r="B39" s="6" t="str">
        <x:v>花样年华梦想家</x:v>
      </x:c>
      <x:c r="C39" s="6" t="str">
        <x:v>1室1厅</x:v>
      </x:c>
      <x:c r="D39" s="6" t="n">
        <x:v>51.61</x:v>
      </x:c>
      <x:c r="E39" s="9" t="n">
        <x:v>60.6</x:v>
      </x:c>
      <x:c r="F39" s="6" t="n">
        <x:v>11741.910482464638</x:v>
      </x:c>
      <x:c r="G39" s="6" t="n">
        <x:v>9420.5</x:v>
      </x:c>
      <x:c r="H39" s="8" t="n">
        <x:f>F39/G39-1</x:f>
        <x:v>0.24642115412819265</x:v>
      </x:c>
      <x:c r="I39" s="9" t="n">
        <x:f>G39*D39/10000</x:f>
        <x:v>48.6192005</x:v>
      </x:c>
      <x:c r="J39" s="6" t="n">
        <x:v>6</x:v>
      </x:c>
      <x:c r="K39" s="6" t="n">
        <x:v>4</x:v>
      </x:c>
      <x:c r="L39" s="6" t="str">
        <x:v>近12个月</x:v>
      </x:c>
      <x:c r="M39" s="6" t="str">
        <x:v>2026-09-16</x:v>
      </x:c>
      <x:c r="N39" s="6" t="str">
        <x:v>106124732346</x:v>
      </x:c>
      <x:c r="O39" s="6" t="str">
        <x:v>https://cd.lianjia.com/ershoufang/106124732346.html</x:v>
      </x:c>
      <x:c r="P39" s="8" t="n">
        <x:f>1-I39/E39</x:f>
        <x:v>0.19770296204620463</x:v>
      </x:c>
    </x:row>
    <x:row r="40" ht="22" customHeight="1">
      <x:c r="A40" s="6" t="str">
        <x:v>棕北</x:v>
      </x:c>
      <x:c r="B40" s="6" t="str">
        <x:v>SOHO沸城</x:v>
      </x:c>
      <x:c r="C40" s="6" t="str">
        <x:v>1室1厅</x:v>
      </x:c>
      <x:c r="D40" s="6" t="n">
        <x:v>53.96</x:v>
      </x:c>
      <x:c r="E40" s="9" t="n">
        <x:v>72</x:v>
      </x:c>
      <x:c r="F40" s="6" t="n">
        <x:v>13343.217197924389</x:v>
      </x:c>
      <x:c r="G40" s="6" t="n">
        <x:v>12732</x:v>
      </x:c>
      <x:c r="H40" s="8" t="n">
        <x:f>F40/G40-1</x:f>
        <x:v>0.04800637746814229</x:v>
      </x:c>
      <x:c r="I40" s="9" t="n">
        <x:f>G40*D40/10000</x:f>
        <x:v>68.701872</x:v>
      </x:c>
      <x:c r="J40" s="6" t="n">
        <x:v>1</x:v>
      </x:c>
      <x:c r="K40" s="6" t="n">
        <x:v>0</x:v>
      </x:c>
      <x:c r="L40" s="6" t="str">
        <x:v>超过12个月</x:v>
      </x:c>
      <x:c r="M40" s="6" t="str">
        <x:v>2024-11-11</x:v>
      </x:c>
      <x:c r="N40" s="6" t="str">
        <x:v>106129687043</x:v>
      </x:c>
      <x:c r="O40" s="6" t="str">
        <x:v>https://cd.lianjia.com/ershoufang/106129687043.html</x:v>
      </x:c>
      <x:c r="P40" s="8" t="n">
        <x:f>1-I40/E40</x:f>
        <x:v>0.04580733333333342</x:v>
      </x:c>
    </x:row>
    <x:row r="41" ht="22" customHeight="1">
      <x:c r="A41" s="6" t="str">
        <x:v>棕北</x:v>
      </x:c>
      <x:c r="B41" s="6" t="str">
        <x:v>新棕北</x:v>
      </x:c>
      <x:c r="C41" s="6" t="str">
        <x:v>1室1厅</x:v>
      </x:c>
      <x:c r="D41" s="6" t="n">
        <x:v>56.3</x:v>
      </x:c>
      <x:c r="E41" s="9" t="n">
        <x:v>56</x:v>
      </x:c>
      <x:c r="F41" s="6" t="n">
        <x:v>9946.714031971582</x:v>
      </x:c>
      <x:c r="G41" s="6" t="n">
        <x:v>9062</x:v>
      </x:c>
      <x:c r="H41" s="8" t="n">
        <x:f>F41/G41-1</x:f>
        <x:v>0.09762900374879524</x:v>
      </x:c>
      <x:c r="I41" s="9" t="n">
        <x:f>G41*D41/10000</x:f>
        <x:v>51.019059999999996</x:v>
      </x:c>
      <x:c r="J41" s="6" t="n">
        <x:v>6</x:v>
      </x:c>
      <x:c r="K41" s="6" t="n">
        <x:v>2</x:v>
      </x:c>
      <x:c r="L41" s="6" t="str">
        <x:v>近12个月</x:v>
      </x:c>
      <x:c r="M41" s="6" t="str">
        <x:v>2026-01-08</x:v>
      </x:c>
      <x:c r="N41" s="6" t="str">
        <x:v>106116382964</x:v>
      </x:c>
      <x:c r="O41" s="6" t="str">
        <x:v>https://cd.lianjia.com/ershoufang/106116382964.html</x:v>
      </x:c>
      <x:c r="P41" s="8" t="n">
        <x:f>1-I41/E41</x:f>
        <x:v>0.08894535714285723</x:v>
      </x:c>
    </x:row>
    <x:row r="42" ht="22" customHeight="1">
      <x:c r="A42" s="6" t="str">
        <x:v>棕北</x:v>
      </x:c>
      <x:c r="B42" s="6" t="str">
        <x:v>花样年华梦想家</x:v>
      </x:c>
      <x:c r="C42" s="6" t="str">
        <x:v>1室1厅</x:v>
      </x:c>
      <x:c r="D42" s="6" t="n">
        <x:v>51.61</x:v>
      </x:c>
      <x:c r="E42" s="9" t="n">
        <x:v>50.7</x:v>
      </x:c>
      <x:c r="F42" s="6" t="n">
        <x:v>9823.67758186398</x:v>
      </x:c>
      <x:c r="G42" s="6" t="n">
        <x:v>9420.5</x:v>
      </x:c>
      <x:c r="H42" s="8" t="n">
        <x:f>F42/G42-1</x:f>
        <x:v>0.04279789627556707</x:v>
      </x:c>
      <x:c r="I42" s="9" t="n">
        <x:f>G42*D42/10000</x:f>
        <x:v>48.6192005</x:v>
      </x:c>
      <x:c r="J42" s="6" t="n">
        <x:v>6</x:v>
      </x:c>
      <x:c r="K42" s="6" t="n">
        <x:v>4</x:v>
      </x:c>
      <x:c r="L42" s="6" t="str">
        <x:v>近12个月</x:v>
      </x:c>
      <x:c r="M42" s="6" t="str">
        <x:v>2026-09-16</x:v>
      </x:c>
      <x:c r="N42" s="6" t="str">
        <x:v>106125997775</x:v>
      </x:c>
      <x:c r="O42" s="6" t="str">
        <x:v>https://cd.lianjia.com/ershoufang/106125997775.html</x:v>
      </x:c>
      <x:c r="P42" s="8" t="n">
        <x:f>1-I42/E42</x:f>
        <x:v>0.04104141025641039</x:v>
      </x:c>
    </x:row>
    <x:row r="43" ht="22" customHeight="1">
      <x:c r="A43" s="6" t="str">
        <x:v>棕北</x:v>
      </x:c>
      <x:c r="B43" s="6" t="str">
        <x:v>花样年华梦想家</x:v>
      </x:c>
      <x:c r="C43" s="6" t="str">
        <x:v>1室1厅</x:v>
      </x:c>
      <x:c r="D43" s="6" t="n">
        <x:v>51.61</x:v>
      </x:c>
      <x:c r="E43" s="9" t="n">
        <x:v>52</x:v>
      </x:c>
      <x:c r="F43" s="6" t="n">
        <x:v>10075.566750629723</x:v>
      </x:c>
      <x:c r="G43" s="6" t="n">
        <x:v>9420.5</x:v>
      </x:c>
      <x:c r="H43" s="8" t="n">
        <x:f>F43/G43-1</x:f>
        <x:v>0.06953630387237664</x:v>
      </x:c>
      <x:c r="I43" s="9" t="n">
        <x:f>G43*D43/10000</x:f>
        <x:v>48.6192005</x:v>
      </x:c>
      <x:c r="J43" s="6" t="n">
        <x:v>6</x:v>
      </x:c>
      <x:c r="K43" s="6" t="n">
        <x:v>4</x:v>
      </x:c>
      <x:c r="L43" s="6" t="str">
        <x:v>近12个月</x:v>
      </x:c>
      <x:c r="M43" s="6" t="str">
        <x:v>2026-09-16</x:v>
      </x:c>
      <x:c r="N43" s="6" t="str">
        <x:v>106128667235</x:v>
      </x:c>
      <x:c r="O43" s="6" t="str">
        <x:v>https://cd.lianjia.com/ershoufang/106128667235.html</x:v>
      </x:c>
      <x:c r="P43" s="8" t="n">
        <x:f>1-I43/E43</x:f>
        <x:v>0.06501537499999999</x:v>
      </x:c>
    </x:row>
    <x:row r="44" ht="22" customHeight="1">
      <x:c r="A44" s="6" t="str">
        <x:v>棕北</x:v>
      </x:c>
      <x:c r="B44" s="6" t="str">
        <x:v>花样年华梦想家</x:v>
      </x:c>
      <x:c r="C44" s="6" t="str">
        <x:v>1室1厅</x:v>
      </x:c>
      <x:c r="D44" s="6" t="n">
        <x:v>55.6</x:v>
      </x:c>
      <x:c r="E44" s="9" t="n">
        <x:v>59</x:v>
      </x:c>
      <x:c r="F44" s="6" t="n">
        <x:v>10611.510791366905</x:v>
      </x:c>
      <x:c r="G44" s="6" t="n">
        <x:v>9461</x:v>
      </x:c>
      <x:c r="H44" s="8" t="n">
        <x:f>F44/G44-1</x:f>
        <x:v>0.12160562217174764</x:v>
      </x:c>
      <x:c r="I44" s="9" t="n">
        <x:f>G44*D44/10000</x:f>
        <x:v>52.603159999999995</x:v>
      </x:c>
      <x:c r="J44" s="6" t="n">
        <x:v>5</x:v>
      </x:c>
      <x:c r="K44" s="6" t="n">
        <x:v>3</x:v>
      </x:c>
      <x:c r="L44" s="6" t="str">
        <x:v>近12个月</x:v>
      </x:c>
      <x:c r="M44" s="6" t="str">
        <x:v>2026-09-16</x:v>
      </x:c>
      <x:c r="N44" s="6" t="str">
        <x:v>106123318504</x:v>
      </x:c>
      <x:c r="O44" s="6" t="str">
        <x:v>https://cd.lianjia.com/ershoufang/106123318504.html</x:v>
      </x:c>
      <x:c r="P44" s="8" t="n">
        <x:f>1-I44/E44</x:f>
        <x:v>0.10842101694915263</x:v>
      </x:c>
    </x:row>
    <x:row r="45" ht="22" customHeight="1">
      <x:c r="A45" s="6" t="str">
        <x:v>棕北</x:v>
      </x:c>
      <x:c r="B45" s="6" t="str">
        <x:v>花样年华梦想家</x:v>
      </x:c>
      <x:c r="C45" s="6" t="str">
        <x:v>1室0厅</x:v>
      </x:c>
      <x:c r="D45" s="6" t="n">
        <x:v>51.61</x:v>
      </x:c>
      <x:c r="E45" s="9" t="n">
        <x:v>50</x:v>
      </x:c>
      <x:c r="F45" s="6" t="n">
        <x:v>9688.04495252858</x:v>
      </x:c>
      <x:c r="G45" s="6" t="n">
        <x:v>9689</x:v>
      </x:c>
      <x:c r="H45" s="8" t="n">
        <x:f>F45/G45-1</x:f>
        <x:v>-0.00009857028294146808</x:v>
      </x:c>
      <x:c r="I45" s="9" t="n">
        <x:f>G45*D45/10000</x:f>
        <x:v>50.004929</x:v>
      </x:c>
      <x:c r="J45" s="6" t="n">
        <x:v>5</x:v>
      </x:c>
      <x:c r="K45" s="6" t="n">
        <x:v>0</x:v>
      </x:c>
      <x:c r="L45" s="6" t="str">
        <x:v>超过12个月</x:v>
      </x:c>
      <x:c r="M45" s="6" t="str">
        <x:v>2025-07-10</x:v>
      </x:c>
      <x:c r="N45" s="6" t="str">
        <x:v>106128854140</x:v>
      </x:c>
      <x:c r="O45" s="6" t="str">
        <x:v>https://cd.lianjia.com/ershoufang/106128854140.html</x:v>
      </x:c>
      <x:c r="P45" s="8" t="n">
        <x:f>1-I45/E45</x:f>
        <x:v>-0.00009857999999995926</x:v>
      </x:c>
    </x:row>
    <x:row r="46" ht="22" customHeight="1">
      <x:c r="A46" s="6" t="str">
        <x:v>棕北</x:v>
      </x:c>
      <x:c r="B46" s="6" t="str">
        <x:v>首航欣程</x:v>
      </x:c>
      <x:c r="C46" s="6" t="str">
        <x:v>1室0厅</x:v>
      </x:c>
      <x:c r="D46" s="6" t="n">
        <x:v>48.58</x:v>
      </x:c>
      <x:c r="E46" s="9" t="n">
        <x:v>90</x:v>
      </x:c>
      <x:c r="F46" s="6" t="n">
        <x:v>18526.142445450805</x:v>
      </x:c>
      <x:c r="G46" s="6" t="n">
        <x:v>15995</x:v>
      </x:c>
      <x:c r="H46" s="8" t="n">
        <x:f>F46/G46-1</x:f>
        <x:v>0.15824585467025987</x:v>
      </x:c>
      <x:c r="I46" s="9" t="n">
        <x:f>G46*D46/10000</x:f>
        <x:v>77.70371</x:v>
      </x:c>
      <x:c r="J46" s="6" t="n">
        <x:v>1</x:v>
      </x:c>
      <x:c r="K46" s="6" t="n">
        <x:v>0</x:v>
      </x:c>
      <x:c r="L46" s="6" t="str">
        <x:v>超过12个月</x:v>
      </x:c>
      <x:c r="M46" s="6" t="str">
        <x:v>2025-02-26</x:v>
      </x:c>
      <x:c r="N46" s="6" t="str">
        <x:v>106124696364</x:v>
      </x:c>
      <x:c r="O46" s="6" t="str">
        <x:v>https://cd.lianjia.com/ershoufang/106124696364.html</x:v>
      </x:c>
      <x:c r="P46" s="8" t="n">
        <x:f>1-I46/E46</x:f>
        <x:v>0.13662544444444447</x:v>
      </x:c>
    </x:row>
    <x:row r="47" ht="22" customHeight="1">
      <x:c r="A47" s="6" t="str">
        <x:v>棕北</x:v>
      </x:c>
      <x:c r="B47" s="6" t="str">
        <x:v>首航欣程</x:v>
      </x:c>
      <x:c r="C47" s="6" t="str">
        <x:v>1室0厅</x:v>
      </x:c>
      <x:c r="D47" s="6" t="n">
        <x:v>48.58</x:v>
      </x:c>
      <x:c r="E47" s="9" t="n">
        <x:v>82</x:v>
      </x:c>
      <x:c r="F47" s="6" t="n">
        <x:v>16879.3742280774</x:v>
      </x:c>
      <x:c r="G47" s="6" t="n">
        <x:v>15995</x:v>
      </x:c>
      <x:c r="H47" s="8" t="n">
        <x:f>F47/G47-1</x:f>
        <x:v>0.0552906675884588</x:v>
      </x:c>
      <x:c r="I47" s="9" t="n">
        <x:f>G47*D47/10000</x:f>
        <x:v>77.70371</x:v>
      </x:c>
      <x:c r="J47" s="6" t="n">
        <x:v>1</x:v>
      </x:c>
      <x:c r="K47" s="6" t="n">
        <x:v>0</x:v>
      </x:c>
      <x:c r="L47" s="6" t="str">
        <x:v>超过12个月</x:v>
      </x:c>
      <x:c r="M47" s="6" t="str">
        <x:v>2025-02-26</x:v>
      </x:c>
      <x:c r="N47" s="6" t="str">
        <x:v>106123899552</x:v>
      </x:c>
      <x:c r="O47" s="6" t="str">
        <x:v>https://cd.lianjia.com/ershoufang/106123899552.html</x:v>
      </x:c>
      <x:c r="P47" s="8" t="n">
        <x:f>1-I47/E47</x:f>
        <x:v>0.05239378048780485</x:v>
      </x:c>
    </x:row>
    <x:row r="48" ht="22" customHeight="1">
      <x:c r="A48" s="6" t="str">
        <x:v>棕北</x:v>
      </x:c>
      <x:c r="B48" s="6" t="str">
        <x:v>首航欣程</x:v>
      </x:c>
      <x:c r="C48" s="6" t="str">
        <x:v>1室0厅</x:v>
      </x:c>
      <x:c r="D48" s="6" t="n">
        <x:v>48.58</x:v>
      </x:c>
      <x:c r="E48" s="9" t="n">
        <x:v>79</x:v>
      </x:c>
      <x:c r="F48" s="6" t="n">
        <x:v>16261.836146562371</x:v>
      </x:c>
      <x:c r="G48" s="6" t="n">
        <x:v>15995</x:v>
      </x:c>
      <x:c r="H48" s="8" t="n">
        <x:f>F48/G48-1</x:f>
        <x:v>0.016682472432783424</x:v>
      </x:c>
      <x:c r="I48" s="9" t="n">
        <x:f>G48*D48/10000</x:f>
        <x:v>77.70371</x:v>
      </x:c>
      <x:c r="J48" s="6" t="n">
        <x:v>1</x:v>
      </x:c>
      <x:c r="K48" s="6" t="n">
        <x:v>0</x:v>
      </x:c>
      <x:c r="L48" s="6" t="str">
        <x:v>超过12个月</x:v>
      </x:c>
      <x:c r="M48" s="6" t="str">
        <x:v>2025-02-26</x:v>
      </x:c>
      <x:c r="N48" s="6" t="str">
        <x:v>106123191841</x:v>
      </x:c>
      <x:c r="O48" s="6" t="str">
        <x:v>https://cd.lianjia.com/ershoufang/106123191841.html</x:v>
      </x:c>
      <x:c r="P48" s="8" t="n">
        <x:f>1-I48/E48</x:f>
        <x:v>0.016408734177215223</x:v>
      </x:c>
    </x:row>
    <x:row r="49" ht="22" customHeight="1">
      <x:c r="A49" s="6" t="str">
        <x:v>棕北</x:v>
      </x:c>
      <x:c r="B49" s="6" t="str">
        <x:v>首航欣程</x:v>
      </x:c>
      <x:c r="C49" s="6" t="str">
        <x:v>1室1厅</x:v>
      </x:c>
      <x:c r="D49" s="6" t="n">
        <x:v>48.31</x:v>
      </x:c>
      <x:c r="E49" s="9" t="n">
        <x:v>78</x:v>
      </x:c>
      <x:c r="F49" s="6" t="n">
        <x:v>16145.725522666115</x:v>
      </x:c>
      <x:c r="G49" s="6" t="n">
        <x:v>15954</x:v>
      </x:c>
      <x:c r="H49" s="8" t="n">
        <x:f>F49/G49-1</x:f>
        <x:v>0.01201739517776823</x:v>
      </x:c>
      <x:c r="I49" s="9" t="n">
        <x:f>G49*D49/10000</x:f>
        <x:v>77.073774</x:v>
      </x:c>
      <x:c r="J49" s="6" t="n">
        <x:v>2</x:v>
      </x:c>
      <x:c r="K49" s="6" t="n">
        <x:v>1</x:v>
      </x:c>
      <x:c r="L49" s="6" t="str">
        <x:v>近12个月</x:v>
      </x:c>
      <x:c r="M49" s="6" t="str">
        <x:v>2025-11-24</x:v>
      </x:c>
      <x:c r="N49" s="6" t="str">
        <x:v>106114888500</x:v>
      </x:c>
      <x:c r="O49" s="6" t="str">
        <x:v>https://cd.lianjia.com/ershoufang/106114888500.html</x:v>
      </x:c>
      <x:c r="P49" s="8" t="n">
        <x:f>1-I49/E49</x:f>
        <x:v>0.011874692307692336</x:v>
      </x:c>
    </x:row>
    <x:row r="50" ht="22" customHeight="1">
      <x:c r="A50" s="6" t="str">
        <x:v>棕北</x:v>
      </x:c>
      <x:c r="B50" s="6" t="str">
        <x:v>首航欣程</x:v>
      </x:c>
      <x:c r="C50" s="6" t="str">
        <x:v>1室1厅</x:v>
      </x:c>
      <x:c r="D50" s="6" t="n">
        <x:v>55.94</x:v>
      </x:c>
      <x:c r="E50" s="9" t="n">
        <x:v>120</x:v>
      </x:c>
      <x:c r="F50" s="6" t="n">
        <x:v>21451.55523775474</x:v>
      </x:c>
      <x:c r="G50" s="6" t="n">
        <x:v>15954</x:v>
      </x:c>
      <x:c r="H50" s="8" t="n">
        <x:f>F50/G50-1</x:f>
        <x:v>0.3445878925507546</x:v>
      </x:c>
      <x:c r="I50" s="9" t="n">
        <x:f>G50*D50/10000</x:f>
        <x:v>89.24667600000001</x:v>
      </x:c>
      <x:c r="J50" s="6" t="n">
        <x:v>2</x:v>
      </x:c>
      <x:c r="K50" s="6" t="n">
        <x:v>1</x:v>
      </x:c>
      <x:c r="L50" s="6" t="str">
        <x:v>近12个月</x:v>
      </x:c>
      <x:c r="M50" s="6" t="str">
        <x:v>2025-11-24</x:v>
      </x:c>
      <x:c r="N50" s="6" t="str">
        <x:v>106116047393</x:v>
      </x:c>
      <x:c r="O50" s="6" t="str">
        <x:v>https://cd.lianjia.com/ershoufang/106116047393.html</x:v>
      </x:c>
      <x:c r="P50" s="8" t="n">
        <x:f>1-I50/E50</x:f>
        <x:v>0.25627769999999994</x:v>
      </x:c>
    </x:row>
    <x:row r="51" ht="22" customHeight="1">
      <x:c r="A51" s="6" t="str">
        <x:v>棕北</x:v>
      </x:c>
      <x:c r="B51" s="6" t="str">
        <x:v>首航欣程</x:v>
      </x:c>
      <x:c r="C51" s="6" t="str">
        <x:v>1室1厅</x:v>
      </x:c>
      <x:c r="D51" s="6" t="n">
        <x:v>57.06</x:v>
      </x:c>
      <x:c r="E51" s="9" t="n">
        <x:v>109</x:v>
      </x:c>
      <x:c r="F51" s="6" t="n">
        <x:v>19102.698913424465</x:v>
      </x:c>
      <x:c r="G51" s="6" t="n">
        <x:v>15954</x:v>
      </x:c>
      <x:c r="H51" s="8" t="n">
        <x:f>F51/G51-1</x:f>
        <x:v>0.19736109523783774</x:v>
      </x:c>
      <x:c r="I51" s="9" t="n">
        <x:f>G51*D51/10000</x:f>
        <x:v>91.033524</x:v>
      </x:c>
      <x:c r="J51" s="6" t="n">
        <x:v>1</x:v>
      </x:c>
      <x:c r="K51" s="6" t="n">
        <x:v>1</x:v>
      </x:c>
      <x:c r="L51" s="6" t="str">
        <x:v>近12个月</x:v>
      </x:c>
      <x:c r="M51" s="6" t="str">
        <x:v>2025-11-24</x:v>
      </x:c>
      <x:c r="N51" s="6" t="str">
        <x:v>106127364805</x:v>
      </x:c>
      <x:c r="O51" s="6" t="str">
        <x:v>https://cd.lianjia.com/ershoufang/106127364805.html</x:v>
      </x:c>
      <x:c r="P51" s="8" t="n">
        <x:f>1-I51/E51</x:f>
        <x:v>0.16483005504587156</x:v>
      </x:c>
    </x:row>
    <x:row r="52" ht="22" customHeight="1">
      <x:c r="A52" s="6" t="str">
        <x:v>玉林</x:v>
      </x:c>
      <x:c r="B52" s="6" t="str">
        <x:v>都市金岸</x:v>
      </x:c>
      <x:c r="C52" s="6" t="str">
        <x:v>1室1厅</x:v>
      </x:c>
      <x:c r="D52" s="6" t="n">
        <x:v>55.2</x:v>
      </x:c>
      <x:c r="E52" s="9" t="n">
        <x:v>80</x:v>
      </x:c>
      <x:c r="F52" s="6" t="n">
        <x:v>14492.753623188404</x:v>
      </x:c>
      <x:c r="G52" s="6" t="n">
        <x:v>14584</x:v>
      </x:c>
      <x:c r="H52" s="8" t="n">
        <x:f>F52/G52-1</x:f>
        <x:v>-0.006256608393554242</x:v>
      </x:c>
      <x:c r="I52" s="9" t="n">
        <x:f>G52*D52/10000</x:f>
        <x:v>80.50368</x:v>
      </x:c>
      <x:c r="J52" s="6" t="n">
        <x:v>2</x:v>
      </x:c>
      <x:c r="K52" s="6" t="n">
        <x:v>0</x:v>
      </x:c>
      <x:c r="L52" s="6" t="str">
        <x:v>超过12个月</x:v>
      </x:c>
      <x:c r="M52" s="6" t="str">
        <x:v>2025-05-14</x:v>
      </x:c>
      <x:c r="N52" s="6" t="str">
        <x:v>106124565523</x:v>
      </x:c>
      <x:c r="O52" s="6" t="str">
        <x:v>https://cd.lianjia.com/ershoufang/106124565523.html</x:v>
      </x:c>
      <x:c r="P52" s="8" t="n">
        <x:f>1-I52/E52</x:f>
        <x:v>-0.006296000000000079</x:v>
      </x:c>
    </x:row>
    <x:row r="53" ht="22" customHeight="1">
      <x:c r="A53" s="6" t="str">
        <x:v>玉林</x:v>
      </x:c>
      <x:c r="B53" s="6" t="str">
        <x:v>都市金岸</x:v>
      </x:c>
      <x:c r="C53" s="6" t="str">
        <x:v>1室1厅</x:v>
      </x:c>
      <x:c r="D53" s="6" t="n">
        <x:v>45.12</x:v>
      </x:c>
      <x:c r="E53" s="9" t="n">
        <x:v>67</x:v>
      </x:c>
      <x:c r="F53" s="6" t="n">
        <x:v>14849.290780141844</x:v>
      </x:c>
      <x:c r="G53" s="6" t="n">
        <x:v>15106</x:v>
      </x:c>
      <x:c r="H53" s="8" t="n">
        <x:f>F53/G53-1</x:f>
        <x:v>-0.016993858060251332</x:v>
      </x:c>
      <x:c r="I53" s="9" t="n">
        <x:f>G53*D53/10000</x:f>
        <x:v>68.158272</x:v>
      </x:c>
      <x:c r="J53" s="6" t="n">
        <x:v>1</x:v>
      </x:c>
      <x:c r="K53" s="6" t="n">
        <x:v>0</x:v>
      </x:c>
      <x:c r="L53" s="6" t="str">
        <x:v>超过12个月</x:v>
      </x:c>
      <x:c r="M53" s="6" t="str">
        <x:v>2025-08-07</x:v>
      </x:c>
      <x:c r="N53" s="6" t="str">
        <x:v>106109733088</x:v>
      </x:c>
      <x:c r="O53" s="6" t="str">
        <x:v>https://cd.lianjia.com/ershoufang/106109733088.html</x:v>
      </x:c>
      <x:c r="P53" s="8" t="n">
        <x:f>1-I53/E53</x:f>
        <x:v>-0.017287641791044805</x:v>
      </x:c>
    </x:row>
    <x:row r="54" ht="22" customHeight="1">
      <x:c r="A54" s="6" t="str">
        <x:v>玉林</x:v>
      </x:c>
      <x:c r="B54" s="6" t="str">
        <x:v>华宇蓉国府</x:v>
      </x:c>
      <x:c r="C54" s="6" t="str">
        <x:v>1室1厅</x:v>
      </x:c>
      <x:c r="D54" s="6" t="n">
        <x:v>45.48</x:v>
      </x:c>
      <x:c r="E54" s="9" t="n">
        <x:v>89</x:v>
      </x:c>
      <x:c r="F54" s="6" t="n">
        <x:v>19569.041336851365</x:v>
      </x:c>
      <x:c r="G54" s="6" t="n">
        <x:v>20471.5</x:v>
      </x:c>
      <x:c r="H54" s="8" t="n">
        <x:f>F54/G54-1</x:f>
        <x:v>-0.044083660852826334</x:v>
      </x:c>
      <x:c r="I54" s="9" t="n">
        <x:f>G54*D54/10000</x:f>
        <x:v>93.104382</x:v>
      </x:c>
      <x:c r="J54" s="6" t="n">
        <x:v>8</x:v>
      </x:c>
      <x:c r="K54" s="6" t="n">
        <x:v>0</x:v>
      </x:c>
      <x:c r="L54" s="6" t="str">
        <x:v>超过12个月</x:v>
      </x:c>
      <x:c r="M54" s="6" t="str">
        <x:v>2025-07-14</x:v>
      </x:c>
      <x:c r="N54" s="6" t="str">
        <x:v>106127341705</x:v>
      </x:c>
      <x:c r="O54" s="6" t="str">
        <x:v>https://cd.lianjia.com/ershoufang/106127341705.html</x:v>
      </x:c>
      <x:c r="P54" s="8" t="n">
        <x:f>1-I54/E54</x:f>
        <x:v>-0.04611665168539325</x:v>
      </x:c>
    </x:row>
    <x:row r="55" ht="22" customHeight="1">
      <x:c r="A55" s="6" t="str">
        <x:v>玉林</x:v>
      </x:c>
      <x:c r="B55" s="6" t="str">
        <x:v>华宇蓉国府</x:v>
      </x:c>
      <x:c r="C55" s="6" t="str">
        <x:v>1室1厅</x:v>
      </x:c>
      <x:c r="D55" s="6" t="n">
        <x:v>55.14</x:v>
      </x:c>
      <x:c r="E55" s="9" t="n">
        <x:v>108</x:v>
      </x:c>
      <x:c r="F55" s="6" t="n">
        <x:v>19586.507072905333</x:v>
      </x:c>
      <x:c r="G55" s="6" t="n">
        <x:v>20389</x:v>
      </x:c>
      <x:c r="H55" s="8" t="n">
        <x:f>F55/G55-1</x:f>
        <x:v>-0.03935911163346251</x:v>
      </x:c>
      <x:c r="I55" s="9" t="n">
        <x:f>G55*D55/10000</x:f>
        <x:v>112.42494599999999</x:v>
      </x:c>
      <x:c r="J55" s="6" t="n">
        <x:v>6</x:v>
      </x:c>
      <x:c r="K55" s="6" t="n">
        <x:v>0</x:v>
      </x:c>
      <x:c r="L55" s="6" t="str">
        <x:v>超过12个月</x:v>
      </x:c>
      <x:c r="M55" s="6" t="str">
        <x:v>2025-10-19</x:v>
      </x:c>
      <x:c r="N55" s="6" t="str">
        <x:v>106127095457</x:v>
      </x:c>
      <x:c r="O55" s="6" t="str">
        <x:v>https://cd.lianjia.com/ershoufang/106127095457.html</x:v>
      </x:c>
      <x:c r="P55" s="8" t="n">
        <x:f>1-I55/E55</x:f>
        <x:v>-0.04097172222222212</x:v>
      </x:c>
    </x:row>
    <x:row r="56" ht="22" customHeight="1">
      <x:c r="A56" s="6" t="str">
        <x:v>玉林</x:v>
      </x:c>
      <x:c r="B56" s="6" t="str">
        <x:v>都市金岸</x:v>
      </x:c>
      <x:c r="C56" s="6" t="str">
        <x:v>1室1厅</x:v>
      </x:c>
      <x:c r="D56" s="6" t="n">
        <x:v>55.2</x:v>
      </x:c>
      <x:c r="E56" s="9" t="n">
        <x:v>99</x:v>
      </x:c>
      <x:c r="F56" s="6" t="n">
        <x:v>17934.782608695652</x:v>
      </x:c>
      <x:c r="G56" s="6" t="n">
        <x:v>14584</x:v>
      </x:c>
      <x:c r="H56" s="8" t="n">
        <x:f>F56/G56-1</x:f>
        <x:v>0.22975744711297663</x:v>
      </x:c>
      <x:c r="I56" s="9" t="n">
        <x:f>G56*D56/10000</x:f>
        <x:v>80.50368</x:v>
      </x:c>
      <x:c r="J56" s="6" t="n">
        <x:v>2</x:v>
      </x:c>
      <x:c r="K56" s="6" t="n">
        <x:v>0</x:v>
      </x:c>
      <x:c r="L56" s="6" t="str">
        <x:v>超过12个月</x:v>
      </x:c>
      <x:c r="M56" s="6" t="str">
        <x:v>2025-05-14</x:v>
      </x:c>
      <x:c r="N56" s="6" t="str">
        <x:v>106104257423</x:v>
      </x:c>
      <x:c r="O56" s="6" t="str">
        <x:v>https://cd.lianjia.com/ershoufang/106104257423.html</x:v>
      </x:c>
      <x:c r="P56" s="8" t="n">
        <x:f>1-I56/E56</x:f>
        <x:v>0.18683151515151508</x:v>
      </x:c>
    </x:row>
    <x:row r="57" ht="22" customHeight="1">
      <x:c r="A57" s="6" t="str">
        <x:v>玉林</x:v>
      </x:c>
      <x:c r="B57" s="6" t="str">
        <x:v>华宇蓉国府</x:v>
      </x:c>
      <x:c r="C57" s="6" t="str">
        <x:v>1室1厅</x:v>
      </x:c>
      <x:c r="D57" s="6" t="n">
        <x:v>55.14</x:v>
      </x:c>
      <x:c r="E57" s="9" t="n">
        <x:v>115</x:v>
      </x:c>
      <x:c r="F57" s="6" t="n">
        <x:v>20856.002901704753</x:v>
      </x:c>
      <x:c r="G57" s="6" t="n">
        <x:v>20389</x:v>
      </x:c>
      <x:c r="H57" s="8" t="n">
        <x:f>F57/G57-1</x:f>
        <x:v>0.022904649649553743</x:v>
      </x:c>
      <x:c r="I57" s="9" t="n">
        <x:f>G57*D57/10000</x:f>
        <x:v>112.42494599999999</x:v>
      </x:c>
      <x:c r="J57" s="6" t="n">
        <x:v>6</x:v>
      </x:c>
      <x:c r="K57" s="6" t="n">
        <x:v>0</x:v>
      </x:c>
      <x:c r="L57" s="6" t="str">
        <x:v>超过12个月</x:v>
      </x:c>
      <x:c r="M57" s="6" t="str">
        <x:v>2025-10-19</x:v>
      </x:c>
      <x:c r="N57" s="6" t="str">
        <x:v>106128811975</x:v>
      </x:c>
      <x:c r="O57" s="6" t="str">
        <x:v>https://cd.lianjia.com/ershoufang/106128811975.html</x:v>
      </x:c>
      <x:c r="P57" s="8" t="n">
        <x:f>1-I57/E57</x:f>
        <x:v>0.02239177391304359</x:v>
      </x:c>
    </x:row>
    <x:row r="58" ht="22" customHeight="1">
      <x:c r="A58" s="6" t="str">
        <x:v>玉林</x:v>
      </x:c>
      <x:c r="B58" s="6" t="str">
        <x:v>华宇蓉国府</x:v>
      </x:c>
      <x:c r="C58" s="6" t="str">
        <x:v>1室1厅</x:v>
      </x:c>
      <x:c r="D58" s="6" t="n">
        <x:v>45.48</x:v>
      </x:c>
      <x:c r="E58" s="9" t="n">
        <x:v>91</x:v>
      </x:c>
      <x:c r="F58" s="6" t="n">
        <x:v>20008.795074758138</x:v>
      </x:c>
      <x:c r="G58" s="6" t="n">
        <x:v>20471.5</x:v>
      </x:c>
      <x:c r="H58" s="8" t="n">
        <x:f>F58/G58-1</x:f>
        <x:v>-0.022602394804575265</x:v>
      </x:c>
      <x:c r="I58" s="9" t="n">
        <x:f>G58*D58/10000</x:f>
        <x:v>93.104382</x:v>
      </x:c>
      <x:c r="J58" s="6" t="n">
        <x:v>8</x:v>
      </x:c>
      <x:c r="K58" s="6" t="n">
        <x:v>0</x:v>
      </x:c>
      <x:c r="L58" s="6" t="str">
        <x:v>超过12个月</x:v>
      </x:c>
      <x:c r="M58" s="6" t="str">
        <x:v>2025-07-14</x:v>
      </x:c>
      <x:c r="N58" s="6" t="str">
        <x:v>106127863001</x:v>
      </x:c>
      <x:c r="O58" s="6" t="str">
        <x:v>https://cd.lianjia.com/ershoufang/106127863001.html</x:v>
      </x:c>
      <x:c r="P58" s="8" t="n">
        <x:f>1-I58/E58</x:f>
        <x:v>-0.02312507692307686</x:v>
      </x:c>
    </x:row>
    <x:row r="59" ht="22" customHeight="1">
      <x:c r="A59" s="6" t="str">
        <x:v>玉林</x:v>
      </x:c>
      <x:c r="B59" s="6" t="str">
        <x:v>华宇蓉国府</x:v>
      </x:c>
      <x:c r="C59" s="6" t="str">
        <x:v>1室1厅</x:v>
      </x:c>
      <x:c r="D59" s="6" t="n">
        <x:v>47.94</x:v>
      </x:c>
      <x:c r="E59" s="9" t="n">
        <x:v>120</x:v>
      </x:c>
      <x:c r="F59" s="6" t="n">
        <x:v>25031.289111389236</x:v>
      </x:c>
      <x:c r="G59" s="6" t="n">
        <x:v>20471.5</x:v>
      </x:c>
      <x:c r="H59" s="8" t="n">
        <x:f>F59/G59-1</x:f>
        <x:v>0.22273839784037497</x:v>
      </x:c>
      <x:c r="I59" s="9" t="n">
        <x:f>G59*D59/10000</x:f>
        <x:v>98.140371</x:v>
      </x:c>
      <x:c r="J59" s="6" t="n">
        <x:v>8</x:v>
      </x:c>
      <x:c r="K59" s="6" t="n">
        <x:v>0</x:v>
      </x:c>
      <x:c r="L59" s="6" t="str">
        <x:v>超过12个月</x:v>
      </x:c>
      <x:c r="M59" s="6" t="str">
        <x:v>2025-07-14</x:v>
      </x:c>
      <x:c r="N59" s="6" t="str">
        <x:v>106125188209</x:v>
      </x:c>
      <x:c r="O59" s="6" t="str">
        <x:v>https://cd.lianjia.com/ershoufang/106125188209.html</x:v>
      </x:c>
      <x:c r="P59" s="8" t="n">
        <x:f>1-I59/E59</x:f>
        <x:v>0.18216357500000002</x:v>
      </x:c>
    </x:row>
    <x:row r="60" ht="22" customHeight="1">
      <x:c r="A60" s="6" t="str">
        <x:v>玉林</x:v>
      </x:c>
      <x:c r="B60" s="6" t="str">
        <x:v>华宇蓉国府</x:v>
      </x:c>
      <x:c r="C60" s="6" t="str">
        <x:v>1室1厅</x:v>
      </x:c>
      <x:c r="D60" s="6" t="n">
        <x:v>45.48</x:v>
      </x:c>
      <x:c r="E60" s="9" t="n">
        <x:v>112</x:v>
      </x:c>
      <x:c r="F60" s="6" t="n">
        <x:v>24626.209322779247</x:v>
      </x:c>
      <x:c r="G60" s="6" t="n">
        <x:v>20471.5</x:v>
      </x:c>
      <x:c r="H60" s="8" t="n">
        <x:f>F60/G60-1</x:f>
        <x:v>0.20295089870206118</x:v>
      </x:c>
      <x:c r="I60" s="9" t="n">
        <x:f>G60*D60/10000</x:f>
        <x:v>93.104382</x:v>
      </x:c>
      <x:c r="J60" s="6" t="n">
        <x:v>8</x:v>
      </x:c>
      <x:c r="K60" s="6" t="n">
        <x:v>0</x:v>
      </x:c>
      <x:c r="L60" s="6" t="str">
        <x:v>超过12个月</x:v>
      </x:c>
      <x:c r="M60" s="6" t="str">
        <x:v>2025-07-14</x:v>
      </x:c>
      <x:c r="N60" s="6" t="str">
        <x:v>106109282831</x:v>
      </x:c>
      <x:c r="O60" s="6" t="str">
        <x:v>https://cd.lianjia.com/ershoufang/106109282831.html</x:v>
      </x:c>
      <x:c r="P60" s="8" t="n">
        <x:f>1-I60/E60</x:f>
        <x:v>0.16871087500000004</x:v>
      </x:c>
    </x:row>
    <x:row r="61" ht="22" customHeight="1">
      <x:c r="A61" s="6" t="str">
        <x:v>玉林</x:v>
      </x:c>
      <x:c r="B61" s="6" t="str">
        <x:v>华宇蓉国府</x:v>
      </x:c>
      <x:c r="C61" s="6" t="str">
        <x:v>1室1厅</x:v>
      </x:c>
      <x:c r="D61" s="6" t="n">
        <x:v>45.53</x:v>
      </x:c>
      <x:c r="E61" s="9" t="n">
        <x:v>95</x:v>
      </x:c>
      <x:c r="F61" s="6" t="n">
        <x:v>20865.36349659565</x:v>
      </x:c>
      <x:c r="G61" s="6" t="n">
        <x:v>20471.5</x:v>
      </x:c>
      <x:c r="H61" s="8" t="n">
        <x:f>F61/G61-1</x:f>
        <x:v>0.019239601230767178</x:v>
      </x:c>
      <x:c r="I61" s="9" t="n">
        <x:f>G61*D61/10000</x:f>
        <x:v>93.2067395</x:v>
      </x:c>
      <x:c r="J61" s="6" t="n">
        <x:v>8</x:v>
      </x:c>
      <x:c r="K61" s="6" t="n">
        <x:v>0</x:v>
      </x:c>
      <x:c r="L61" s="6" t="str">
        <x:v>超过12个月</x:v>
      </x:c>
      <x:c r="M61" s="6" t="str">
        <x:v>2025-07-14</x:v>
      </x:c>
      <x:c r="N61" s="6" t="str">
        <x:v>106124122063</x:v>
      </x:c>
      <x:c r="O61" s="6" t="str">
        <x:v>https://cd.lianjia.com/ershoufang/106124122063.html</x:v>
      </x:c>
      <x:c r="P61" s="8" t="n">
        <x:f>1-I61/E61</x:f>
        <x:v>0.018876426315789452</x:v>
      </x:c>
    </x:row>
    <x:row r="62" ht="22" customHeight="1">
      <x:c r="A62" s="6" t="str">
        <x:v>玉林</x:v>
      </x:c>
      <x:c r="B62" s="6" t="str">
        <x:v>都市金岸</x:v>
      </x:c>
      <x:c r="C62" s="6" t="str">
        <x:v>1室0厅</x:v>
      </x:c>
      <x:c r="D62" s="6" t="n">
        <x:v>38.65</x:v>
      </x:c>
      <x:c r="E62" s="9" t="n">
        <x:v>62</x:v>
      </x:c>
      <x:c r="F62" s="6" t="n">
        <x:v>16041.397153945667</x:v>
      </x:c>
      <x:c r="G62" s="6" t="n">
        <x:v>14457</x:v>
      </x:c>
      <x:c r="H62" s="8" t="n">
        <x:f>F62/G62-1</x:f>
        <x:v>0.10959377145643412</x:v>
      </x:c>
      <x:c r="I62" s="9" t="n">
        <x:f>G62*D62/10000</x:f>
        <x:v>55.876304999999995</x:v>
      </x:c>
      <x:c r="J62" s="6" t="n">
        <x:v>5</x:v>
      </x:c>
      <x:c r="K62" s="6" t="n">
        <x:v>1</x:v>
      </x:c>
      <x:c r="L62" s="6" t="str">
        <x:v>近12个月</x:v>
      </x:c>
      <x:c r="M62" s="6" t="str">
        <x:v>2025-12-10</x:v>
      </x:c>
      <x:c r="N62" s="6" t="str">
        <x:v>106123526257</x:v>
      </x:c>
      <x:c r="O62" s="6" t="str">
        <x:v>https://cd.lianjia.com/ershoufang/106123526257.html</x:v>
      </x:c>
      <x:c r="P62" s="8" t="n">
        <x:f>1-I62/E62</x:f>
        <x:v>0.09876927419354842</x:v>
      </x:c>
    </x:row>
    <x:row r="63" ht="22" customHeight="1">
      <x:c r="A63" s="6" t="str">
        <x:v>合江亭</x:v>
      </x:c>
      <x:c r="B63" s="6" t="str">
        <x:v>锦上花</x:v>
      </x:c>
      <x:c r="C63" s="6" t="str">
        <x:v>1室0厅</x:v>
      </x:c>
      <x:c r="D63" s="6" t="n">
        <x:v>55.29</x:v>
      </x:c>
      <x:c r="E63" s="9" t="n">
        <x:v>90</x:v>
      </x:c>
      <x:c r="F63" s="6" t="n">
        <x:v>16277.807921866523</x:v>
      </x:c>
      <x:c r="G63" s="6"/>
      <x:c r="H63" s="8"/>
      <x:c r="I63" s="9"/>
      <x:c r="J63" s="6" t="n">
        <x:v>0</x:v>
      </x:c>
      <x:c r="K63" s="6" t="n">
        <x:v>0</x:v>
      </x:c>
      <x:c r="L63" s="6" t="str">
        <x:v>无可比</x:v>
      </x:c>
      <x:c r="M63" s="6" t="str"/>
      <x:c r="N63" s="6" t="str">
        <x:v>106128499048</x:v>
      </x:c>
      <x:c r="O63" s="6" t="str">
        <x:v>https://cd.lianjia.com/ershoufang/106128499048.html</x:v>
      </x:c>
      <x:c r="P63" s="8"/>
    </x:row>
    <x:row r="64" ht="22" customHeight="1">
      <x:c r="A64" s="6" t="str">
        <x:v>合江亭</x:v>
      </x:c>
      <x:c r="B64" s="6" t="str">
        <x:v>蓉上坊一期</x:v>
      </x:c>
      <x:c r="C64" s="6" t="str">
        <x:v>1室1厅</x:v>
      </x:c>
      <x:c r="D64" s="6" t="n">
        <x:v>50.44</x:v>
      </x:c>
      <x:c r="E64" s="9" t="n">
        <x:v>85</x:v>
      </x:c>
      <x:c r="F64" s="6" t="n">
        <x:v>16851.704996034892</x:v>
      </x:c>
      <x:c r="G64" s="6" t="n">
        <x:v>16158</x:v>
      </x:c>
      <x:c r="H64" s="8" t="n">
        <x:f>F64/G64-1</x:f>
        <x:v>0.04293260279953537</x:v>
      </x:c>
      <x:c r="I64" s="9" t="n">
        <x:f>G64*D64/10000</x:f>
        <x:v>81.500952</x:v>
      </x:c>
      <x:c r="J64" s="6" t="n">
        <x:v>3</x:v>
      </x:c>
      <x:c r="K64" s="6" t="n">
        <x:v>2</x:v>
      </x:c>
      <x:c r="L64" s="6" t="str">
        <x:v>近12个月</x:v>
      </x:c>
      <x:c r="M64" s="6" t="str">
        <x:v>2026-02-22</x:v>
      </x:c>
      <x:c r="N64" s="6" t="str">
        <x:v>106115578352</x:v>
      </x:c>
      <x:c r="O64" s="6" t="str">
        <x:v>https://cd.lianjia.com/ershoufang/106115578352.html</x:v>
      </x:c>
      <x:c r="P64" s="8" t="n">
        <x:f>1-I64/E64</x:f>
        <x:v>0.04116527058823527</x:v>
      </x:c>
    </x:row>
    <x:row r="65" ht="22" customHeight="1">
      <x:c r="A65" s="6" t="str">
        <x:v>合江亭</x:v>
      </x:c>
      <x:c r="B65" s="6" t="str">
        <x:v>蓉上坊一期</x:v>
      </x:c>
      <x:c r="C65" s="6" t="str">
        <x:v>1室1厅</x:v>
      </x:c>
      <x:c r="D65" s="6" t="n">
        <x:v>50.44</x:v>
      </x:c>
      <x:c r="E65" s="9" t="n">
        <x:v>86</x:v>
      </x:c>
      <x:c r="F65" s="6" t="n">
        <x:v>17049.96034892942</x:v>
      </x:c>
      <x:c r="G65" s="6" t="n">
        <x:v>16158</x:v>
      </x:c>
      <x:c r="H65" s="8" t="n">
        <x:f>F65/G65-1</x:f>
        <x:v>0.05520239812658878</x:v>
      </x:c>
      <x:c r="I65" s="9" t="n">
        <x:f>G65*D65/10000</x:f>
        <x:v>81.500952</x:v>
      </x:c>
      <x:c r="J65" s="6" t="n">
        <x:v>3</x:v>
      </x:c>
      <x:c r="K65" s="6" t="n">
        <x:v>2</x:v>
      </x:c>
      <x:c r="L65" s="6" t="str">
        <x:v>近12个月</x:v>
      </x:c>
      <x:c r="M65" s="6" t="str">
        <x:v>2026-02-22</x:v>
      </x:c>
      <x:c r="N65" s="6" t="str">
        <x:v>106124416682</x:v>
      </x:c>
      <x:c r="O65" s="6" t="str">
        <x:v>https://cd.lianjia.com/ershoufang/106124416682.html</x:v>
      </x:c>
      <x:c r="P65" s="8" t="n">
        <x:f>1-I65/E65</x:f>
        <x:v>0.05231451162790701</x:v>
      </x:c>
    </x:row>
    <x:row r="66" ht="22" customHeight="1">
      <x:c r="A66" s="6" t="str">
        <x:v>合江亭</x:v>
      </x:c>
      <x:c r="B66" s="6" t="str">
        <x:v>蓉上坊一期</x:v>
      </x:c>
      <x:c r="C66" s="6" t="str">
        <x:v>1室1厅</x:v>
      </x:c>
      <x:c r="D66" s="6" t="n">
        <x:v>50.44</x:v>
      </x:c>
      <x:c r="E66" s="9" t="n">
        <x:v>82</x:v>
      </x:c>
      <x:c r="F66" s="6" t="n">
        <x:v>16256.93893735131</x:v>
      </x:c>
      <x:c r="G66" s="6" t="n">
        <x:v>16158</x:v>
      </x:c>
      <x:c r="H66" s="8" t="n">
        <x:f>F66/G66-1</x:f>
        <x:v>0.006123216818375354</x:v>
      </x:c>
      <x:c r="I66" s="9" t="n">
        <x:f>G66*D66/10000</x:f>
        <x:v>81.500952</x:v>
      </x:c>
      <x:c r="J66" s="6" t="n">
        <x:v>3</x:v>
      </x:c>
      <x:c r="K66" s="6" t="n">
        <x:v>2</x:v>
      </x:c>
      <x:c r="L66" s="6" t="str">
        <x:v>近12个月</x:v>
      </x:c>
      <x:c r="M66" s="6" t="str">
        <x:v>2026-02-22</x:v>
      </x:c>
      <x:c r="N66" s="6" t="str">
        <x:v>106120003453</x:v>
      </x:c>
      <x:c r="O66" s="6" t="str">
        <x:v>https://cd.lianjia.com/ershoufang/106120003453.html</x:v>
      </x:c>
      <x:c r="P66" s="8" t="n">
        <x:f>1-I66/E66</x:f>
        <x:v>0.0060859512195121646</x:v>
      </x:c>
    </x:row>
    <x:row r="67" ht="22" customHeight="1">
      <x:c r="A67" s="6" t="str">
        <x:v>合江亭</x:v>
      </x:c>
      <x:c r="B67" s="6" t="str">
        <x:v>蓉上坊一期</x:v>
      </x:c>
      <x:c r="C67" s="6" t="str">
        <x:v>1室1厅</x:v>
      </x:c>
      <x:c r="D67" s="6" t="n">
        <x:v>50.44</x:v>
      </x:c>
      <x:c r="E67" s="9" t="n">
        <x:v>80</x:v>
      </x:c>
      <x:c r="F67" s="6" t="n">
        <x:v>15860.428231562253</x:v>
      </x:c>
      <x:c r="G67" s="6" t="n">
        <x:v>16158</x:v>
      </x:c>
      <x:c r="H67" s="8" t="n">
        <x:f>F67/G67-1</x:f>
        <x:v>-0.01841637383573136</x:v>
      </x:c>
      <x:c r="I67" s="9" t="n">
        <x:f>G67*D67/10000</x:f>
        <x:v>81.500952</x:v>
      </x:c>
      <x:c r="J67" s="6" t="n">
        <x:v>3</x:v>
      </x:c>
      <x:c r="K67" s="6" t="n">
        <x:v>2</x:v>
      </x:c>
      <x:c r="L67" s="6" t="str">
        <x:v>近12个月</x:v>
      </x:c>
      <x:c r="M67" s="6" t="str">
        <x:v>2026-02-22</x:v>
      </x:c>
      <x:c r="N67" s="6" t="str">
        <x:v>106129248317</x:v>
      </x:c>
      <x:c r="O67" s="6" t="str">
        <x:v>https://cd.lianjia.com/ershoufang/106129248317.html</x:v>
      </x:c>
      <x:c r="P67" s="8" t="n">
        <x:f>1-I67/E67</x:f>
        <x:v>-0.018761899999999887</x:v>
      </x:c>
    </x:row>
    <x:row r="68" ht="22" customHeight="1">
      <x:c r="A68" s="6" t="str">
        <x:v>合江亭</x:v>
      </x:c>
      <x:c r="B68" s="6" t="str">
        <x:v>蓉上坊一期</x:v>
      </x:c>
      <x:c r="C68" s="6" t="str">
        <x:v>1室2厅</x:v>
      </x:c>
      <x:c r="D68" s="6" t="n">
        <x:v>50.01</x:v>
      </x:c>
      <x:c r="E68" s="9" t="n">
        <x:v>79</x:v>
      </x:c>
      <x:c r="F68" s="6" t="n">
        <x:v>15796.840631873625</x:v>
      </x:c>
      <x:c r="G68" s="6"/>
      <x:c r="H68" s="8"/>
      <x:c r="I68" s="9"/>
      <x:c r="J68" s="6" t="n">
        <x:v>0</x:v>
      </x:c>
      <x:c r="K68" s="6" t="n">
        <x:v>0</x:v>
      </x:c>
      <x:c r="L68" s="6" t="str">
        <x:v>无可比</x:v>
      </x:c>
      <x:c r="M68" s="6" t="str"/>
      <x:c r="N68" s="6" t="str">
        <x:v>106129090372</x:v>
      </x:c>
      <x:c r="O68" s="6" t="str">
        <x:v>https://cd.lianjia.com/ershoufang/106129090372.html</x:v>
      </x:c>
      <x:c r="P68" s="8"/>
    </x:row>
    <x:row r="69" ht="22" customHeight="1">
      <x:c r="A69" s="6" t="str">
        <x:v>合江亭</x:v>
      </x:c>
      <x:c r="B69" s="6" t="str">
        <x:v>锦上花</x:v>
      </x:c>
      <x:c r="C69" s="6" t="str">
        <x:v>1室1厅</x:v>
      </x:c>
      <x:c r="D69" s="6" t="n">
        <x:v>55.29</x:v>
      </x:c>
      <x:c r="E69" s="9" t="n">
        <x:v>82</x:v>
      </x:c>
      <x:c r="F69" s="6" t="n">
        <x:v>14830.891662145053</x:v>
      </x:c>
      <x:c r="G69" s="6" t="n">
        <x:v>17231</x:v>
      </x:c>
      <x:c r="H69" s="8" t="n">
        <x:f>F69/G69-1</x:f>
        <x:v>-0.139290136257614</x:v>
      </x:c>
      <x:c r="I69" s="9" t="n">
        <x:f>G69*D69/10000</x:f>
        <x:v>95.270199</x:v>
      </x:c>
      <x:c r="J69" s="6" t="n">
        <x:v>2</x:v>
      </x:c>
      <x:c r="K69" s="6" t="n">
        <x:v>1</x:v>
      </x:c>
      <x:c r="L69" s="6" t="str">
        <x:v>近12个月</x:v>
      </x:c>
      <x:c r="M69" s="6" t="str">
        <x:v>2026-06-20</x:v>
      </x:c>
      <x:c r="N69" s="6" t="str">
        <x:v>106127349739</x:v>
      </x:c>
      <x:c r="O69" s="6" t="str">
        <x:v>https://cd.lianjia.com/ershoufang/106127349739.html</x:v>
      </x:c>
      <x:c r="P69" s="8" t="n">
        <x:f>1-I69/E69</x:f>
        <x:v>-0.1618316951219514</x:v>
      </x:c>
    </x:row>
    <x:row r="70" ht="22" customHeight="1">
      <x:c r="A70" s="6" t="str">
        <x:v>合江亭</x:v>
      </x:c>
      <x:c r="B70" s="6" t="str">
        <x:v>流星花园</x:v>
      </x:c>
      <x:c r="C70" s="6" t="str">
        <x:v>1室1厅</x:v>
      </x:c>
      <x:c r="D70" s="6" t="n">
        <x:v>50.19</x:v>
      </x:c>
      <x:c r="E70" s="9" t="n">
        <x:v>89</x:v>
      </x:c>
      <x:c r="F70" s="6" t="n">
        <x:v>17732.61605897589</x:v>
      </x:c>
      <x:c r="G70" s="6"/>
      <x:c r="H70" s="8"/>
      <x:c r="I70" s="9"/>
      <x:c r="J70" s="6" t="n">
        <x:v>0</x:v>
      </x:c>
      <x:c r="K70" s="6" t="n">
        <x:v>0</x:v>
      </x:c>
      <x:c r="L70" s="6" t="str">
        <x:v>无可比</x:v>
      </x:c>
      <x:c r="M70" s="6" t="str"/>
      <x:c r="N70" s="6" t="str">
        <x:v>106124622252</x:v>
      </x:c>
      <x:c r="O70" s="6" t="str">
        <x:v>https://cd.lianjia.com/ershoufang/106124622252.html</x:v>
      </x:c>
      <x:c r="P70" s="8"/>
    </x:row>
    <x:row r="71" ht="22" customHeight="1">
      <x:c r="A71" s="6" t="str">
        <x:v>合江亭</x:v>
      </x:c>
      <x:c r="B71" s="6" t="str">
        <x:v>龙瑞苑</x:v>
      </x:c>
      <x:c r="C71" s="6" t="str">
        <x:v>1室1厅</x:v>
      </x:c>
      <x:c r="D71" s="6" t="n">
        <x:v>53.53</x:v>
      </x:c>
      <x:c r="E71" s="9" t="n">
        <x:v>73</x:v>
      </x:c>
      <x:c r="F71" s="6" t="n">
        <x:v>13637.212777881561</x:v>
      </x:c>
      <x:c r="G71" s="6" t="n">
        <x:v>14739</x:v>
      </x:c>
      <x:c r="H71" s="8" t="n">
        <x:f>F71/G71-1</x:f>
        <x:v>-0.07475318692709398</x:v>
      </x:c>
      <x:c r="I71" s="9" t="n">
        <x:f>G71*D71/10000</x:f>
        <x:v>78.897867</x:v>
      </x:c>
      <x:c r="J71" s="6" t="n">
        <x:v>1</x:v>
      </x:c>
      <x:c r="K71" s="6" t="n">
        <x:v>0</x:v>
      </x:c>
      <x:c r="L71" s="6" t="str">
        <x:v>超过12个月</x:v>
      </x:c>
      <x:c r="M71" s="6" t="str">
        <x:v>2025-03-08</x:v>
      </x:c>
      <x:c r="N71" s="6" t="str">
        <x:v>106125277936</x:v>
      </x:c>
      <x:c r="O71" s="6" t="str">
        <x:v>https://cd.lianjia.com/ershoufang/106125277936.html</x:v>
      </x:c>
      <x:c r="P71" s="8" t="n">
        <x:f>1-I71/E71</x:f>
        <x:v>-0.08079269863013705</x:v>
      </x:c>
    </x:row>
    <x:row r="72" ht="22" customHeight="1">
      <x:c r="A72" s="6" t="str">
        <x:v>合江亭</x:v>
      </x:c>
      <x:c r="B72" s="6" t="str">
        <x:v>星城银座</x:v>
      </x:c>
      <x:c r="C72" s="6" t="str">
        <x:v>1室0厅</x:v>
      </x:c>
      <x:c r="D72" s="6" t="n">
        <x:v>50.61</x:v>
      </x:c>
      <x:c r="E72" s="9" t="n">
        <x:v>88</x:v>
      </x:c>
      <x:c r="F72" s="6" t="n">
        <x:v>17387.86801027465</x:v>
      </x:c>
      <x:c r="G72" s="6" t="n">
        <x:v>19959</x:v>
      </x:c>
      <x:c r="H72" s="8" t="n">
        <x:f>F72/G72-1</x:f>
        <x:v>-0.12882068188412987</x:v>
      </x:c>
      <x:c r="I72" s="9" t="n">
        <x:f>G72*D72/10000</x:f>
        <x:v>101.012499</x:v>
      </x:c>
      <x:c r="J72" s="6" t="n">
        <x:v>1</x:v>
      </x:c>
      <x:c r="K72" s="6" t="n">
        <x:v>0</x:v>
      </x:c>
      <x:c r="L72" s="6" t="str">
        <x:v>超过12个月</x:v>
      </x:c>
      <x:c r="M72" s="6" t="str">
        <x:v>2025-01-07</x:v>
      </x:c>
      <x:c r="N72" s="6" t="str">
        <x:v>106128890609</x:v>
      </x:c>
      <x:c r="O72" s="6" t="str">
        <x:v>https://cd.lianjia.com/ershoufang/106128890609.html</x:v>
      </x:c>
      <x:c r="P72" s="8" t="n">
        <x:f>1-I72/E72</x:f>
        <x:v>-0.14786930681818178</x:v>
      </x:c>
    </x:row>
    <x:row r="73" ht="22" customHeight="1">
      <x:c r="A73" s="6" t="str">
        <x:v>合江亭</x:v>
      </x:c>
      <x:c r="B73" s="6" t="str">
        <x:v>锦上花</x:v>
      </x:c>
      <x:c r="C73" s="6" t="str">
        <x:v>1室1厅</x:v>
      </x:c>
      <x:c r="D73" s="6" t="n">
        <x:v>55.67</x:v>
      </x:c>
      <x:c r="E73" s="9" t="n">
        <x:v>85</x:v>
      </x:c>
      <x:c r="F73" s="6" t="n">
        <x:v>15268.546793605174</x:v>
      </x:c>
      <x:c r="G73" s="6" t="n">
        <x:v>17231</x:v>
      </x:c>
      <x:c r="H73" s="8" t="n">
        <x:f>F73/G73-1</x:f>
        <x:v>-0.11389084826155338</x:v>
      </x:c>
      <x:c r="I73" s="9" t="n">
        <x:f>G73*D73/10000</x:f>
        <x:v>95.924977</x:v>
      </x:c>
      <x:c r="J73" s="6" t="n">
        <x:v>2</x:v>
      </x:c>
      <x:c r="K73" s="6" t="n">
        <x:v>1</x:v>
      </x:c>
      <x:c r="L73" s="6" t="str">
        <x:v>近12个月</x:v>
      </x:c>
      <x:c r="M73" s="6" t="str">
        <x:v>2026-06-20</x:v>
      </x:c>
      <x:c r="N73" s="6" t="str">
        <x:v>106128595751</x:v>
      </x:c>
      <x:c r="O73" s="6" t="str">
        <x:v>https://cd.lianjia.com/ershoufang/106128595751.html</x:v>
      </x:c>
      <x:c r="P73" s="8" t="n">
        <x:f>1-I73/E73</x:f>
        <x:v>-0.12852914117647063</x:v>
      </x:c>
    </x:row>
    <x:row r="74" ht="22" customHeight="1">
      <x:c r="A74" s="6" t="str">
        <x:v>合江亭</x:v>
      </x:c>
      <x:c r="B74" s="6" t="str">
        <x:v>流星花园</x:v>
      </x:c>
      <x:c r="C74" s="6" t="str">
        <x:v>1室0厅</x:v>
      </x:c>
      <x:c r="D74" s="6" t="n">
        <x:v>38.58</x:v>
      </x:c>
      <x:c r="E74" s="9" t="n">
        <x:v>64</x:v>
      </x:c>
      <x:c r="F74" s="6" t="n">
        <x:v>16588.90616899948</x:v>
      </x:c>
      <x:c r="G74" s="6" t="n">
        <x:v>17709</x:v>
      </x:c>
      <x:c r="H74" s="8" t="n">
        <x:f>F74/G74-1</x:f>
        <x:v>-0.0632499763397435</x:v>
      </x:c>
      <x:c r="I74" s="9" t="n">
        <x:f>G74*D74/10000</x:f>
        <x:v>68.321322</x:v>
      </x:c>
      <x:c r="J74" s="6" t="n">
        <x:v>21</x:v>
      </x:c>
      <x:c r="K74" s="6" t="n">
        <x:v>6</x:v>
      </x:c>
      <x:c r="L74" s="6" t="str">
        <x:v>近12个月</x:v>
      </x:c>
      <x:c r="M74" s="6" t="str">
        <x:v>2026-07-22</x:v>
      </x:c>
      <x:c r="N74" s="6" t="str">
        <x:v>106129397106</x:v>
      </x:c>
      <x:c r="O74" s="6" t="str">
        <x:v>https://cd.lianjia.com/ershoufang/106129397106.html</x:v>
      </x:c>
      <x:c r="P74" s="8" t="n">
        <x:f>1-I74/E74</x:f>
        <x:v>-0.06752065624999992</x:v>
      </x:c>
    </x:row>
    <x:row r="75" ht="22" customHeight="1">
      <x:c r="A75" s="6" t="str">
        <x:v>合江亭</x:v>
      </x:c>
      <x:c r="B75" s="6" t="str">
        <x:v>蓝光时代华章</x:v>
      </x:c>
      <x:c r="C75" s="6" t="str">
        <x:v>1室1厅</x:v>
      </x:c>
      <x:c r="D75" s="6" t="n">
        <x:v>36.72</x:v>
      </x:c>
      <x:c r="E75" s="9" t="n">
        <x:v>90</x:v>
      </x:c>
      <x:c r="F75" s="6" t="n">
        <x:v>24509.80392156863</x:v>
      </x:c>
      <x:c r="G75" s="6" t="n">
        <x:v>21003</x:v>
      </x:c>
      <x:c r="H75" s="8" t="n">
        <x:f>F75/G75-1</x:f>
        <x:v>0.16696681053033524</x:v>
      </x:c>
      <x:c r="I75" s="9" t="n">
        <x:f>G75*D75/10000</x:f>
        <x:v>77.123016</x:v>
      </x:c>
      <x:c r="J75" s="6" t="n">
        <x:v>13</x:v>
      </x:c>
      <x:c r="K75" s="6" t="n">
        <x:v>4</x:v>
      </x:c>
      <x:c r="L75" s="6" t="str">
        <x:v>近12个月</x:v>
      </x:c>
      <x:c r="M75" s="6" t="str">
        <x:v>2026-09-20</x:v>
      </x:c>
      <x:c r="N75" s="6" t="str">
        <x:v>106128314999</x:v>
      </x:c>
      <x:c r="O75" s="6" t="str">
        <x:v>https://cd.lianjia.com/ershoufang/106128314999.html</x:v>
      </x:c>
      <x:c r="P75" s="8" t="n">
        <x:f>1-I75/E75</x:f>
        <x:v>0.14307759999999992</x:v>
      </x:c>
    </x:row>
    <x:row r="76" ht="22" customHeight="1">
      <x:c r="A76" s="6" t="str">
        <x:v>合江亭</x:v>
      </x:c>
      <x:c r="B76" s="6" t="str">
        <x:v>流星花园</x:v>
      </x:c>
      <x:c r="C76" s="6" t="str">
        <x:v>1室0厅</x:v>
      </x:c>
      <x:c r="D76" s="6" t="n">
        <x:v>39.67</x:v>
      </x:c>
      <x:c r="E76" s="9" t="n">
        <x:v>72</x:v>
      </x:c>
      <x:c r="F76" s="6" t="n">
        <x:v>18149.73531635997</x:v>
      </x:c>
      <x:c r="G76" s="6" t="n">
        <x:v>17709</x:v>
      </x:c>
      <x:c r="H76" s="8" t="n">
        <x:f>F76/G76-1</x:f>
        <x:v>0.02488764562425705</x:v>
      </x:c>
      <x:c r="I76" s="9" t="n">
        <x:f>G76*D76/10000</x:f>
        <x:v>70.251603</x:v>
      </x:c>
      <x:c r="J76" s="6" t="n">
        <x:v>19</x:v>
      </x:c>
      <x:c r="K76" s="6" t="n">
        <x:v>6</x:v>
      </x:c>
      <x:c r="L76" s="6" t="str">
        <x:v>近12个月</x:v>
      </x:c>
      <x:c r="M76" s="6" t="str">
        <x:v>2026-07-22</x:v>
      </x:c>
      <x:c r="N76" s="6" t="str">
        <x:v>106127500225</x:v>
      </x:c>
      <x:c r="O76" s="6" t="str">
        <x:v>https://cd.lianjia.com/ershoufang/106127500225.html</x:v>
      </x:c>
      <x:c r="P76" s="8" t="n">
        <x:f>1-I76/E76</x:f>
        <x:v>0.02428329166666665</x:v>
      </x:c>
    </x:row>
    <x:row r="77" ht="22" customHeight="1">
      <x:c r="A77" s="6" t="str">
        <x:v>合江亭</x:v>
      </x:c>
      <x:c r="B77" s="6" t="str">
        <x:v>SOHO我的寓所</x:v>
      </x:c>
      <x:c r="C77" s="6" t="str">
        <x:v>1室1厅</x:v>
      </x:c>
      <x:c r="D77" s="6" t="n">
        <x:v>36.81</x:v>
      </x:c>
      <x:c r="E77" s="9" t="n">
        <x:v>81</x:v>
      </x:c>
      <x:c r="F77" s="6" t="n">
        <x:v>22004.889975550122</x:v>
      </x:c>
      <x:c r="G77" s="6" t="n">
        <x:v>18479</x:v>
      </x:c>
      <x:c r="H77" s="8" t="n">
        <x:f>F77/G77-1</x:f>
        <x:v>0.19080523705558328</x:v>
      </x:c>
      <x:c r="I77" s="9" t="n">
        <x:f>G77*D77/10000</x:f>
        <x:v>68.021199</x:v>
      </x:c>
      <x:c r="J77" s="6" t="n">
        <x:v>6</x:v>
      </x:c>
      <x:c r="K77" s="6" t="n">
        <x:v>3</x:v>
      </x:c>
      <x:c r="L77" s="6" t="str">
        <x:v>近12个月</x:v>
      </x:c>
      <x:c r="M77" s="6" t="str">
        <x:v>2026-05-19</x:v>
      </x:c>
      <x:c r="N77" s="6" t="str">
        <x:v>106118513855</x:v>
      </x:c>
      <x:c r="O77" s="6" t="str">
        <x:v>https://cd.lianjia.com/ershoufang/106118513855.html</x:v>
      </x:c>
      <x:c r="P77" s="8" t="n">
        <x:f>1-I77/E77</x:f>
        <x:v>0.16023211111111113</x:v>
      </x:c>
    </x:row>
    <x:row r="78" ht="22" customHeight="1">
      <x:c r="A78" s="6" t="str">
        <x:v>合江亭</x:v>
      </x:c>
      <x:c r="B78" s="6" t="str">
        <x:v>星城银座</x:v>
      </x:c>
      <x:c r="C78" s="6" t="str">
        <x:v>1室1厅</x:v>
      </x:c>
      <x:c r="D78" s="6" t="n">
        <x:v>36.58</x:v>
      </x:c>
      <x:c r="E78" s="9" t="n">
        <x:v>88</x:v>
      </x:c>
      <x:c r="F78" s="6" t="n">
        <x:v>24056.86167304538</x:v>
      </x:c>
      <x:c r="G78" s="6" t="n">
        <x:v>25971</x:v>
      </x:c>
      <x:c r="H78" s="8" t="n">
        <x:f>F78/G78-1</x:f>
        <x:v>-0.07370291197699819</x:v>
      </x:c>
      <x:c r="I78" s="9" t="n">
        <x:f>G78*D78/10000</x:f>
        <x:v>95.00191799999999</x:v>
      </x:c>
      <x:c r="J78" s="6" t="n">
        <x:v>1</x:v>
      </x:c>
      <x:c r="K78" s="6" t="n">
        <x:v>1</x:v>
      </x:c>
      <x:c r="L78" s="6" t="str">
        <x:v>近12个月</x:v>
      </x:c>
      <x:c r="M78" s="6" t="str">
        <x:v>2025-11-10</x:v>
      </x:c>
      <x:c r="N78" s="6" t="str">
        <x:v>106129144054</x:v>
      </x:c>
      <x:c r="O78" s="6" t="str">
        <x:v>https://cd.lianjia.com/ershoufang/106129144054.html</x:v>
      </x:c>
      <x:c r="P78" s="8" t="n">
        <x:f>1-I78/E78</x:f>
        <x:v>-0.07956724999999998</x:v>
      </x:c>
    </x:row>
    <x:row r="79" ht="22" customHeight="1">
      <x:c r="A79" s="6" t="str">
        <x:v>合江亭</x:v>
      </x:c>
      <x:c r="B79" s="6" t="str">
        <x:v>流星花园</x:v>
      </x:c>
      <x:c r="C79" s="6" t="str">
        <x:v>1室1厅</x:v>
      </x:c>
      <x:c r="D79" s="6" t="n">
        <x:v>39.67</x:v>
      </x:c>
      <x:c r="E79" s="9" t="n">
        <x:v>79</x:v>
      </x:c>
      <x:c r="F79" s="6" t="n">
        <x:v>19914.292916561633</x:v>
      </x:c>
      <x:c r="G79" s="6" t="n">
        <x:v>17525</x:v>
      </x:c>
      <x:c r="H79" s="8" t="n">
        <x:f>F79/G79-1</x:f>
        <x:v>0.13633625772106317</x:v>
      </x:c>
      <x:c r="I79" s="9" t="n">
        <x:f>G79*D79/10000</x:f>
        <x:v>69.521675</x:v>
      </x:c>
      <x:c r="J79" s="6" t="n">
        <x:v>1</x:v>
      </x:c>
      <x:c r="K79" s="6" t="n">
        <x:v>1</x:v>
      </x:c>
      <x:c r="L79" s="6" t="str">
        <x:v>近12个月</x:v>
      </x:c>
      <x:c r="M79" s="6" t="str">
        <x:v>2025-11-14</x:v>
      </x:c>
      <x:c r="N79" s="6" t="str">
        <x:v>106126685085</x:v>
      </x:c>
      <x:c r="O79" s="6" t="str">
        <x:v>https://cd.lianjia.com/ershoufang/106126685085.html</x:v>
      </x:c>
      <x:c r="P79" s="8" t="n">
        <x:f>1-I79/E79</x:f>
        <x:v>0.11997879746835438</x:v>
      </x:c>
    </x:row>
    <x:row r="80" ht="22" customHeight="1">
      <x:c r="A80" s="6" t="str">
        <x:v>合江亭</x:v>
      </x:c>
      <x:c r="B80" s="6" t="str">
        <x:v>蓝光时代华章</x:v>
      </x:c>
      <x:c r="C80" s="6" t="str">
        <x:v>1室0厅</x:v>
      </x:c>
      <x:c r="D80" s="6" t="n">
        <x:v>37.21</x:v>
      </x:c>
      <x:c r="E80" s="9" t="n">
        <x:v>90</x:v>
      </x:c>
      <x:c r="F80" s="6" t="n">
        <x:v>24187.046492878257</x:v>
      </x:c>
      <x:c r="G80" s="6" t="n">
        <x:v>24572</x:v>
      </x:c>
      <x:c r="H80" s="8" t="n">
        <x:f>F80/G80-1</x:f>
        <x:v>-0.015666348165462418</x:v>
      </x:c>
      <x:c r="I80" s="9" t="n">
        <x:f>G80*D80/10000</x:f>
        <x:v>91.432412</x:v>
      </x:c>
      <x:c r="J80" s="6" t="n">
        <x:v>17</x:v>
      </x:c>
      <x:c r="K80" s="6" t="n">
        <x:v>4</x:v>
      </x:c>
      <x:c r="L80" s="6" t="str">
        <x:v>近12个月</x:v>
      </x:c>
      <x:c r="M80" s="6" t="str">
        <x:v>2026-08-16</x:v>
      </x:c>
      <x:c r="N80" s="6" t="str">
        <x:v>106127811131</x:v>
      </x:c>
      <x:c r="O80" s="6" t="str">
        <x:v>https://cd.lianjia.com/ershoufang/106127811131.html</x:v>
      </x:c>
      <x:c r="P80" s="8" t="n">
        <x:f>1-I80/E80</x:f>
        <x:v>-0.015915688888888946</x:v>
      </x:c>
    </x:row>
    <x:row r="81" ht="22" customHeight="1">
      <x:c r="A81" s="6" t="str">
        <x:v>合江亭</x:v>
      </x:c>
      <x:c r="B81" s="6" t="str">
        <x:v>SOHO我的寓所</x:v>
      </x:c>
      <x:c r="C81" s="6" t="str">
        <x:v>1室1厅</x:v>
      </x:c>
      <x:c r="D81" s="6" t="n">
        <x:v>36.84</x:v>
      </x:c>
      <x:c r="E81" s="9" t="n">
        <x:v>78</x:v>
      </x:c>
      <x:c r="F81" s="6" t="n">
        <x:v>21172.638436482084</x:v>
      </x:c>
      <x:c r="G81" s="6" t="n">
        <x:v>18479</x:v>
      </x:c>
      <x:c r="H81" s="8" t="n">
        <x:f>F81/G81-1</x:f>
        <x:v>0.14576754350787846</x:v>
      </x:c>
      <x:c r="I81" s="9" t="n">
        <x:f>G81*D81/10000</x:f>
        <x:v>68.07663600000001</x:v>
      </x:c>
      <x:c r="J81" s="6" t="n">
        <x:v>6</x:v>
      </x:c>
      <x:c r="K81" s="6" t="n">
        <x:v>3</x:v>
      </x:c>
      <x:c r="L81" s="6" t="str">
        <x:v>近12个月</x:v>
      </x:c>
      <x:c r="M81" s="6" t="str">
        <x:v>2026-05-19</x:v>
      </x:c>
      <x:c r="N81" s="6" t="str">
        <x:v>106122115277</x:v>
      </x:c>
      <x:c r="O81" s="6" t="str">
        <x:v>https://cd.lianjia.com/ershoufang/106122115277.html</x:v>
      </x:c>
      <x:c r="P81" s="8" t="n">
        <x:f>1-I81/E81</x:f>
        <x:v>0.12722261538461532</x:v>
      </x:c>
    </x:row>
    <x:row r="82" ht="22" customHeight="1">
      <x:c r="A82" s="6" t="str">
        <x:v>合江亭</x:v>
      </x:c>
      <x:c r="B82" s="6" t="str">
        <x:v>锦江印象</x:v>
      </x:c>
      <x:c r="C82" s="6" t="str">
        <x:v>1室1厅</x:v>
      </x:c>
      <x:c r="D82" s="6" t="n">
        <x:v>36.29</x:v>
      </x:c>
      <x:c r="E82" s="9" t="n">
        <x:v>88.8</x:v>
      </x:c>
      <x:c r="F82" s="6" t="n">
        <x:v>24469.550840451917</x:v>
      </x:c>
      <x:c r="G82" s="6"/>
      <x:c r="H82" s="8"/>
      <x:c r="I82" s="9"/>
      <x:c r="J82" s="6" t="n">
        <x:v>0</x:v>
      </x:c>
      <x:c r="K82" s="6" t="n">
        <x:v>0</x:v>
      </x:c>
      <x:c r="L82" s="6" t="str">
        <x:v>无可比</x:v>
      </x:c>
      <x:c r="M82" s="6" t="str"/>
      <x:c r="N82" s="6" t="str">
        <x:v>106129551882</x:v>
      </x:c>
      <x:c r="O82" s="6" t="str">
        <x:v>https://cd.lianjia.com/ershoufang/106129551882.html</x:v>
      </x:c>
      <x:c r="P82" s="8"/>
    </x:row>
    <x:row r="83" ht="22" customHeight="1">
      <x:c r="A83" s="6" t="str">
        <x:v>盐市口</x:v>
      </x:c>
      <x:c r="B83" s="6" t="str">
        <x:v>财富中心</x:v>
      </x:c>
      <x:c r="C83" s="6" t="str">
        <x:v>1室0厅</x:v>
      </x:c>
      <x:c r="D83" s="6" t="n">
        <x:v>52.11</x:v>
      </x:c>
      <x:c r="E83" s="9" t="n">
        <x:v>88</x:v>
      </x:c>
      <x:c r="F83" s="6" t="n">
        <x:v>16887.353674918442</x:v>
      </x:c>
      <x:c r="G83" s="6" t="n">
        <x:v>16794</x:v>
      </x:c>
      <x:c r="H83" s="8" t="n">
        <x:f>F83/G83-1</x:f>
        <x:v>0.0055587516326331965</x:v>
      </x:c>
      <x:c r="I83" s="9" t="n">
        <x:f>G83*D83/10000</x:f>
        <x:v>87.51353399999999</x:v>
      </x:c>
      <x:c r="J83" s="6" t="n">
        <x:v>5</x:v>
      </x:c>
      <x:c r="K83" s="6" t="n">
        <x:v>2</x:v>
      </x:c>
      <x:c r="L83" s="6" t="str">
        <x:v>近12个月</x:v>
      </x:c>
      <x:c r="M83" s="6" t="str">
        <x:v>2026-03-13</x:v>
      </x:c>
      <x:c r="N83" s="6" t="str">
        <x:v>106129128976</x:v>
      </x:c>
      <x:c r="O83" s="6" t="str">
        <x:v>https://cd.lianjia.com/ershoufang/106129128976.html</x:v>
      </x:c>
      <x:c r="P83" s="8" t="n">
        <x:f>1-I83/E83</x:f>
        <x:v>0.005528022727272819</x:v>
      </x:c>
    </x:row>
    <x:row r="84" ht="22" customHeight="1">
      <x:c r="A84" s="6" t="str">
        <x:v>盐市口</x:v>
      </x:c>
      <x:c r="B84" s="6" t="str">
        <x:v>现代之窗</x:v>
      </x:c>
      <x:c r="C84" s="6" t="str">
        <x:v>1室0厅</x:v>
      </x:c>
      <x:c r="D84" s="6" t="n">
        <x:v>56.27</x:v>
      </x:c>
      <x:c r="E84" s="9" t="n">
        <x:v>74.5</x:v>
      </x:c>
      <x:c r="F84" s="6" t="n">
        <x:v>13239.736982406255</x:v>
      </x:c>
      <x:c r="G84" s="6"/>
      <x:c r="H84" s="8"/>
      <x:c r="I84" s="9"/>
      <x:c r="J84" s="6" t="n">
        <x:v>0</x:v>
      </x:c>
      <x:c r="K84" s="6" t="n">
        <x:v>0</x:v>
      </x:c>
      <x:c r="L84" s="6" t="str">
        <x:v>无可比</x:v>
      </x:c>
      <x:c r="M84" s="6" t="str"/>
      <x:c r="N84" s="6" t="str">
        <x:v>106123066794</x:v>
      </x:c>
      <x:c r="O84" s="6" t="str">
        <x:v>https://cd.lianjia.com/ershoufang/106123066794.html</x:v>
      </x:c>
      <x:c r="P84" s="8"/>
    </x:row>
    <x:row r="85" ht="22" customHeight="1">
      <x:c r="A85" s="6" t="str">
        <x:v>盐市口</x:v>
      </x:c>
      <x:c r="B85" s="6" t="str">
        <x:v>正成财富ID</x:v>
      </x:c>
      <x:c r="C85" s="6" t="str">
        <x:v>1室1厅</x:v>
      </x:c>
      <x:c r="D85" s="6" t="n">
        <x:v>50.19</x:v>
      </x:c>
      <x:c r="E85" s="9" t="n">
        <x:v>64</x:v>
      </x:c>
      <x:c r="F85" s="6" t="n">
        <x:v>12751.544132297271</x:v>
      </x:c>
      <x:c r="G85" s="6" t="n">
        <x:v>14206</x:v>
      </x:c>
      <x:c r="H85" s="8" t="n">
        <x:f>F85/G85-1</x:f>
        <x:v>-0.10238320904566589</x:v>
      </x:c>
      <x:c r="I85" s="9" t="n">
        <x:f>G85*D85/10000</x:f>
        <x:v>71.299914</x:v>
      </x:c>
      <x:c r="J85" s="6" t="n">
        <x:v>4</x:v>
      </x:c>
      <x:c r="K85" s="6" t="n">
        <x:v>1</x:v>
      </x:c>
      <x:c r="L85" s="6" t="str">
        <x:v>近12个月</x:v>
      </x:c>
      <x:c r="M85" s="6" t="str">
        <x:v>2026-02-09</x:v>
      </x:c>
      <x:c r="N85" s="6" t="str">
        <x:v>106127656077</x:v>
      </x:c>
      <x:c r="O85" s="6" t="str">
        <x:v>https://cd.lianjia.com/ershoufang/106127656077.html</x:v>
      </x:c>
      <x:c r="P85" s="8" t="n">
        <x:f>1-I85/E85</x:f>
        <x:v>-0.11406115625000002</x:v>
      </x:c>
    </x:row>
    <x:row r="86" ht="22" customHeight="1">
      <x:c r="A86" s="6" t="str">
        <x:v>盐市口</x:v>
      </x:c>
      <x:c r="B86" s="6" t="str">
        <x:v>世代锦江商务楼</x:v>
      </x:c>
      <x:c r="C86" s="6" t="str">
        <x:v>1室0厅</x:v>
      </x:c>
      <x:c r="D86" s="6" t="n">
        <x:v>57.61</x:v>
      </x:c>
      <x:c r="E86" s="9" t="n">
        <x:v>120</x:v>
      </x:c>
      <x:c r="F86" s="6" t="n">
        <x:v>20829.717063009895</x:v>
      </x:c>
      <x:c r="G86" s="6" t="n">
        <x:v>16036</x:v>
      </x:c>
      <x:c r="H86" s="8" t="n">
        <x:f>F86/G86-1</x:f>
        <x:v>0.29893471333311905</x:v>
      </x:c>
      <x:c r="I86" s="9" t="n">
        <x:f>G86*D86/10000</x:f>
        <x:v>92.38339599999999</x:v>
      </x:c>
      <x:c r="J86" s="6" t="n">
        <x:v>1</x:v>
      </x:c>
      <x:c r="K86" s="6" t="n">
        <x:v>1</x:v>
      </x:c>
      <x:c r="L86" s="6" t="str">
        <x:v>近12个月</x:v>
      </x:c>
      <x:c r="M86" s="6" t="str">
        <x:v>2026-09-13</x:v>
      </x:c>
      <x:c r="N86" s="6" t="str">
        <x:v>106126989263</x:v>
      </x:c>
      <x:c r="O86" s="6" t="str">
        <x:v>https://cd.lianjia.com/ershoufang/106126989263.html</x:v>
      </x:c>
      <x:c r="P86" s="8" t="n">
        <x:f>1-I86/E86</x:f>
        <x:v>0.23013836666666676</x:v>
      </x:c>
    </x:row>
    <x:row r="87" ht="22" customHeight="1">
      <x:c r="A87" s="6" t="str">
        <x:v>盐市口</x:v>
      </x:c>
      <x:c r="B87" s="6" t="str">
        <x:v>经典坐标</x:v>
      </x:c>
      <x:c r="C87" s="6" t="str">
        <x:v>1室1厅</x:v>
      </x:c>
      <x:c r="D87" s="6" t="n">
        <x:v>52.18</x:v>
      </x:c>
      <x:c r="E87" s="9" t="n">
        <x:v>63</x:v>
      </x:c>
      <x:c r="F87" s="6" t="n">
        <x:v>12073.591414334995</x:v>
      </x:c>
      <x:c r="G87" s="6"/>
      <x:c r="H87" s="8"/>
      <x:c r="I87" s="9"/>
      <x:c r="J87" s="6" t="n">
        <x:v>0</x:v>
      </x:c>
      <x:c r="K87" s="6" t="n">
        <x:v>0</x:v>
      </x:c>
      <x:c r="L87" s="6" t="str">
        <x:v>无可比</x:v>
      </x:c>
      <x:c r="M87" s="6" t="str"/>
      <x:c r="N87" s="6" t="str">
        <x:v>106121098161</x:v>
      </x:c>
      <x:c r="O87" s="6" t="str">
        <x:v>https://cd.lianjia.com/ershoufang/106121098161.html</x:v>
      </x:c>
      <x:c r="P87" s="8"/>
    </x:row>
    <x:row r="88" ht="22" customHeight="1">
      <x:c r="A88" s="6" t="str">
        <x:v>盐市口</x:v>
      </x:c>
      <x:c r="B88" s="6" t="str">
        <x:v>财富中心</x:v>
      </x:c>
      <x:c r="C88" s="6" t="str">
        <x:v>1室1厅</x:v>
      </x:c>
      <x:c r="D88" s="6" t="n">
        <x:v>52.12</x:v>
      </x:c>
      <x:c r="E88" s="9" t="n">
        <x:v>105</x:v>
      </x:c>
      <x:c r="F88" s="6" t="n">
        <x:v>20145.81734458941</x:v>
      </x:c>
      <x:c r="G88" s="6" t="n">
        <x:v>22678</x:v>
      </x:c>
      <x:c r="H88" s="8" t="n">
        <x:f>F88/G88-1</x:f>
        <x:v>-0.11165811162406691</x:v>
      </x:c>
      <x:c r="I88" s="9" t="n">
        <x:f>G88*D88/10000</x:f>
        <x:v>118.19773599999999</x:v>
      </x:c>
      <x:c r="J88" s="6" t="n">
        <x:v>23</x:v>
      </x:c>
      <x:c r="K88" s="6" t="n">
        <x:v>21</x:v>
      </x:c>
      <x:c r="L88" s="6" t="str">
        <x:v>近12个月</x:v>
      </x:c>
      <x:c r="M88" s="6" t="str">
        <x:v>2026-09-04</x:v>
      </x:c>
      <x:c r="N88" s="6" t="str">
        <x:v>106120738453</x:v>
      </x:c>
      <x:c r="O88" s="6" t="str">
        <x:v>https://cd.lianjia.com/ershoufang/106120738453.html</x:v>
      </x:c>
      <x:c r="P88" s="8" t="n">
        <x:f>1-I88/E88</x:f>
        <x:v>-0.1256927238095238</x:v>
      </x:c>
    </x:row>
    <x:row r="89" ht="22" customHeight="1">
      <x:c r="A89" s="6" t="str">
        <x:v>盐市口</x:v>
      </x:c>
      <x:c r="B89" s="6" t="str">
        <x:v>世代锦江商务楼</x:v>
      </x:c>
      <x:c r="C89" s="6" t="str">
        <x:v>1室0厅</x:v>
      </x:c>
      <x:c r="D89" s="6" t="n">
        <x:v>57.61</x:v>
      </x:c>
      <x:c r="E89" s="9" t="n">
        <x:v>109</x:v>
      </x:c>
      <x:c r="F89" s="6" t="n">
        <x:v>18920.326332233988</x:v>
      </x:c>
      <x:c r="G89" s="6" t="n">
        <x:v>16036</x:v>
      </x:c>
      <x:c r="H89" s="8" t="n">
        <x:f>F89/G89-1</x:f>
        <x:v>0.17986569794424967</x:v>
      </x:c>
      <x:c r="I89" s="9" t="n">
        <x:f>G89*D89/10000</x:f>
        <x:v>92.38339599999999</x:v>
      </x:c>
      <x:c r="J89" s="6" t="n">
        <x:v>1</x:v>
      </x:c>
      <x:c r="K89" s="6" t="n">
        <x:v>1</x:v>
      </x:c>
      <x:c r="L89" s="6" t="str">
        <x:v>近12个月</x:v>
      </x:c>
      <x:c r="M89" s="6" t="str">
        <x:v>2026-09-13</x:v>
      </x:c>
      <x:c r="N89" s="6" t="str">
        <x:v>106128581794</x:v>
      </x:c>
      <x:c r="O89" s="6" t="str">
        <x:v>https://cd.lianjia.com/ershoufang/106128581794.html</x:v>
      </x:c>
      <x:c r="P89" s="8" t="n">
        <x:f>1-I89/E89</x:f>
        <x:v>0.15244590825688087</x:v>
      </x:c>
    </x:row>
    <x:row r="90" ht="22" customHeight="1">
      <x:c r="A90" s="6" t="str">
        <x:v>盐市口</x:v>
      </x:c>
      <x:c r="B90" s="6" t="str">
        <x:v>世代锦江商务楼</x:v>
      </x:c>
      <x:c r="C90" s="6" t="str">
        <x:v>1室0厅</x:v>
      </x:c>
      <x:c r="D90" s="6" t="n">
        <x:v>52.74</x:v>
      </x:c>
      <x:c r="E90" s="9" t="n">
        <x:v>115</x:v>
      </x:c>
      <x:c r="F90" s="6" t="n">
        <x:v>21805.081532043987</x:v>
      </x:c>
      <x:c r="G90" s="6" t="n">
        <x:v>16036</x:v>
      </x:c>
      <x:c r="H90" s="8" t="n">
        <x:f>F90/G90-1</x:f>
        <x:v>0.35975813993788885</x:v>
      </x:c>
      <x:c r="I90" s="9" t="n">
        <x:f>G90*D90/10000</x:f>
        <x:v>84.573864</x:v>
      </x:c>
      <x:c r="J90" s="6" t="n">
        <x:v>3</x:v>
      </x:c>
      <x:c r="K90" s="6" t="n">
        <x:v>1</x:v>
      </x:c>
      <x:c r="L90" s="6" t="str">
        <x:v>近12个月</x:v>
      </x:c>
      <x:c r="M90" s="6" t="str">
        <x:v>2026-09-13</x:v>
      </x:c>
      <x:c r="N90" s="6" t="str">
        <x:v>106127191291</x:v>
      </x:c>
      <x:c r="O90" s="6" t="str">
        <x:v>https://cd.lianjia.com/ershoufang/106127191291.html</x:v>
      </x:c>
      <x:c r="P90" s="8" t="n">
        <x:f>1-I90/E90</x:f>
        <x:v>0.26457509565217396</x:v>
      </x:c>
    </x:row>
    <x:row r="91" ht="22" customHeight="1">
      <x:c r="A91" s="6" t="str">
        <x:v>盐市口</x:v>
      </x:c>
      <x:c r="B91" s="6" t="str">
        <x:v>世代锦江商务楼</x:v>
      </x:c>
      <x:c r="C91" s="6" t="str">
        <x:v>1室0厅</x:v>
      </x:c>
      <x:c r="D91" s="6" t="n">
        <x:v>52.74</x:v>
      </x:c>
      <x:c r="E91" s="9" t="n">
        <x:v>110</x:v>
      </x:c>
      <x:c r="F91" s="6" t="n">
        <x:v>20857.03450891164</x:v>
      </x:c>
      <x:c r="G91" s="6" t="n">
        <x:v>16036</x:v>
      </x:c>
      <x:c r="H91" s="8" t="n">
        <x:f>F91/G91-1</x:f>
        <x:v>0.3006382208101548</x:v>
      </x:c>
      <x:c r="I91" s="9" t="n">
        <x:f>G91*D91/10000</x:f>
        <x:v>84.573864</x:v>
      </x:c>
      <x:c r="J91" s="6" t="n">
        <x:v>3</x:v>
      </x:c>
      <x:c r="K91" s="6" t="n">
        <x:v>1</x:v>
      </x:c>
      <x:c r="L91" s="6" t="str">
        <x:v>近12个月</x:v>
      </x:c>
      <x:c r="M91" s="6" t="str">
        <x:v>2026-09-13</x:v>
      </x:c>
      <x:c r="N91" s="6" t="str">
        <x:v>106127395163</x:v>
      </x:c>
      <x:c r="O91" s="6" t="str">
        <x:v>https://cd.lianjia.com/ershoufang/106127395163.html</x:v>
      </x:c>
      <x:c r="P91" s="8" t="n">
        <x:f>1-I91/E91</x:f>
        <x:v>0.2311466909090909</x:v>
      </x:c>
    </x:row>
    <x:row r="92" ht="22" customHeight="1">
      <x:c r="A92" s="6" t="str">
        <x:v>盐市口</x:v>
      </x:c>
      <x:c r="B92" s="6" t="str">
        <x:v>财富中心</x:v>
      </x:c>
      <x:c r="C92" s="6" t="str">
        <x:v>1室1厅</x:v>
      </x:c>
      <x:c r="D92" s="6" t="n">
        <x:v>53.27</x:v>
      </x:c>
      <x:c r="E92" s="9" t="n">
        <x:v>94</x:v>
      </x:c>
      <x:c r="F92" s="6" t="n">
        <x:v>17645.954571053124</x:v>
      </x:c>
      <x:c r="G92" s="6" t="n">
        <x:v>22600</x:v>
      </x:c>
      <x:c r="H92" s="8" t="n">
        <x:f>F92/G92-1</x:f>
        <x:v>-0.21920554995340158</x:v>
      </x:c>
      <x:c r="I92" s="9" t="n">
        <x:f>G92*D92/10000</x:f>
        <x:v>120.3902</x:v>
      </x:c>
      <x:c r="J92" s="6" t="n">
        <x:v>22</x:v>
      </x:c>
      <x:c r="K92" s="6" t="n">
        <x:v>20</x:v>
      </x:c>
      <x:c r="L92" s="6" t="str">
        <x:v>近12个月</x:v>
      </x:c>
      <x:c r="M92" s="6" t="str">
        <x:v>2026-09-04</x:v>
      </x:c>
      <x:c r="N92" s="6" t="str">
        <x:v>106124759461</x:v>
      </x:c>
      <x:c r="O92" s="6" t="str">
        <x:v>https://cd.lianjia.com/ershoufang/106124759461.html</x:v>
      </x:c>
      <x:c r="P92" s="8" t="n">
        <x:f>1-I92/E92</x:f>
        <x:v>-0.28074680851063816</x:v>
      </x:c>
    </x:row>
    <x:row r="93" ht="22" customHeight="1">
      <x:c r="A93" s="6" t="str">
        <x:v>盐市口</x:v>
      </x:c>
      <x:c r="B93" s="6" t="str">
        <x:v>正成财富ID</x:v>
      </x:c>
      <x:c r="C93" s="6" t="str">
        <x:v>1室1厅</x:v>
      </x:c>
      <x:c r="D93" s="6" t="n">
        <x:v>54.43</x:v>
      </x:c>
      <x:c r="E93" s="9" t="n">
        <x:v>69</x:v>
      </x:c>
      <x:c r="F93" s="6" t="n">
        <x:v>12676.832629064855</x:v>
      </x:c>
      <x:c r="G93" s="6" t="n">
        <x:v>14206</x:v>
      </x:c>
      <x:c r="H93" s="8" t="n">
        <x:f>F93/G93-1</x:f>
        <x:v>-0.10764236033613583</x:v>
      </x:c>
      <x:c r="I93" s="9" t="n">
        <x:f>G93*D93/10000</x:f>
        <x:v>77.323258</x:v>
      </x:c>
      <x:c r="J93" s="6" t="n">
        <x:v>4</x:v>
      </x:c>
      <x:c r="K93" s="6" t="n">
        <x:v>1</x:v>
      </x:c>
      <x:c r="L93" s="6" t="str">
        <x:v>近12个月</x:v>
      </x:c>
      <x:c r="M93" s="6" t="str">
        <x:v>2026-02-09</x:v>
      </x:c>
      <x:c r="N93" s="6" t="str">
        <x:v>106126742941</x:v>
      </x:c>
      <x:c r="O93" s="6" t="str">
        <x:v>https://cd.lianjia.com/ershoufang/106126742941.html</x:v>
      </x:c>
      <x:c r="P93" s="8" t="n">
        <x:f>1-I93/E93</x:f>
        <x:v>-0.12062692753623172</x:v>
      </x:c>
    </x:row>
    <x:row r="94" ht="22" customHeight="1">
      <x:c r="A94" s="6" t="str">
        <x:v>盐市口</x:v>
      </x:c>
      <x:c r="B94" s="6" t="str">
        <x:v>世代锦江商务楼</x:v>
      </x:c>
      <x:c r="C94" s="6" t="str">
        <x:v>1室0厅</x:v>
      </x:c>
      <x:c r="D94" s="6" t="n">
        <x:v>57.61</x:v>
      </x:c>
      <x:c r="E94" s="9" t="n">
        <x:v>99</x:v>
      </x:c>
      <x:c r="F94" s="6" t="n">
        <x:v>17184.516576983162</x:v>
      </x:c>
      <x:c r="G94" s="6" t="n">
        <x:v>16036</x:v>
      </x:c>
      <x:c r="H94" s="8" t="n">
        <x:f>F94/G94-1</x:f>
        <x:v>0.0716211384998231</x:v>
      </x:c>
      <x:c r="I94" s="9" t="n">
        <x:f>G94*D94/10000</x:f>
        <x:v>92.38339599999999</x:v>
      </x:c>
      <x:c r="J94" s="6" t="n">
        <x:v>1</x:v>
      </x:c>
      <x:c r="K94" s="6" t="n">
        <x:v>1</x:v>
      </x:c>
      <x:c r="L94" s="6" t="str">
        <x:v>近12个月</x:v>
      </x:c>
      <x:c r="M94" s="6" t="str">
        <x:v>2026-09-13</x:v>
      </x:c>
      <x:c r="N94" s="6" t="str">
        <x:v>106128227554</x:v>
      </x:c>
      <x:c r="O94" s="6" t="str">
        <x:v>https://cd.lianjia.com/ershoufang/106128227554.html</x:v>
      </x:c>
      <x:c r="P94" s="8" t="n">
        <x:f>1-I94/E94</x:f>
        <x:v>0.06683438383838392</x:v>
      </x:c>
    </x:row>
    <x:row r="95" ht="22" customHeight="1">
      <x:c r="A95" s="6" t="str">
        <x:v>盐市口</x:v>
      </x:c>
      <x:c r="B95" s="6" t="str">
        <x:v>科甲大厦</x:v>
      </x:c>
      <x:c r="C95" s="6" t="str">
        <x:v>1室1厅</x:v>
      </x:c>
      <x:c r="D95" s="6" t="n">
        <x:v>59.23</x:v>
      </x:c>
      <x:c r="E95" s="9" t="n">
        <x:v>75</x:v>
      </x:c>
      <x:c r="F95" s="6" t="n">
        <x:v>12662.50211041702</x:v>
      </x:c>
      <x:c r="G95" s="6"/>
      <x:c r="H95" s="8"/>
      <x:c r="I95" s="9"/>
      <x:c r="J95" s="6" t="n">
        <x:v>0</x:v>
      </x:c>
      <x:c r="K95" s="6" t="n">
        <x:v>0</x:v>
      </x:c>
      <x:c r="L95" s="6" t="str">
        <x:v>无可比</x:v>
      </x:c>
      <x:c r="M95" s="6" t="str"/>
      <x:c r="N95" s="6" t="str">
        <x:v>106123824770</x:v>
      </x:c>
      <x:c r="O95" s="6" t="str">
        <x:v>https://cd.lianjia.com/ershoufang/106123824770.html</x:v>
      </x:c>
      <x:c r="P95" s="8"/>
    </x:row>
    <x:row r="96" ht="22" customHeight="1">
      <x:c r="A96" s="6" t="str">
        <x:v>盐市口</x:v>
      </x:c>
      <x:c r="B96" s="6" t="str">
        <x:v>经典坐标</x:v>
      </x:c>
      <x:c r="C96" s="6" t="str">
        <x:v>1室1厅</x:v>
      </x:c>
      <x:c r="D96" s="6" t="n">
        <x:v>59.54</x:v>
      </x:c>
      <x:c r="E96" s="9" t="n">
        <x:v>74.8</x:v>
      </x:c>
      <x:c r="F96" s="6" t="n">
        <x:v>12562.982868659725</x:v>
      </x:c>
      <x:c r="G96" s="6" t="n">
        <x:v>10506</x:v>
      </x:c>
      <x:c r="H96" s="8" t="n">
        <x:f>F96/G96-1</x:f>
        <x:v>0.19579124963446848</x:v>
      </x:c>
      <x:c r="I96" s="9" t="n">
        <x:f>G96*D96/10000</x:f>
        <x:v>62.552724</x:v>
      </x:c>
      <x:c r="J96" s="6" t="n">
        <x:v>1</x:v>
      </x:c>
      <x:c r="K96" s="6" t="n">
        <x:v>0</x:v>
      </x:c>
      <x:c r="L96" s="6" t="str">
        <x:v>超过12个月</x:v>
      </x:c>
      <x:c r="M96" s="6" t="str">
        <x:v>2025-03-12</x:v>
      </x:c>
      <x:c r="N96" s="6" t="str">
        <x:v>106122732758</x:v>
      </x:c>
      <x:c r="O96" s="6" t="str">
        <x:v>https://cd.lianjia.com/ershoufang/106122732758.html</x:v>
      </x:c>
      <x:c r="P96" s="8" t="n">
        <x:f>1-I96/E96</x:f>
        <x:v>0.16373363636363636</x:v>
      </x:c>
    </x:row>
    <x:row r="97" ht="22" customHeight="1">
      <x:c r="A97" s="6" t="str">
        <x:v>盐市口</x:v>
      </x:c>
      <x:c r="B97" s="6" t="str">
        <x:v>京都大厦</x:v>
      </x:c>
      <x:c r="C97" s="6" t="str">
        <x:v>1室0厅</x:v>
      </x:c>
      <x:c r="D97" s="6" t="n">
        <x:v>50.21</x:v>
      </x:c>
      <x:c r="E97" s="9" t="n">
        <x:v>79</x:v>
      </x:c>
      <x:c r="F97" s="6" t="n">
        <x:v>15733.917546305516</x:v>
      </x:c>
      <x:c r="G97" s="6"/>
      <x:c r="H97" s="8"/>
      <x:c r="I97" s="9"/>
      <x:c r="J97" s="6" t="n">
        <x:v>0</x:v>
      </x:c>
      <x:c r="K97" s="6" t="n">
        <x:v>0</x:v>
      </x:c>
      <x:c r="L97" s="6" t="str">
        <x:v>无可比</x:v>
      </x:c>
      <x:c r="M97" s="6" t="str"/>
      <x:c r="N97" s="6" t="str">
        <x:v>106128334708</x:v>
      </x:c>
      <x:c r="O97" s="6" t="str">
        <x:v>https://cd.lianjia.com/ershoufang/106128334708.html</x:v>
      </x:c>
      <x:c r="P97" s="8"/>
    </x:row>
    <x:row r="98" ht="22" customHeight="1">
      <x:c r="A98" s="6" t="str">
        <x:v>盐市口</x:v>
      </x:c>
      <x:c r="B98" s="6" t="str">
        <x:v>财富中心</x:v>
      </x:c>
      <x:c r="C98" s="6" t="str">
        <x:v>1室0厅</x:v>
      </x:c>
      <x:c r="D98" s="6" t="n">
        <x:v>51.59</x:v>
      </x:c>
      <x:c r="E98" s="9" t="n">
        <x:v>92</x:v>
      </x:c>
      <x:c r="F98" s="6" t="n">
        <x:v>17832.913355301414</x:v>
      </x:c>
      <x:c r="G98" s="6" t="n">
        <x:v>16794</x:v>
      </x:c>
      <x:c r="H98" s="8" t="n">
        <x:f>F98/G98-1</x:f>
        <x:v>0.06186217430638408</x:v>
      </x:c>
      <x:c r="I98" s="9" t="n">
        <x:f>G98*D98/10000</x:f>
        <x:v>86.640246</x:v>
      </x:c>
      <x:c r="J98" s="6" t="n">
        <x:v>5</x:v>
      </x:c>
      <x:c r="K98" s="6" t="n">
        <x:v>2</x:v>
      </x:c>
      <x:c r="L98" s="6" t="str">
        <x:v>近12个月</x:v>
      </x:c>
      <x:c r="M98" s="6" t="str">
        <x:v>2026-03-13</x:v>
      </x:c>
      <x:c r="N98" s="6" t="str">
        <x:v>106129400221</x:v>
      </x:c>
      <x:c r="O98" s="6" t="str">
        <x:v>https://cd.lianjia.com/ershoufang/106129400221.html</x:v>
      </x:c>
      <x:c r="P98" s="8" t="n">
        <x:f>1-I98/E98</x:f>
        <x:v>0.05825819565217383</x:v>
      </x:c>
    </x:row>
    <x:row r="99" ht="22" customHeight="1">
      <x:c r="A99" s="6" t="str">
        <x:v>盐市口</x:v>
      </x:c>
      <x:c r="B99" s="6" t="str">
        <x:v>经典坐标</x:v>
      </x:c>
      <x:c r="C99" s="6" t="str">
        <x:v>1室1厅</x:v>
      </x:c>
      <x:c r="D99" s="6" t="n">
        <x:v>50.12</x:v>
      </x:c>
      <x:c r="E99" s="9" t="n">
        <x:v>65</x:v>
      </x:c>
      <x:c r="F99" s="6" t="n">
        <x:v>12968.874700718277</x:v>
      </x:c>
      <x:c r="G99" s="6"/>
      <x:c r="H99" s="8"/>
      <x:c r="I99" s="9"/>
      <x:c r="J99" s="6" t="n">
        <x:v>0</x:v>
      </x:c>
      <x:c r="K99" s="6" t="n">
        <x:v>0</x:v>
      </x:c>
      <x:c r="L99" s="6" t="str">
        <x:v>无可比</x:v>
      </x:c>
      <x:c r="M99" s="6" t="str"/>
      <x:c r="N99" s="6" t="str">
        <x:v>106129388371</x:v>
      </x:c>
      <x:c r="O99" s="6" t="str">
        <x:v>https://cd.lianjia.com/ershoufang/106129388371.html</x:v>
      </x:c>
      <x:c r="P99" s="8"/>
    </x:row>
    <x:row r="100" ht="22" customHeight="1">
      <x:c r="A100" s="6" t="str">
        <x:v>盐市口</x:v>
      </x:c>
      <x:c r="B100" s="6" t="str">
        <x:v>现代之窗</x:v>
      </x:c>
      <x:c r="C100" s="6" t="str">
        <x:v>1室0厅</x:v>
      </x:c>
      <x:c r="D100" s="6" t="n">
        <x:v>40.97</x:v>
      </x:c>
      <x:c r="E100" s="9" t="n">
        <x:v>62</x:v>
      </x:c>
      <x:c r="F100" s="6" t="n">
        <x:v>15133.024164022456</x:v>
      </x:c>
      <x:c r="G100" s="6" t="n">
        <x:v>14416</x:v>
      </x:c>
      <x:c r="H100" s="8" t="n">
        <x:f>F100/G100-1</x:f>
        <x:v>0.049738080190236955</x:v>
      </x:c>
      <x:c r="I100" s="9" t="n">
        <x:f>G100*D100/10000</x:f>
        <x:v>59.062352000000004</x:v>
      </x:c>
      <x:c r="J100" s="6" t="n">
        <x:v>5</x:v>
      </x:c>
      <x:c r="K100" s="6" t="n">
        <x:v>1</x:v>
      </x:c>
      <x:c r="L100" s="6" t="str">
        <x:v>近12个月</x:v>
      </x:c>
      <x:c r="M100" s="6" t="str">
        <x:v>2025-12-18</x:v>
      </x:c>
      <x:c r="N100" s="6" t="str">
        <x:v>106129273372</x:v>
      </x:c>
      <x:c r="O100" s="6" t="str">
        <x:v>https://cd.lianjia.com/ershoufang/106129273372.html</x:v>
      </x:c>
      <x:c r="P100" s="8" t="n">
        <x:f>1-I100/E100</x:f>
        <x:v>0.04738141935483864</x:v>
      </x:c>
    </x:row>
    <x:row r="101" ht="22" customHeight="1">
      <x:c r="A101" s="6" t="str">
        <x:v>西南财大</x:v>
      </x:c>
      <x:c r="B101" s="6" t="str">
        <x:v>水木光华</x:v>
      </x:c>
      <x:c r="C101" s="6" t="str">
        <x:v>1室1厅</x:v>
      </x:c>
      <x:c r="D101" s="6" t="n">
        <x:v>55.34</x:v>
      </x:c>
      <x:c r="E101" s="9" t="n">
        <x:v>72</x:v>
      </x:c>
      <x:c r="F101" s="6" t="n">
        <x:v>13010.480664980121</x:v>
      </x:c>
      <x:c r="G101" s="6" t="n">
        <x:v>11186</x:v>
      </x:c>
      <x:c r="H101" s="8" t="n">
        <x:f>F101/G101-1</x:f>
        <x:v>0.1631039392973468</x:v>
      </x:c>
      <x:c r="I101" s="9" t="n">
        <x:f>G101*D101/10000</x:f>
        <x:v>61.903324</x:v>
      </x:c>
      <x:c r="J101" s="6" t="n">
        <x:v>4</x:v>
      </x:c>
      <x:c r="K101" s="6" t="n">
        <x:v>0</x:v>
      </x:c>
      <x:c r="L101" s="6" t="str">
        <x:v>超过12个月</x:v>
      </x:c>
      <x:c r="M101" s="6" t="str">
        <x:v>2025-09-07</x:v>
      </x:c>
      <x:c r="N101" s="6" t="str">
        <x:v>106116902610</x:v>
      </x:c>
      <x:c r="O101" s="6" t="str">
        <x:v>https://cd.lianjia.com/ershoufang/106116902610.html</x:v>
      </x:c>
      <x:c r="P101" s="8" t="n">
        <x:f>1-I101/E101</x:f>
        <x:v>0.14023161111111115</x:v>
      </x:c>
    </x:row>
    <x:row r="102" ht="22" customHeight="1">
      <x:c r="A102" s="6" t="str">
        <x:v>西南财大</x:v>
      </x:c>
      <x:c r="B102" s="6" t="str">
        <x:v>仁和时代春天广场</x:v>
      </x:c>
      <x:c r="C102" s="6" t="str">
        <x:v>1室0厅</x:v>
      </x:c>
      <x:c r="D102" s="6" t="n">
        <x:v>58.76</x:v>
      </x:c>
      <x:c r="E102" s="9" t="n">
        <x:v>65</x:v>
      </x:c>
      <x:c r="F102" s="6" t="n">
        <x:v>11061.946902654867</x:v>
      </x:c>
      <x:c r="G102" s="6" t="n">
        <x:v>8208</x:v>
      </x:c>
      <x:c r="H102" s="8" t="n">
        <x:f>F102/G102-1</x:f>
        <x:v>0.34770308268212324</x:v>
      </x:c>
      <x:c r="I102" s="9" t="n">
        <x:f>G102*D102/10000</x:f>
        <x:v>48.230208</x:v>
      </x:c>
      <x:c r="J102" s="6" t="n">
        <x:v>1</x:v>
      </x:c>
      <x:c r="K102" s="6" t="n">
        <x:v>1</x:v>
      </x:c>
      <x:c r="L102" s="6" t="str">
        <x:v>近12个月</x:v>
      </x:c>
      <x:c r="M102" s="6" t="str">
        <x:v>2026-08-06</x:v>
      </x:c>
      <x:c r="N102" s="6" t="str">
        <x:v>106114607011</x:v>
      </x:c>
      <x:c r="O102" s="6" t="str">
        <x:v>https://cd.lianjia.com/ershoufang/106114607011.html</x:v>
      </x:c>
      <x:c r="P102" s="8" t="n">
        <x:f>1-I102/E102</x:f>
        <x:v>0.2579968</x:v>
      </x:c>
    </x:row>
    <x:row r="103" ht="22" customHeight="1">
      <x:c r="A103" s="6" t="str">
        <x:v>西南财大</x:v>
      </x:c>
      <x:c r="B103" s="6" t="str">
        <x:v>光华馨地</x:v>
      </x:c>
      <x:c r="C103" s="6" t="str">
        <x:v>1室1厅</x:v>
      </x:c>
      <x:c r="D103" s="6" t="n">
        <x:v>54.88</x:v>
      </x:c>
      <x:c r="E103" s="9" t="n">
        <x:v>79.8</x:v>
      </x:c>
      <x:c r="F103" s="6" t="n">
        <x:v>14540.816326530612</x:v>
      </x:c>
      <x:c r="G103" s="6" t="n">
        <x:v>13612</x:v>
      </x:c>
      <x:c r="H103" s="8" t="n">
        <x:f>F103/G103-1</x:f>
        <x:v>0.06823511067665389</x:v>
      </x:c>
      <x:c r="I103" s="9" t="n">
        <x:f>G103*D103/10000</x:f>
        <x:v>74.702656</x:v>
      </x:c>
      <x:c r="J103" s="6" t="n">
        <x:v>4</x:v>
      </x:c>
      <x:c r="K103" s="6" t="n">
        <x:v>1</x:v>
      </x:c>
      <x:c r="L103" s="6" t="str">
        <x:v>近12个月</x:v>
      </x:c>
      <x:c r="M103" s="6" t="str">
        <x:v>2025-11-24</x:v>
      </x:c>
      <x:c r="N103" s="6" t="str">
        <x:v>106129558615</x:v>
      </x:c>
      <x:c r="O103" s="6" t="str">
        <x:v>https://cd.lianjia.com/ershoufang/106129558615.html</x:v>
      </x:c>
      <x:c r="P103" s="8" t="n">
        <x:f>1-I103/E103</x:f>
        <x:v>0.06387649122807004</x:v>
      </x:c>
    </x:row>
    <x:row r="104" ht="22" customHeight="1">
      <x:c r="A104" s="6" t="str">
        <x:v>西南财大</x:v>
      </x:c>
      <x:c r="B104" s="6" t="str">
        <x:v>西财骏苑</x:v>
      </x:c>
      <x:c r="C104" s="6" t="str">
        <x:v>1室1厅</x:v>
      </x:c>
      <x:c r="D104" s="6" t="n">
        <x:v>52.68</x:v>
      </x:c>
      <x:c r="E104" s="9" t="n">
        <x:v>55</x:v>
      </x:c>
      <x:c r="F104" s="6" t="n">
        <x:v>10440.39483675019</x:v>
      </x:c>
      <x:c r="G104" s="6" t="n">
        <x:v>10522</x:v>
      </x:c>
      <x:c r="H104" s="8" t="n">
        <x:f>F104/G104-1</x:f>
        <x:v>-0.0077556703335686095</x:v>
      </x:c>
      <x:c r="I104" s="9" t="n">
        <x:f>G104*D104/10000</x:f>
        <x:v>55.429896</x:v>
      </x:c>
      <x:c r="J104" s="6" t="n">
        <x:v>4</x:v>
      </x:c>
      <x:c r="K104" s="6" t="n">
        <x:v>1</x:v>
      </x:c>
      <x:c r="L104" s="6" t="str">
        <x:v>近12个月</x:v>
      </x:c>
      <x:c r="M104" s="6" t="str">
        <x:v>2025-12-21</x:v>
      </x:c>
      <x:c r="N104" s="6" t="str">
        <x:v>106127549121</x:v>
      </x:c>
      <x:c r="O104" s="6" t="str">
        <x:v>https://cd.lianjia.com/ershoufang/106127549121.html</x:v>
      </x:c>
      <x:c r="P104" s="8" t="n">
        <x:f>1-I104/E104</x:f>
        <x:v>-0.007816290909090862</x:v>
      </x:c>
    </x:row>
    <x:row r="105" ht="22" customHeight="1">
      <x:c r="A105" s="6" t="str">
        <x:v>西南财大</x:v>
      </x:c>
      <x:c r="B105" s="6" t="str">
        <x:v>金沙时代生活广场</x:v>
      </x:c>
      <x:c r="C105" s="6" t="str">
        <x:v>1室1厅</x:v>
      </x:c>
      <x:c r="D105" s="6" t="n">
        <x:v>51.74</x:v>
      </x:c>
      <x:c r="E105" s="9" t="n">
        <x:v>41</x:v>
      </x:c>
      <x:c r="F105" s="6" t="n">
        <x:v>7924.236567452647</x:v>
      </x:c>
      <x:c r="G105" s="6"/>
      <x:c r="H105" s="8"/>
      <x:c r="I105" s="9"/>
      <x:c r="J105" s="6" t="n">
        <x:v>0</x:v>
      </x:c>
      <x:c r="K105" s="6" t="n">
        <x:v>0</x:v>
      </x:c>
      <x:c r="L105" s="6" t="str">
        <x:v>无可比</x:v>
      </x:c>
      <x:c r="M105" s="6" t="str"/>
      <x:c r="N105" s="6" t="str">
        <x:v>106127508493</x:v>
      </x:c>
      <x:c r="O105" s="6" t="str">
        <x:v>https://cd.lianjia.com/ershoufang/106127508493.html</x:v>
      </x:c>
      <x:c r="P105" s="8"/>
    </x:row>
    <x:row r="106" ht="22" customHeight="1">
      <x:c r="A106" s="6" t="str">
        <x:v>西南财大</x:v>
      </x:c>
      <x:c r="B106" s="6" t="str">
        <x:v>西财骏苑</x:v>
      </x:c>
      <x:c r="C106" s="6" t="str">
        <x:v>1室1厅</x:v>
      </x:c>
      <x:c r="D106" s="6" t="n">
        <x:v>51.54</x:v>
      </x:c>
      <x:c r="E106" s="9" t="n">
        <x:v>58</x:v>
      </x:c>
      <x:c r="F106" s="6" t="n">
        <x:v>11253.395421032208</x:v>
      </x:c>
      <x:c r="G106" s="6" t="n">
        <x:v>10522</x:v>
      </x:c>
      <x:c r="H106" s="8" t="n">
        <x:f>F106/G106-1</x:f>
        <x:v>0.06951106453451894</x:v>
      </x:c>
      <x:c r="I106" s="9" t="n">
        <x:f>G106*D106/10000</x:f>
        <x:v>54.230388</x:v>
      </x:c>
      <x:c r="J106" s="6" t="n">
        <x:v>4</x:v>
      </x:c>
      <x:c r="K106" s="6" t="n">
        <x:v>1</x:v>
      </x:c>
      <x:c r="L106" s="6" t="str">
        <x:v>近12个月</x:v>
      </x:c>
      <x:c r="M106" s="6" t="str">
        <x:v>2025-12-21</x:v>
      </x:c>
      <x:c r="N106" s="6" t="str">
        <x:v>106128896608</x:v>
      </x:c>
      <x:c r="O106" s="6" t="str">
        <x:v>https://cd.lianjia.com/ershoufang/106128896608.html</x:v>
      </x:c>
      <x:c r="P106" s="8" t="n">
        <x:f>1-I106/E106</x:f>
        <x:v>0.06499331034482758</x:v>
      </x:c>
    </x:row>
    <x:row r="107" ht="22" customHeight="1">
      <x:c r="A107" s="6" t="str">
        <x:v>西南财大</x:v>
      </x:c>
      <x:c r="B107" s="6" t="str">
        <x:v>仁和时代春天广场</x:v>
      </x:c>
      <x:c r="C107" s="6" t="str">
        <x:v>1室1厅</x:v>
      </x:c>
      <x:c r="D107" s="6" t="n">
        <x:v>51.22</x:v>
      </x:c>
      <x:c r="E107" s="9" t="n">
        <x:v>48</x:v>
      </x:c>
      <x:c r="F107" s="6" t="n">
        <x:v>9371.3393205779</x:v>
      </x:c>
      <x:c r="G107" s="6" t="n">
        <x:v>8583</x:v>
      </x:c>
      <x:c r="H107" s="8" t="n">
        <x:f>F107/G107-1</x:f>
        <x:v>0.09184892468576256</x:v>
      </x:c>
      <x:c r="I107" s="9" t="n">
        <x:f>G107*D107/10000</x:f>
        <x:v>43.962126</x:v>
      </x:c>
      <x:c r="J107" s="6" t="n">
        <x:v>2</x:v>
      </x:c>
      <x:c r="K107" s="6" t="n">
        <x:v>0</x:v>
      </x:c>
      <x:c r="L107" s="6" t="str">
        <x:v>超过12个月</x:v>
      </x:c>
      <x:c r="M107" s="6" t="str">
        <x:v>2025-06-01</x:v>
      </x:c>
      <x:c r="N107" s="6" t="str">
        <x:v>106120833716</x:v>
      </x:c>
      <x:c r="O107" s="6" t="str">
        <x:v>https://cd.lianjia.com/ershoufang/106120833716.html</x:v>
      </x:c>
      <x:c r="P107" s="8" t="n">
        <x:f>1-I107/E107</x:f>
        <x:v>0.08412237500000008</x:v>
      </x:c>
    </x:row>
    <x:row r="108" ht="22" customHeight="1">
      <x:c r="A108" s="6" t="str">
        <x:v>西南财大</x:v>
      </x:c>
      <x:c r="B108" s="6" t="str">
        <x:v>西财骏苑</x:v>
      </x:c>
      <x:c r="C108" s="6" t="str">
        <x:v>2室1厅</x:v>
      </x:c>
      <x:c r="D108" s="6" t="n">
        <x:v>53.35</x:v>
      </x:c>
      <x:c r="E108" s="9" t="n">
        <x:v>69</x:v>
      </x:c>
      <x:c r="F108" s="6" t="n">
        <x:v>12933.458294283037</x:v>
      </x:c>
      <x:c r="G108" s="6"/>
      <x:c r="H108" s="8"/>
      <x:c r="I108" s="9"/>
      <x:c r="J108" s="6" t="n">
        <x:v>0</x:v>
      </x:c>
      <x:c r="K108" s="6" t="n">
        <x:v>0</x:v>
      </x:c>
      <x:c r="L108" s="6" t="str">
        <x:v>无可比</x:v>
      </x:c>
      <x:c r="M108" s="6" t="str"/>
      <x:c r="N108" s="6" t="str">
        <x:v>106128377799</x:v>
      </x:c>
      <x:c r="O108" s="6" t="str">
        <x:v>https://cd.lianjia.com/ershoufang/106128377799.html</x:v>
      </x:c>
      <x:c r="P108" s="8"/>
    </x:row>
    <x:row r="109" ht="22" customHeight="1">
      <x:c r="A109" s="6" t="str">
        <x:v>西南财大</x:v>
      </x:c>
      <x:c r="B109" s="6" t="str">
        <x:v>西财骏苑</x:v>
      </x:c>
      <x:c r="C109" s="6" t="str">
        <x:v>2室1厅</x:v>
      </x:c>
      <x:c r="D109" s="6" t="n">
        <x:v>53.35</x:v>
      </x:c>
      <x:c r="E109" s="9" t="n">
        <x:v>66</x:v>
      </x:c>
      <x:c r="F109" s="6" t="n">
        <x:v>12371.134020618556</x:v>
      </x:c>
      <x:c r="G109" s="6"/>
      <x:c r="H109" s="8"/>
      <x:c r="I109" s="9"/>
      <x:c r="J109" s="6" t="n">
        <x:v>0</x:v>
      </x:c>
      <x:c r="K109" s="6" t="n">
        <x:v>0</x:v>
      </x:c>
      <x:c r="L109" s="6" t="str">
        <x:v>无可比</x:v>
      </x:c>
      <x:c r="M109" s="6" t="str"/>
      <x:c r="N109" s="6" t="str">
        <x:v>106123233434</x:v>
      </x:c>
      <x:c r="O109" s="6" t="str">
        <x:v>https://cd.lianjia.com/ershoufang/106123233434.html</x:v>
      </x:c>
      <x:c r="P109" s="8"/>
    </x:row>
    <x:row r="110" ht="22" customHeight="1">
      <x:c r="A110" s="6" t="str">
        <x:v>西南财大</x:v>
      </x:c>
      <x:c r="B110" s="6" t="str">
        <x:v>水木光华</x:v>
      </x:c>
      <x:c r="C110" s="6" t="str">
        <x:v>1室1厅</x:v>
      </x:c>
      <x:c r="D110" s="6" t="n">
        <x:v>49.45</x:v>
      </x:c>
      <x:c r="E110" s="9" t="n">
        <x:v>62</x:v>
      </x:c>
      <x:c r="F110" s="6" t="n">
        <x:v>12537.917087967644</x:v>
      </x:c>
      <x:c r="G110" s="6" t="n">
        <x:v>11109</x:v>
      </x:c>
      <x:c r="H110" s="8" t="n">
        <x:f>F110/G110-1</x:f>
        <x:v>0.12862697704272597</x:v>
      </x:c>
      <x:c r="I110" s="9" t="n">
        <x:f>G110*D110/10000</x:f>
        <x:v>54.934005000000006</x:v>
      </x:c>
      <x:c r="J110" s="6" t="n">
        <x:v>8</x:v>
      </x:c>
      <x:c r="K110" s="6" t="n">
        <x:v>0</x:v>
      </x:c>
      <x:c r="L110" s="6" t="str">
        <x:v>超过12个月</x:v>
      </x:c>
      <x:c r="M110" s="6" t="str">
        <x:v>2025-09-07</x:v>
      </x:c>
      <x:c r="N110" s="6" t="str">
        <x:v>106118321116</x:v>
      </x:c>
      <x:c r="O110" s="6" t="str">
        <x:v>https://cd.lianjia.com/ershoufang/106118321116.html</x:v>
      </x:c>
      <x:c r="P110" s="8" t="n">
        <x:f>1-I110/E110</x:f>
        <x:v>0.11396766129032243</x:v>
      </x:c>
    </x:row>
    <x:row r="111" ht="22" customHeight="1">
      <x:c r="A111" s="6" t="str">
        <x:v>西南财大</x:v>
      </x:c>
      <x:c r="B111" s="6" t="str">
        <x:v>水木光华</x:v>
      </x:c>
      <x:c r="C111" s="6" t="str">
        <x:v>1室1厅</x:v>
      </x:c>
      <x:c r="D111" s="6" t="n">
        <x:v>45.91</x:v>
      </x:c>
      <x:c r="E111" s="9" t="n">
        <x:v>69.8</x:v>
      </x:c>
      <x:c r="F111" s="6" t="n">
        <x:v>15203.659333478547</x:v>
      </x:c>
      <x:c r="G111" s="6" t="n">
        <x:v>11109</x:v>
      </x:c>
      <x:c r="H111" s="8" t="n">
        <x:f>F111/G111-1</x:f>
        <x:v>0.3685893719937481</x:v>
      </x:c>
      <x:c r="I111" s="9" t="n">
        <x:f>G111*D111/10000</x:f>
        <x:v>51.00141899999999</x:v>
      </x:c>
      <x:c r="J111" s="6" t="n">
        <x:v>8</x:v>
      </x:c>
      <x:c r="K111" s="6" t="n">
        <x:v>0</x:v>
      </x:c>
      <x:c r="L111" s="6" t="str">
        <x:v>超过12个月</x:v>
      </x:c>
      <x:c r="M111" s="6" t="str">
        <x:v>2025-09-07</x:v>
      </x:c>
      <x:c r="N111" s="6" t="str">
        <x:v>106126618247</x:v>
      </x:c>
      <x:c r="O111" s="6" t="str">
        <x:v>https://cd.lianjia.com/ershoufang/106126618247.html</x:v>
      </x:c>
      <x:c r="P111" s="8" t="n">
        <x:f>1-I111/E111</x:f>
        <x:v>0.2693206446991405</x:v>
      </x:c>
    </x:row>
    <x:row r="112" ht="22" customHeight="1">
      <x:c r="A112" s="6" t="str">
        <x:v>西南财大</x:v>
      </x:c>
      <x:c r="B112" s="6" t="str">
        <x:v>水木光华</x:v>
      </x:c>
      <x:c r="C112" s="6" t="str">
        <x:v>1室1厅</x:v>
      </x:c>
      <x:c r="D112" s="6" t="n">
        <x:v>45.91</x:v>
      </x:c>
      <x:c r="E112" s="9" t="n">
        <x:v>80</x:v>
      </x:c>
      <x:c r="F112" s="6" t="n">
        <x:v>17425.397516880854</x:v>
      </x:c>
      <x:c r="G112" s="6" t="n">
        <x:v>11109</x:v>
      </x:c>
      <x:c r="H112" s="8" t="n">
        <x:f>F112/G112-1</x:f>
        <x:v>0.568583807442691</x:v>
      </x:c>
      <x:c r="I112" s="9" t="n">
        <x:f>G112*D112/10000</x:f>
        <x:v>51.00141899999999</x:v>
      </x:c>
      <x:c r="J112" s="6" t="n">
        <x:v>8</x:v>
      </x:c>
      <x:c r="K112" s="6" t="n">
        <x:v>0</x:v>
      </x:c>
      <x:c r="L112" s="6" t="str">
        <x:v>超过12个月</x:v>
      </x:c>
      <x:c r="M112" s="6" t="str">
        <x:v>2025-09-07</x:v>
      </x:c>
      <x:c r="N112" s="6" t="str">
        <x:v>106129285269</x:v>
      </x:c>
      <x:c r="O112" s="6" t="str">
        <x:v>https://cd.lianjia.com/ershoufang/106129285269.html</x:v>
      </x:c>
      <x:c r="P112" s="8" t="n">
        <x:f>1-I112/E112</x:f>
        <x:v>0.36248226250000015</x:v>
      </x:c>
    </x:row>
    <x:row r="113" ht="22" customHeight="1">
      <x:c r="A113" s="6" t="str">
        <x:v>西南财大</x:v>
      </x:c>
      <x:c r="B113" s="6" t="str">
        <x:v>水木光华</x:v>
      </x:c>
      <x:c r="C113" s="6" t="str">
        <x:v>1室1厅</x:v>
      </x:c>
      <x:c r="D113" s="6" t="n">
        <x:v>38.05</x:v>
      </x:c>
      <x:c r="E113" s="9" t="n">
        <x:v>62.8</x:v>
      </x:c>
      <x:c r="F113" s="6" t="n">
        <x:v>16504.599211563735</x:v>
      </x:c>
      <x:c r="G113" s="6" t="n">
        <x:v>15162</x:v>
      </x:c>
      <x:c r="H113" s="8" t="n">
        <x:f>F113/G113-1</x:f>
        <x:v>0.08855027117555303</x:v>
      </x:c>
      <x:c r="I113" s="9" t="n">
        <x:f>G113*D113/10000</x:f>
        <x:v>57.69141</x:v>
      </x:c>
      <x:c r="J113" s="6" t="n">
        <x:v>2</x:v>
      </x:c>
      <x:c r="K113" s="6" t="n">
        <x:v>0</x:v>
      </x:c>
      <x:c r="L113" s="6" t="str">
        <x:v>超过12个月</x:v>
      </x:c>
      <x:c r="M113" s="6" t="str">
        <x:v>2025-03-13</x:v>
      </x:c>
      <x:c r="N113" s="6" t="str">
        <x:v>106128276761</x:v>
      </x:c>
      <x:c r="O113" s="6" t="str">
        <x:v>https://cd.lianjia.com/ershoufang/106128276761.html</x:v>
      </x:c>
      <x:c r="P113" s="8" t="n">
        <x:f>1-I113/E113</x:f>
        <x:v>0.081346974522293</x:v>
      </x:c>
    </x:row>
    <x:row r="114" ht="22" customHeight="1">
      <x:c r="A114" s="6" t="str">
        <x:v>西南财大</x:v>
      </x:c>
      <x:c r="B114" s="6" t="str">
        <x:v>水木光华</x:v>
      </x:c>
      <x:c r="C114" s="6" t="str">
        <x:v>1室2厅</x:v>
      </x:c>
      <x:c r="D114" s="6" t="n">
        <x:v>38.05</x:v>
      </x:c>
      <x:c r="E114" s="9" t="n">
        <x:v>65</x:v>
      </x:c>
      <x:c r="F114" s="6" t="n">
        <x:v>17082.785808147175</x:v>
      </x:c>
      <x:c r="G114" s="6"/>
      <x:c r="H114" s="8"/>
      <x:c r="I114" s="9"/>
      <x:c r="J114" s="6" t="n">
        <x:v>0</x:v>
      </x:c>
      <x:c r="K114" s="6" t="n">
        <x:v>0</x:v>
      </x:c>
      <x:c r="L114" s="6" t="str">
        <x:v>无可比</x:v>
      </x:c>
      <x:c r="M114" s="6" t="str"/>
      <x:c r="N114" s="6" t="str">
        <x:v>106128588935</x:v>
      </x:c>
      <x:c r="O114" s="6" t="str">
        <x:v>https://cd.lianjia.com/ershoufang/106128588935.html</x:v>
      </x:c>
      <x:c r="P114" s="8"/>
    </x:row>
    <x:row r="115" ht="22" customHeight="1">
      <x:c r="A115" s="6" t="str">
        <x:v>西南财大</x:v>
      </x:c>
      <x:c r="B115" s="6" t="str">
        <x:v>金沙时代城</x:v>
      </x:c>
      <x:c r="C115" s="6" t="str">
        <x:v>1室0厅</x:v>
      </x:c>
      <x:c r="D115" s="6" t="n">
        <x:v>46.67</x:v>
      </x:c>
      <x:c r="E115" s="9" t="n">
        <x:v>35</x:v>
      </x:c>
      <x:c r="F115" s="6" t="n">
        <x:v>7499.464323976858</x:v>
      </x:c>
      <x:c r="G115" s="6" t="n">
        <x:v>6450.5</x:v>
      </x:c>
      <x:c r="H115" s="8" t="n">
        <x:f>F115/G115-1</x:f>
        <x:v>0.16261752173891297</x:v>
      </x:c>
      <x:c r="I115" s="9" t="n">
        <x:f>G115*D115/10000</x:f>
        <x:v>30.1044835</x:v>
      </x:c>
      <x:c r="J115" s="6" t="n">
        <x:v>2</x:v>
      </x:c>
      <x:c r="K115" s="6" t="n">
        <x:v>0</x:v>
      </x:c>
      <x:c r="L115" s="6" t="str">
        <x:v>超过12个月</x:v>
      </x:c>
      <x:c r="M115" s="6" t="str">
        <x:v>2025-09-07</x:v>
      </x:c>
      <x:c r="N115" s="6" t="str">
        <x:v>106129562975</x:v>
      </x:c>
      <x:c r="O115" s="6" t="str">
        <x:v>https://cd.lianjia.com/ershoufang/106129562975.html</x:v>
      </x:c>
      <x:c r="P115" s="8" t="n">
        <x:f>1-I115/E115</x:f>
        <x:v>0.13987189999999994</x:v>
      </x:c>
    </x:row>
    <x:row r="116" ht="22" customHeight="1">
      <x:c r="A116" s="6" t="str">
        <x:v>西南财大</x:v>
      </x:c>
      <x:c r="B116" s="6" t="str">
        <x:v>水木光华</x:v>
      </x:c>
      <x:c r="C116" s="6" t="str">
        <x:v>1室1厅</x:v>
      </x:c>
      <x:c r="D116" s="6" t="n">
        <x:v>45.91</x:v>
      </x:c>
      <x:c r="E116" s="9" t="n">
        <x:v>52</x:v>
      </x:c>
      <x:c r="F116" s="6" t="n">
        <x:v>11326.508385972556</x:v>
      </x:c>
      <x:c r="G116" s="6" t="n">
        <x:v>11109</x:v>
      </x:c>
      <x:c r="H116" s="8" t="n">
        <x:f>F116/G116-1</x:f>
        <x:v>0.019579474837749355</x:v>
      </x:c>
      <x:c r="I116" s="9" t="n">
        <x:f>G116*D116/10000</x:f>
        <x:v>51.00141899999999</x:v>
      </x:c>
      <x:c r="J116" s="6" t="n">
        <x:v>8</x:v>
      </x:c>
      <x:c r="K116" s="6" t="n">
        <x:v>0</x:v>
      </x:c>
      <x:c r="L116" s="6" t="str">
        <x:v>超过12个月</x:v>
      </x:c>
      <x:c r="M116" s="6" t="str">
        <x:v>2025-09-07</x:v>
      </x:c>
      <x:c r="N116" s="6" t="str">
        <x:v>106128603883</x:v>
      </x:c>
      <x:c r="O116" s="6" t="str">
        <x:v>https://cd.lianjia.com/ershoufang/106128603883.html</x:v>
      </x:c>
      <x:c r="P116" s="8" t="n">
        <x:f>1-I116/E116</x:f>
        <x:v>0.01920348076923095</x:v>
      </x:c>
    </x:row>
    <x:row r="117" ht="22" customHeight="1">
      <x:c r="A117" s="6" t="str">
        <x:v>西南财大</x:v>
      </x:c>
      <x:c r="B117" s="6" t="str">
        <x:v>水木光华</x:v>
      </x:c>
      <x:c r="C117" s="6" t="str">
        <x:v>1室1厅</x:v>
      </x:c>
      <x:c r="D117" s="6" t="n">
        <x:v>45.91</x:v>
      </x:c>
      <x:c r="E117" s="9" t="n">
        <x:v>53</x:v>
      </x:c>
      <x:c r="F117" s="6" t="n">
        <x:v>11544.325854933566</x:v>
      </x:c>
      <x:c r="G117" s="6" t="n">
        <x:v>11109</x:v>
      </x:c>
      <x:c r="H117" s="8" t="n">
        <x:f>F117/G117-1</x:f>
        <x:v>0.039186772430782835</x:v>
      </x:c>
      <x:c r="I117" s="9" t="n">
        <x:f>G117*D117/10000</x:f>
        <x:v>51.00141899999999</x:v>
      </x:c>
      <x:c r="J117" s="6" t="n">
        <x:v>8</x:v>
      </x:c>
      <x:c r="K117" s="6" t="n">
        <x:v>0</x:v>
      </x:c>
      <x:c r="L117" s="6" t="str">
        <x:v>超过12个月</x:v>
      </x:c>
      <x:c r="M117" s="6" t="str">
        <x:v>2025-09-07</x:v>
      </x:c>
      <x:c r="N117" s="6" t="str">
        <x:v>106114338450</x:v>
      </x:c>
      <x:c r="O117" s="6" t="str">
        <x:v>https://cd.lianjia.com/ershoufang/106114338450.html</x:v>
      </x:c>
      <x:c r="P117" s="8" t="n">
        <x:f>1-I117/E117</x:f>
        <x:v>0.03770907547169833</x:v>
      </x:c>
    </x:row>
    <x:row r="118" ht="22" customHeight="1">
      <x:c r="A118" s="6" t="str">
        <x:v>西南财大</x:v>
      </x:c>
      <x:c r="B118" s="6" t="str">
        <x:v>水木光华</x:v>
      </x:c>
      <x:c r="C118" s="6" t="str">
        <x:v>1室0厅</x:v>
      </x:c>
      <x:c r="D118" s="6" t="n">
        <x:v>45.91</x:v>
      </x:c>
      <x:c r="E118" s="9" t="n">
        <x:v>50</x:v>
      </x:c>
      <x:c r="F118" s="6" t="n">
        <x:v>10890.873448050534</x:v>
      </x:c>
      <x:c r="G118" s="6" t="n">
        <x:v>11283</x:v>
      </x:c>
      <x:c r="H118" s="8" t="n">
        <x:f>F118/G118-1</x:f>
        <x:v>-0.03475374917570384</x:v>
      </x:c>
      <x:c r="I118" s="9" t="n">
        <x:f>G118*D118/10000</x:f>
        <x:v>51.800253</x:v>
      </x:c>
      <x:c r="J118" s="6" t="n">
        <x:v>5</x:v>
      </x:c>
      <x:c r="K118" s="6" t="n">
        <x:v>0</x:v>
      </x:c>
      <x:c r="L118" s="6" t="str">
        <x:v>超过12个月</x:v>
      </x:c>
      <x:c r="M118" s="6" t="str">
        <x:v>2025-06-14</x:v>
      </x:c>
      <x:c r="N118" s="6" t="str">
        <x:v>106128126526</x:v>
      </x:c>
      <x:c r="O118" s="6" t="str">
        <x:v>https://cd.lianjia.com/ershoufang/106128126526.html</x:v>
      </x:c>
      <x:c r="P118" s="8" t="n">
        <x:f>1-I118/E118</x:f>
        <x:v>-0.03600505999999992</x:v>
      </x:c>
    </x:row>
    <x:row r="119" ht="22" customHeight="1">
      <x:c r="A119" s="6" t="str">
        <x:v>西南财大</x:v>
      </x:c>
      <x:c r="B119" s="6" t="str">
        <x:v>金沙时代生活广场</x:v>
      </x:c>
      <x:c r="C119" s="6" t="str">
        <x:v>1室0厅</x:v>
      </x:c>
      <x:c r="D119" s="6" t="n">
        <x:v>46.05</x:v>
      </x:c>
      <x:c r="E119" s="9" t="n">
        <x:v>39.8</x:v>
      </x:c>
      <x:c r="F119" s="6" t="n">
        <x:v>8642.779587404995</x:v>
      </x:c>
      <x:c r="G119" s="6"/>
      <x:c r="H119" s="8"/>
      <x:c r="I119" s="9"/>
      <x:c r="J119" s="6" t="n">
        <x:v>0</x:v>
      </x:c>
      <x:c r="K119" s="6" t="n">
        <x:v>0</x:v>
      </x:c>
      <x:c r="L119" s="6" t="str">
        <x:v>无可比</x:v>
      </x:c>
      <x:c r="M119" s="6" t="str"/>
      <x:c r="N119" s="6" t="str">
        <x:v>106128224650</x:v>
      </x:c>
      <x:c r="O119" s="6" t="str">
        <x:v>https://cd.lianjia.com/ershoufang/106128224650.html</x:v>
      </x:c>
      <x:c r="P119" s="8"/>
    </x:row>
    <x:row r="120" ht="22" customHeight="1">
      <x:c r="A120" s="6" t="str">
        <x:v>西南财大</x:v>
      </x:c>
      <x:c r="B120" s="6" t="str">
        <x:v>中华家园东区</x:v>
      </x:c>
      <x:c r="C120" s="6" t="str">
        <x:v>1室0厅</x:v>
      </x:c>
      <x:c r="D120" s="6" t="n">
        <x:v>47.04</x:v>
      </x:c>
      <x:c r="E120" s="9" t="n">
        <x:v>51</x:v>
      </x:c>
      <x:c r="F120" s="6" t="n">
        <x:v>10841.836734693878</x:v>
      </x:c>
      <x:c r="G120" s="6" t="n">
        <x:v>10800</x:v>
      </x:c>
      <x:c r="H120" s="8" t="n">
        <x:f>F120/G120-1</x:f>
        <x:v>0.0038737717309145214</x:v>
      </x:c>
      <x:c r="I120" s="9" t="n">
        <x:f>G120*D120/10000</x:f>
        <x:v>50.8032</x:v>
      </x:c>
      <x:c r="J120" s="6" t="n">
        <x:v>4</x:v>
      </x:c>
      <x:c r="K120" s="6" t="n">
        <x:v>1</x:v>
      </x:c>
      <x:c r="L120" s="6" t="str">
        <x:v>近12个月</x:v>
      </x:c>
      <x:c r="M120" s="6" t="str">
        <x:v>2025-11-05</x:v>
      </x:c>
      <x:c r="N120" s="6" t="str">
        <x:v>106109722411</x:v>
      </x:c>
      <x:c r="O120" s="6" t="str">
        <x:v>https://cd.lianjia.com/ershoufang/106109722411.html</x:v>
      </x:c>
      <x:c r="P120" s="8" t="n">
        <x:f>1-I120/E120</x:f>
        <x:v>0.0038588235294118034</x:v>
      </x:c>
    </x:row>
    <x:row r="121" ht="22" customHeight="1">
      <x:c r="A121" s="6" t="str">
        <x:v>西南财大</x:v>
      </x:c>
      <x:c r="B121" s="6" t="str">
        <x:v>中华家园东区</x:v>
      </x:c>
      <x:c r="C121" s="6" t="str">
        <x:v>1室0厅</x:v>
      </x:c>
      <x:c r="D121" s="6" t="n">
        <x:v>47.04</x:v>
      </x:c>
      <x:c r="E121" s="9" t="n">
        <x:v>53</x:v>
      </x:c>
      <x:c r="F121" s="6" t="n">
        <x:v>11267.00680272109</x:v>
      </x:c>
      <x:c r="G121" s="6" t="n">
        <x:v>10800</x:v>
      </x:c>
      <x:c r="H121" s="8" t="n">
        <x:f>F121/G121-1</x:f>
        <x:v>0.04324137062232314</x:v>
      </x:c>
      <x:c r="I121" s="9" t="n">
        <x:f>G121*D121/10000</x:f>
        <x:v>50.8032</x:v>
      </x:c>
      <x:c r="J121" s="6" t="n">
        <x:v>4</x:v>
      </x:c>
      <x:c r="K121" s="6" t="n">
        <x:v>1</x:v>
      </x:c>
      <x:c r="L121" s="6" t="str">
        <x:v>近12个月</x:v>
      </x:c>
      <x:c r="M121" s="6" t="str">
        <x:v>2025-11-05</x:v>
      </x:c>
      <x:c r="N121" s="6" t="str">
        <x:v>106124188269</x:v>
      </x:c>
      <x:c r="O121" s="6" t="str">
        <x:v>https://cd.lianjia.com/ershoufang/106124188269.html</x:v>
      </x:c>
      <x:c r="P121" s="8" t="n">
        <x:f>1-I121/E121</x:f>
        <x:v>0.041449056603773626</x:v>
      </x:c>
    </x:row>
    <x:row r="122" ht="22" customHeight="1">
      <x:c r="A122" s="6" t="str">
        <x:v>华西</x:v>
      </x:c>
      <x:c r="B122" s="6" t="str">
        <x:v>艺墅花乡</x:v>
      </x:c>
      <x:c r="C122" s="6" t="str">
        <x:v>1室1厅</x:v>
      </x:c>
      <x:c r="D122" s="6" t="n">
        <x:v>35.66</x:v>
      </x:c>
      <x:c r="E122" s="9" t="n">
        <x:v>68</x:v>
      </x:c>
      <x:c r="F122" s="6" t="n">
        <x:v>19068.984856982617</x:v>
      </x:c>
      <x:c r="G122" s="6" t="n">
        <x:v>17255</x:v>
      </x:c>
      <x:c r="H122" s="8" t="n">
        <x:f>F122/G122-1</x:f>
        <x:v>0.10512807052927364</x:v>
      </x:c>
      <x:c r="I122" s="9" t="n">
        <x:f>G122*D122/10000</x:f>
        <x:v>61.53132999999999</x:v>
      </x:c>
      <x:c r="J122" s="6" t="n">
        <x:v>2</x:v>
      </x:c>
      <x:c r="K122" s="6" t="n">
        <x:v>0</x:v>
      </x:c>
      <x:c r="L122" s="6" t="str">
        <x:v>超过12个月</x:v>
      </x:c>
      <x:c r="M122" s="6" t="str">
        <x:v>2025-06-22</x:v>
      </x:c>
      <x:c r="N122" s="6" t="str">
        <x:v>106128828442</x:v>
      </x:c>
      <x:c r="O122" s="6" t="str">
        <x:v>https://cd.lianjia.com/ershoufang/106128828442.html</x:v>
      </x:c>
      <x:c r="P122" s="8" t="n">
        <x:f>1-I122/E122</x:f>
        <x:v>0.09512750000000014</x:v>
      </x:c>
    </x:row>
    <x:row r="123" ht="22" customHeight="1">
      <x:c r="A123" s="6" t="str">
        <x:v>华西</x:v>
      </x:c>
      <x:c r="B123" s="6" t="str">
        <x:v>艺墅花乡</x:v>
      </x:c>
      <x:c r="C123" s="6" t="str">
        <x:v>1室1厅</x:v>
      </x:c>
      <x:c r="D123" s="6" t="n">
        <x:v>44.72</x:v>
      </x:c>
      <x:c r="E123" s="9" t="n">
        <x:v>77.8</x:v>
      </x:c>
      <x:c r="F123" s="6" t="n">
        <x:v>17397.137745974956</x:v>
      </x:c>
      <x:c r="G123" s="6" t="n">
        <x:v>10207</x:v>
      </x:c>
      <x:c r="H123" s="8" t="n">
        <x:f>F123/G123-1</x:f>
        <x:v>0.704432031544524</x:v>
      </x:c>
      <x:c r="I123" s="9" t="n">
        <x:f>G123*D123/10000</x:f>
        <x:v>45.645703999999995</x:v>
      </x:c>
      <x:c r="J123" s="6" t="n">
        <x:v>3</x:v>
      </x:c>
      <x:c r="K123" s="6" t="n">
        <x:v>1</x:v>
      </x:c>
      <x:c r="L123" s="6" t="str">
        <x:v>近12个月</x:v>
      </x:c>
      <x:c r="M123" s="6" t="str">
        <x:v>2025-10-31</x:v>
      </x:c>
      <x:c r="N123" s="6" t="str">
        <x:v>106123148784</x:v>
      </x:c>
      <x:c r="O123" s="6" t="str">
        <x:v>https://cd.lianjia.com/ershoufang/106123148784.html</x:v>
      </x:c>
      <x:c r="P123" s="8" t="n">
        <x:f>1-I123/E123</x:f>
        <x:v>0.413294293059126</x:v>
      </x:c>
    </x:row>
    <x:row r="124" ht="22" customHeight="1">
      <x:c r="A124" s="6" t="str">
        <x:v>华西</x:v>
      </x:c>
      <x:c r="B124" s="6" t="str">
        <x:v>米兰风度花园</x:v>
      </x:c>
      <x:c r="C124" s="6" t="str">
        <x:v>1室1厅</x:v>
      </x:c>
      <x:c r="D124" s="6" t="n">
        <x:v>37.07</x:v>
      </x:c>
      <x:c r="E124" s="9" t="n">
        <x:v>75</x:v>
      </x:c>
      <x:c r="F124" s="6" t="n">
        <x:v>20231.99352576207</x:v>
      </x:c>
      <x:c r="G124" s="6"/>
      <x:c r="H124" s="8"/>
      <x:c r="I124" s="9"/>
      <x:c r="J124" s="6" t="n">
        <x:v>0</x:v>
      </x:c>
      <x:c r="K124" s="6" t="n">
        <x:v>0</x:v>
      </x:c>
      <x:c r="L124" s="6" t="str">
        <x:v>无可比</x:v>
      </x:c>
      <x:c r="M124" s="6" t="str"/>
      <x:c r="N124" s="6" t="str">
        <x:v>106115572764</x:v>
      </x:c>
      <x:c r="O124" s="6" t="str">
        <x:v>https://cd.lianjia.com/ershoufang/106115572764.html</x:v>
      </x:c>
      <x:c r="P124" s="8"/>
    </x:row>
    <x:row r="125" ht="22" customHeight="1">
      <x:c r="A125" s="6" t="str">
        <x:v>华西</x:v>
      </x:c>
      <x:c r="B125" s="6" t="str">
        <x:v>艺墅花乡</x:v>
      </x:c>
      <x:c r="C125" s="6" t="str">
        <x:v>1室0厅</x:v>
      </x:c>
      <x:c r="D125" s="6" t="n">
        <x:v>47.97</x:v>
      </x:c>
      <x:c r="E125" s="9" t="n">
        <x:v>58</x:v>
      </x:c>
      <x:c r="F125" s="6" t="n">
        <x:v>12090.890139670628</x:v>
      </x:c>
      <x:c r="G125" s="6"/>
      <x:c r="H125" s="8"/>
      <x:c r="I125" s="9"/>
      <x:c r="J125" s="6" t="n">
        <x:v>0</x:v>
      </x:c>
      <x:c r="K125" s="6" t="n">
        <x:v>0</x:v>
      </x:c>
      <x:c r="L125" s="6" t="str">
        <x:v>无可比</x:v>
      </x:c>
      <x:c r="M125" s="6" t="str"/>
      <x:c r="N125" s="6" t="str">
        <x:v>106126498573</x:v>
      </x:c>
      <x:c r="O125" s="6" t="str">
        <x:v>https://cd.lianjia.com/ershoufang/106126498573.html</x:v>
      </x:c>
      <x:c r="P125" s="8"/>
    </x:row>
    <x:row r="126" ht="22" customHeight="1">
      <x:c r="A126" s="6" t="str">
        <x:v>华西</x:v>
      </x:c>
      <x:c r="B126" s="6" t="str">
        <x:v>艺墅花乡</x:v>
      </x:c>
      <x:c r="C126" s="6" t="str">
        <x:v>1室0厅</x:v>
      </x:c>
      <x:c r="D126" s="6" t="n">
        <x:v>48.01</x:v>
      </x:c>
      <x:c r="E126" s="9" t="n">
        <x:v>59.8</x:v>
      </x:c>
      <x:c r="F126" s="6" t="n">
        <x:v>12455.738387835869</x:v>
      </x:c>
      <x:c r="G126" s="6"/>
      <x:c r="H126" s="8"/>
      <x:c r="I126" s="9"/>
      <x:c r="J126" s="6" t="n">
        <x:v>0</x:v>
      </x:c>
      <x:c r="K126" s="6" t="n">
        <x:v>0</x:v>
      </x:c>
      <x:c r="L126" s="6" t="str">
        <x:v>无可比</x:v>
      </x:c>
      <x:c r="M126" s="6" t="str"/>
      <x:c r="N126" s="6" t="str">
        <x:v>106124681209</x:v>
      </x:c>
      <x:c r="O126" s="6" t="str">
        <x:v>https://cd.lianjia.com/ershoufang/106124681209.html</x:v>
      </x:c>
      <x:c r="P126" s="8"/>
    </x:row>
    <x:row r="127" ht="22" customHeight="1">
      <x:c r="A127" s="6" t="str">
        <x:v>华西</x:v>
      </x:c>
      <x:c r="B127" s="6" t="str">
        <x:v>艺墅花乡</x:v>
      </x:c>
      <x:c r="C127" s="6" t="str">
        <x:v>1室0厅</x:v>
      </x:c>
      <x:c r="D127" s="6" t="n">
        <x:v>41.74</x:v>
      </x:c>
      <x:c r="E127" s="9" t="n">
        <x:v>50</x:v>
      </x:c>
      <x:c r="F127" s="6" t="n">
        <x:v>11978.917105893626</x:v>
      </x:c>
      <x:c r="G127" s="6"/>
      <x:c r="H127" s="8"/>
      <x:c r="I127" s="9"/>
      <x:c r="J127" s="6" t="n">
        <x:v>0</x:v>
      </x:c>
      <x:c r="K127" s="6" t="n">
        <x:v>0</x:v>
      </x:c>
      <x:c r="L127" s="6" t="str">
        <x:v>无可比</x:v>
      </x:c>
      <x:c r="M127" s="6" t="str"/>
      <x:c r="N127" s="6" t="str">
        <x:v>106115608951</x:v>
      </x:c>
      <x:c r="O127" s="6" t="str">
        <x:v>https://cd.lianjia.com/ershoufang/106115608951.html</x:v>
      </x:c>
      <x:c r="P127" s="8"/>
    </x:row>
    <x:row r="128" ht="22" customHeight="1">
      <x:c r="A128" s="6" t="str">
        <x:v>华西</x:v>
      </x:c>
      <x:c r="B128" s="6" t="str">
        <x:v>金茂礼都</x:v>
      </x:c>
      <x:c r="C128" s="6" t="str">
        <x:v>1室1厅</x:v>
      </x:c>
      <x:c r="D128" s="6" t="n">
        <x:v>44.51</x:v>
      </x:c>
      <x:c r="E128" s="9" t="n">
        <x:v>61</x:v>
      </x:c>
      <x:c r="F128" s="6" t="n">
        <x:v>13704.785441473827</x:v>
      </x:c>
      <x:c r="G128" s="6" t="n">
        <x:v>12914</x:v>
      </x:c>
      <x:c r="H128" s="8" t="n">
        <x:f>F128/G128-1</x:f>
        <x:v>0.061234740705732316</x:v>
      </x:c>
      <x:c r="I128" s="9" t="n">
        <x:f>G128*D128/10000</x:f>
        <x:v>57.480214000000004</x:v>
      </x:c>
      <x:c r="J128" s="6" t="n">
        <x:v>4</x:v>
      </x:c>
      <x:c r="K128" s="6" t="n">
        <x:v>1</x:v>
      </x:c>
      <x:c r="L128" s="6" t="str">
        <x:v>近12个月</x:v>
      </x:c>
      <x:c r="M128" s="6" t="str">
        <x:v>2026-08-03</x:v>
      </x:c>
      <x:c r="N128" s="6" t="str">
        <x:v>106120376840</x:v>
      </x:c>
      <x:c r="O128" s="6" t="str">
        <x:v>https://cd.lianjia.com/ershoufang/106120376840.html</x:v>
      </x:c>
      <x:c r="P128" s="8" t="n">
        <x:f>1-I128/E128</x:f>
        <x:v>0.05770140983606553</x:v>
      </x:c>
    </x:row>
    <x:row r="129" ht="22" customHeight="1">
      <x:c r="A129" s="6" t="str">
        <x:v>华西</x:v>
      </x:c>
      <x:c r="B129" s="6" t="str">
        <x:v>金茂礼都</x:v>
      </x:c>
      <x:c r="C129" s="6" t="str">
        <x:v>1室1厅</x:v>
      </x:c>
      <x:c r="D129" s="6" t="n">
        <x:v>48.73</x:v>
      </x:c>
      <x:c r="E129" s="9" t="n">
        <x:v>70</x:v>
      </x:c>
      <x:c r="F129" s="6" t="n">
        <x:v>14364.867638005337</x:v>
      </x:c>
      <x:c r="G129" s="6" t="n">
        <x:v>12914</x:v>
      </x:c>
      <x:c r="H129" s="8" t="n">
        <x:f>F129/G129-1</x:f>
        <x:v>0.11234843100552405</x:v>
      </x:c>
      <x:c r="I129" s="9" t="n">
        <x:f>G129*D129/10000</x:f>
        <x:v>62.929922</x:v>
      </x:c>
      <x:c r="J129" s="6" t="n">
        <x:v>4</x:v>
      </x:c>
      <x:c r="K129" s="6" t="n">
        <x:v>1</x:v>
      </x:c>
      <x:c r="L129" s="6" t="str">
        <x:v>近12个月</x:v>
      </x:c>
      <x:c r="M129" s="6" t="str">
        <x:v>2026-08-03</x:v>
      </x:c>
      <x:c r="N129" s="6" t="str">
        <x:v>106129626353</x:v>
      </x:c>
      <x:c r="O129" s="6" t="str">
        <x:v>https://cd.lianjia.com/ershoufang/106129626353.html</x:v>
      </x:c>
      <x:c r="P129" s="8" t="n">
        <x:f>1-I129/E129</x:f>
        <x:v>0.10100111428571434</x:v>
      </x:c>
    </x:row>
    <x:row r="130" ht="22" customHeight="1">
      <x:c r="A130" s="6" t="str">
        <x:v>华西</x:v>
      </x:c>
      <x:c r="B130" s="6" t="str">
        <x:v>金茂礼都</x:v>
      </x:c>
      <x:c r="C130" s="6" t="str">
        <x:v>1室1厅</x:v>
      </x:c>
      <x:c r="D130" s="6" t="n">
        <x:v>44.14</x:v>
      </x:c>
      <x:c r="E130" s="9" t="n">
        <x:v>62</x:v>
      </x:c>
      <x:c r="F130" s="6" t="n">
        <x:v>14046.216583597643</x:v>
      </x:c>
      <x:c r="G130" s="6" t="n">
        <x:v>12914</x:v>
      </x:c>
      <x:c r="H130" s="8" t="n">
        <x:f>F130/G130-1</x:f>
        <x:v>0.08767357779136153</x:v>
      </x:c>
      <x:c r="I130" s="9" t="n">
        <x:f>G130*D130/10000</x:f>
        <x:v>57.002396</x:v>
      </x:c>
      <x:c r="J130" s="6" t="n">
        <x:v>4</x:v>
      </x:c>
      <x:c r="K130" s="6" t="n">
        <x:v>1</x:v>
      </x:c>
      <x:c r="L130" s="6" t="str">
        <x:v>近12个月</x:v>
      </x:c>
      <x:c r="M130" s="6" t="str">
        <x:v>2026-08-03</x:v>
      </x:c>
      <x:c r="N130" s="6" t="str">
        <x:v>106129590974</x:v>
      </x:c>
      <x:c r="O130" s="6" t="str">
        <x:v>https://cd.lianjia.com/ershoufang/106129590974.html</x:v>
      </x:c>
      <x:c r="P130" s="8" t="n">
        <x:f>1-I130/E130</x:f>
        <x:v>0.08060651612903225</x:v>
      </x:c>
    </x:row>
    <x:row r="131" ht="22" customHeight="1">
      <x:c r="A131" s="6" t="str">
        <x:v>华西</x:v>
      </x:c>
      <x:c r="B131" s="6" t="str">
        <x:v>天乐嘉苑</x:v>
      </x:c>
      <x:c r="C131" s="6" t="str">
        <x:v>1室1厅</x:v>
      </x:c>
      <x:c r="D131" s="6" t="n">
        <x:v>44.29</x:v>
      </x:c>
      <x:c r="E131" s="9" t="n">
        <x:v>55</x:v>
      </x:c>
      <x:c r="F131" s="6" t="n">
        <x:v>12418.15308195981</x:v>
      </x:c>
      <x:c r="G131" s="6"/>
      <x:c r="H131" s="8"/>
      <x:c r="I131" s="9"/>
      <x:c r="J131" s="6" t="n">
        <x:v>0</x:v>
      </x:c>
      <x:c r="K131" s="6" t="n">
        <x:v>0</x:v>
      </x:c>
      <x:c r="L131" s="6" t="str">
        <x:v>无可比</x:v>
      </x:c>
      <x:c r="M131" s="6" t="str"/>
      <x:c r="N131" s="6" t="str">
        <x:v>106127114539</x:v>
      </x:c>
      <x:c r="O131" s="6" t="str">
        <x:v>https://cd.lianjia.com/ershoufang/106127114539.html</x:v>
      </x:c>
      <x:c r="P131" s="8"/>
    </x:row>
    <x:row r="132" ht="22" customHeight="1">
      <x:c r="A132" s="6" t="str">
        <x:v>华西</x:v>
      </x:c>
      <x:c r="B132" s="6" t="str">
        <x:v>金茂礼都</x:v>
      </x:c>
      <x:c r="C132" s="6" t="str">
        <x:v>1室1厅</x:v>
      </x:c>
      <x:c r="D132" s="6" t="n">
        <x:v>31.03</x:v>
      </x:c>
      <x:c r="E132" s="9" t="n">
        <x:v>44</x:v>
      </x:c>
      <x:c r="F132" s="6" t="n">
        <x:v>14179.825974863035</x:v>
      </x:c>
      <x:c r="G132" s="6" t="n">
        <x:v>11280</x:v>
      </x:c>
      <x:c r="H132" s="8" t="n">
        <x:f>F132/G132-1</x:f>
        <x:v>0.2570767708211912</x:v>
      </x:c>
      <x:c r="I132" s="9" t="n">
        <x:f>G132*D132/10000</x:f>
        <x:v>35.00184</x:v>
      </x:c>
      <x:c r="J132" s="6" t="n">
        <x:v>1</x:v>
      </x:c>
      <x:c r="K132" s="6" t="n">
        <x:v>0</x:v>
      </x:c>
      <x:c r="L132" s="6" t="str">
        <x:v>超过12个月</x:v>
      </x:c>
      <x:c r="M132" s="6" t="str">
        <x:v>2025-06-11</x:v>
      </x:c>
      <x:c r="N132" s="6" t="str">
        <x:v>106125923205</x:v>
      </x:c>
      <x:c r="O132" s="6" t="str">
        <x:v>https://cd.lianjia.com/ershoufang/106125923205.html</x:v>
      </x:c>
      <x:c r="P132" s="8" t="n">
        <x:f>1-I132/E132</x:f>
        <x:v>0.20450363636363633</x:v>
      </x:c>
    </x:row>
    <x:row r="133" ht="22" customHeight="1">
      <x:c r="A133" s="6" t="str">
        <x:v>华西</x:v>
      </x:c>
      <x:c r="B133" s="6" t="str">
        <x:v>艺墅花乡</x:v>
      </x:c>
      <x:c r="C133" s="6" t="str">
        <x:v>1室0厅</x:v>
      </x:c>
      <x:c r="D133" s="6" t="n">
        <x:v>47.97</x:v>
      </x:c>
      <x:c r="E133" s="9" t="n">
        <x:v>63</x:v>
      </x:c>
      <x:c r="F133" s="6" t="n">
        <x:v>13133.208255159476</x:v>
      </x:c>
      <x:c r="G133" s="6"/>
      <x:c r="H133" s="8"/>
      <x:c r="I133" s="9"/>
      <x:c r="J133" s="6" t="n">
        <x:v>0</x:v>
      </x:c>
      <x:c r="K133" s="6" t="n">
        <x:v>0</x:v>
      </x:c>
      <x:c r="L133" s="6" t="str">
        <x:v>无可比</x:v>
      </x:c>
      <x:c r="M133" s="6" t="str"/>
      <x:c r="N133" s="6" t="str">
        <x:v>106124773286</x:v>
      </x:c>
      <x:c r="O133" s="6" t="str">
        <x:v>https://cd.lianjia.com/ershoufang/106124773286.html</x:v>
      </x:c>
      <x:c r="P133" s="8"/>
    </x:row>
    <x:row r="134" ht="22" customHeight="1">
      <x:c r="A134" s="6" t="str">
        <x:v>华西</x:v>
      </x:c>
      <x:c r="B134" s="6" t="str">
        <x:v>艺墅花乡</x:v>
      </x:c>
      <x:c r="C134" s="6" t="str">
        <x:v>1室0厅</x:v>
      </x:c>
      <x:c r="D134" s="6" t="n">
        <x:v>47.97</x:v>
      </x:c>
      <x:c r="E134" s="9" t="n">
        <x:v>58</x:v>
      </x:c>
      <x:c r="F134" s="6" t="n">
        <x:v>12090.890139670628</x:v>
      </x:c>
      <x:c r="G134" s="6"/>
      <x:c r="H134" s="8"/>
      <x:c r="I134" s="9"/>
      <x:c r="J134" s="6" t="n">
        <x:v>0</x:v>
      </x:c>
      <x:c r="K134" s="6" t="n">
        <x:v>0</x:v>
      </x:c>
      <x:c r="L134" s="6" t="str">
        <x:v>无可比</x:v>
      </x:c>
      <x:c r="M134" s="6" t="str"/>
      <x:c r="N134" s="6" t="str">
        <x:v>106124773262</x:v>
      </x:c>
      <x:c r="O134" s="6" t="str">
        <x:v>https://cd.lianjia.com/ershoufang/106124773262.html</x:v>
      </x:c>
      <x:c r="P134" s="8"/>
    </x:row>
    <x:row r="135" ht="22" customHeight="1">
      <x:c r="A135" s="6" t="str">
        <x:v>华西</x:v>
      </x:c>
      <x:c r="B135" s="6" t="str">
        <x:v>凯蒂阳光</x:v>
      </x:c>
      <x:c r="C135" s="6" t="str">
        <x:v>1室1厅</x:v>
      </x:c>
      <x:c r="D135" s="6" t="n">
        <x:v>48.56</x:v>
      </x:c>
      <x:c r="E135" s="9" t="n">
        <x:v>92</x:v>
      </x:c>
      <x:c r="F135" s="6" t="n">
        <x:v>18945.634266886325</x:v>
      </x:c>
      <x:c r="G135" s="6" t="n">
        <x:v>14778.5</x:v>
      </x:c>
      <x:c r="H135" s="8" t="n">
        <x:f>F135/G135-1</x:f>
        <x:v>0.2819727487151149</x:v>
      </x:c>
      <x:c r="I135" s="9" t="n">
        <x:f>G135*D135/10000</x:f>
        <x:v>71.764396</x:v>
      </x:c>
      <x:c r="J135" s="6" t="n">
        <x:v>4</x:v>
      </x:c>
      <x:c r="K135" s="6" t="n">
        <x:v>2</x:v>
      </x:c>
      <x:c r="L135" s="6" t="str">
        <x:v>近12个月</x:v>
      </x:c>
      <x:c r="M135" s="6" t="str">
        <x:v>2026-09-02</x:v>
      </x:c>
      <x:c r="N135" s="6" t="str">
        <x:v>106127993289</x:v>
      </x:c>
      <x:c r="O135" s="6" t="str">
        <x:v>https://cd.lianjia.com/ershoufang/106127993289.html</x:v>
      </x:c>
      <x:c r="P135" s="8" t="n">
        <x:f>1-I135/E135</x:f>
        <x:v>0.21995221739130433</x:v>
      </x:c>
    </x:row>
    <x:row r="136" ht="22" customHeight="1">
      <x:c r="A136" s="6" t="str">
        <x:v>川大</x:v>
      </x:c>
      <x:c r="B136" s="6" t="str">
        <x:v>和信派都</x:v>
      </x:c>
      <x:c r="C136" s="6" t="str">
        <x:v>1室1厅</x:v>
      </x:c>
      <x:c r="D136" s="6" t="n">
        <x:v>54.77</x:v>
      </x:c>
      <x:c r="E136" s="9" t="n">
        <x:v>110</x:v>
      </x:c>
      <x:c r="F136" s="6" t="n">
        <x:v>20083.987584444036</x:v>
      </x:c>
      <x:c r="G136" s="6" t="n">
        <x:v>13995</x:v>
      </x:c>
      <x:c r="H136" s="8" t="n">
        <x:f>F136/G136-1</x:f>
        <x:v>0.43508307141436475</x:v>
      </x:c>
      <x:c r="I136" s="9" t="n">
        <x:f>G136*D136/10000</x:f>
        <x:v>76.650615</x:v>
      </x:c>
      <x:c r="J136" s="6" t="n">
        <x:v>9</x:v>
      </x:c>
      <x:c r="K136" s="6" t="n">
        <x:v>4</x:v>
      </x:c>
      <x:c r="L136" s="6" t="str">
        <x:v>近12个月</x:v>
      </x:c>
      <x:c r="M136" s="6" t="str">
        <x:v>2026-07-16</x:v>
      </x:c>
      <x:c r="N136" s="6" t="str">
        <x:v>106116069751</x:v>
      </x:c>
      <x:c r="O136" s="6" t="str">
        <x:v>https://cd.lianjia.com/ershoufang/106116069751.html</x:v>
      </x:c>
      <x:c r="P136" s="8" t="n">
        <x:f>1-I136/E136</x:f>
        <x:v>0.3031762272727273</x:v>
      </x:c>
    </x:row>
    <x:row r="137" ht="22" customHeight="1">
      <x:c r="A137" s="6" t="str">
        <x:v>川大</x:v>
      </x:c>
      <x:c r="B137" s="6" t="str">
        <x:v>棕榈花园</x:v>
      </x:c>
      <x:c r="C137" s="6" t="str">
        <x:v>1室1厅</x:v>
      </x:c>
      <x:c r="D137" s="6" t="n">
        <x:v>48.71</x:v>
      </x:c>
      <x:c r="E137" s="9" t="n">
        <x:v>70</x:v>
      </x:c>
      <x:c r="F137" s="6" t="n">
        <x:v>14370.765756518169</x:v>
      </x:c>
      <x:c r="G137" s="6"/>
      <x:c r="H137" s="8"/>
      <x:c r="I137" s="9"/>
      <x:c r="J137" s="6" t="n">
        <x:v>0</x:v>
      </x:c>
      <x:c r="K137" s="6" t="n">
        <x:v>0</x:v>
      </x:c>
      <x:c r="L137" s="6" t="str">
        <x:v>无可比</x:v>
      </x:c>
      <x:c r="M137" s="6" t="str"/>
      <x:c r="N137" s="6" t="str">
        <x:v>106124802271</x:v>
      </x:c>
      <x:c r="O137" s="6" t="str">
        <x:v>https://cd.lianjia.com/ershoufang/106124802271.html</x:v>
      </x:c>
      <x:c r="P137" s="8"/>
    </x:row>
    <x:row r="138" ht="22" customHeight="1">
      <x:c r="A138" s="6" t="str">
        <x:v>川大</x:v>
      </x:c>
      <x:c r="B138" s="6" t="str">
        <x:v>棕榈花园</x:v>
      </x:c>
      <x:c r="C138" s="6" t="str">
        <x:v>1室1厅</x:v>
      </x:c>
      <x:c r="D138" s="6" t="n">
        <x:v>48.71</x:v>
      </x:c>
      <x:c r="E138" s="9" t="n">
        <x:v>65</x:v>
      </x:c>
      <x:c r="F138" s="6" t="n">
        <x:v>13344.282488195442</x:v>
      </x:c>
      <x:c r="G138" s="6"/>
      <x:c r="H138" s="8"/>
      <x:c r="I138" s="9"/>
      <x:c r="J138" s="6" t="n">
        <x:v>0</x:v>
      </x:c>
      <x:c r="K138" s="6" t="n">
        <x:v>0</x:v>
      </x:c>
      <x:c r="L138" s="6" t="str">
        <x:v>无可比</x:v>
      </x:c>
      <x:c r="M138" s="6" t="str"/>
      <x:c r="N138" s="6" t="str">
        <x:v>106127920157</x:v>
      </x:c>
      <x:c r="O138" s="6" t="str">
        <x:v>https://cd.lianjia.com/ershoufang/106127920157.html</x:v>
      </x:c>
      <x:c r="P138" s="8"/>
    </x:row>
    <x:row r="139" ht="22" customHeight="1">
      <x:c r="A139" s="6" t="str">
        <x:v>川大</x:v>
      </x:c>
      <x:c r="B139" s="6" t="str">
        <x:v>中海格林威治城小户</x:v>
      </x:c>
      <x:c r="C139" s="6" t="str">
        <x:v>1室1厅</x:v>
      </x:c>
      <x:c r="D139" s="6" t="n">
        <x:v>47.74</x:v>
      </x:c>
      <x:c r="E139" s="9" t="n">
        <x:v>84.9</x:v>
      </x:c>
      <x:c r="F139" s="6" t="n">
        <x:v>17783.829074151654</x:v>
      </x:c>
      <x:c r="G139" s="6"/>
      <x:c r="H139" s="8"/>
      <x:c r="I139" s="9"/>
      <x:c r="J139" s="6" t="n">
        <x:v>0</x:v>
      </x:c>
      <x:c r="K139" s="6" t="n">
        <x:v>0</x:v>
      </x:c>
      <x:c r="L139" s="6" t="str">
        <x:v>无可比</x:v>
      </x:c>
      <x:c r="M139" s="6" t="str"/>
      <x:c r="N139" s="6" t="str">
        <x:v>106127627026</x:v>
      </x:c>
      <x:c r="O139" s="6" t="str">
        <x:v>https://cd.lianjia.com/ershoufang/106127627026.html</x:v>
      </x:c>
      <x:c r="P139" s="8"/>
    </x:row>
    <x:row r="140" ht="22" customHeight="1">
      <x:c r="A140" s="6" t="str">
        <x:v>川大</x:v>
      </x:c>
      <x:c r="B140" s="6" t="str">
        <x:v>纯真年代</x:v>
      </x:c>
      <x:c r="C140" s="6" t="str">
        <x:v>1室1厅</x:v>
      </x:c>
      <x:c r="D140" s="6" t="n">
        <x:v>45.52</x:v>
      </x:c>
      <x:c r="E140" s="9" t="n">
        <x:v>75</x:v>
      </x:c>
      <x:c r="F140" s="6" t="n">
        <x:v>16476.274165202107</x:v>
      </x:c>
      <x:c r="G140" s="6" t="n">
        <x:v>13171</x:v>
      </x:c>
      <x:c r="H140" s="8" t="n">
        <x:f>F140/G140-1</x:f>
        <x:v>0.25095088946944855</x:v>
      </x:c>
      <x:c r="I140" s="9" t="n">
        <x:f>G140*D140/10000</x:f>
        <x:v>59.954392000000006</x:v>
      </x:c>
      <x:c r="J140" s="6" t="n">
        <x:v>3</x:v>
      </x:c>
      <x:c r="K140" s="6" t="n">
        <x:v>1</x:v>
      </x:c>
      <x:c r="L140" s="6" t="str">
        <x:v>近12个月</x:v>
      </x:c>
      <x:c r="M140" s="6" t="str">
        <x:v>2026-05-03</x:v>
      </x:c>
      <x:c r="N140" s="6" t="str">
        <x:v>106127220439</x:v>
      </x:c>
      <x:c r="O140" s="6" t="str">
        <x:v>https://cd.lianjia.com/ershoufang/106127220439.html</x:v>
      </x:c>
      <x:c r="P140" s="8" t="n">
        <x:f>1-I140/E140</x:f>
        <x:v>0.20060810666666662</x:v>
      </x:c>
    </x:row>
    <x:row r="141" ht="22" customHeight="1">
      <x:c r="A141" s="6" t="str">
        <x:v>川大</x:v>
      </x:c>
      <x:c r="B141" s="6" t="str">
        <x:v>中海格林威治城小户</x:v>
      </x:c>
      <x:c r="C141" s="6" t="str">
        <x:v>1室1厅</x:v>
      </x:c>
      <x:c r="D141" s="6" t="n">
        <x:v>46.73</x:v>
      </x:c>
      <x:c r="E141" s="9" t="n">
        <x:v>79</x:v>
      </x:c>
      <x:c r="F141" s="6" t="n">
        <x:v>16905.628076182325</x:v>
      </x:c>
      <x:c r="G141" s="6"/>
      <x:c r="H141" s="8"/>
      <x:c r="I141" s="9"/>
      <x:c r="J141" s="6" t="n">
        <x:v>0</x:v>
      </x:c>
      <x:c r="K141" s="6" t="n">
        <x:v>0</x:v>
      </x:c>
      <x:c r="L141" s="6" t="str">
        <x:v>无可比</x:v>
      </x:c>
      <x:c r="M141" s="6" t="str"/>
      <x:c r="N141" s="6" t="str">
        <x:v>106128601671</x:v>
      </x:c>
      <x:c r="O141" s="6" t="str">
        <x:v>https://cd.lianjia.com/ershoufang/106128601671.html</x:v>
      </x:c>
      <x:c r="P141" s="8"/>
    </x:row>
    <x:row r="142" ht="22" customHeight="1">
      <x:c r="A142" s="6" t="str">
        <x:v>川大</x:v>
      </x:c>
      <x:c r="B142" s="6" t="str">
        <x:v>中海格林威治城小户</x:v>
      </x:c>
      <x:c r="C142" s="6" t="str">
        <x:v>1室1厅</x:v>
      </x:c>
      <x:c r="D142" s="6" t="n">
        <x:v>47.74</x:v>
      </x:c>
      <x:c r="E142" s="9" t="n">
        <x:v>79</x:v>
      </x:c>
      <x:c r="F142" s="6" t="n">
        <x:v>16547.968160871387</x:v>
      </x:c>
      <x:c r="G142" s="6"/>
      <x:c r="H142" s="8"/>
      <x:c r="I142" s="9"/>
      <x:c r="J142" s="6" t="n">
        <x:v>0</x:v>
      </x:c>
      <x:c r="K142" s="6" t="n">
        <x:v>0</x:v>
      </x:c>
      <x:c r="L142" s="6" t="str">
        <x:v>无可比</x:v>
      </x:c>
      <x:c r="M142" s="6" t="str"/>
      <x:c r="N142" s="6" t="str">
        <x:v>106125535058</x:v>
      </x:c>
      <x:c r="O142" s="6" t="str">
        <x:v>https://cd.lianjia.com/ershoufang/106125535058.html</x:v>
      </x:c>
      <x:c r="P142" s="8"/>
    </x:row>
    <x:row r="143" ht="22" customHeight="1">
      <x:c r="A143" s="6" t="str">
        <x:v>川大</x:v>
      </x:c>
      <x:c r="B143" s="6" t="str">
        <x:v>樱花假日</x:v>
      </x:c>
      <x:c r="C143" s="6" t="str">
        <x:v>1室1厅</x:v>
      </x:c>
      <x:c r="D143" s="6" t="n">
        <x:v>43.12</x:v>
      </x:c>
      <x:c r="E143" s="9" t="n">
        <x:v>65.8</x:v>
      </x:c>
      <x:c r="F143" s="6" t="n">
        <x:v>15259.740259740262</x:v>
      </x:c>
      <x:c r="G143" s="6" t="n">
        <x:v>14969</x:v>
      </x:c>
      <x:c r="H143" s="8" t="n">
        <x:f>F143/G143-1</x:f>
        <x:v>0.019422824486623025</x:v>
      </x:c>
      <x:c r="I143" s="9" t="n">
        <x:f>G143*D143/10000</x:f>
        <x:v>64.54632799999999</x:v>
      </x:c>
      <x:c r="J143" s="6" t="n">
        <x:v>1</x:v>
      </x:c>
      <x:c r="K143" s="6" t="n">
        <x:v>0</x:v>
      </x:c>
      <x:c r="L143" s="6" t="str">
        <x:v>超过12个月</x:v>
      </x:c>
      <x:c r="M143" s="6" t="str">
        <x:v>2025-04-09</x:v>
      </x:c>
      <x:c r="N143" s="6" t="str">
        <x:v>106129389896</x:v>
      </x:c>
      <x:c r="O143" s="6" t="str">
        <x:v>https://cd.lianjia.com/ershoufang/106129389896.html</x:v>
      </x:c>
      <x:c r="P143" s="8" t="n">
        <x:f>1-I143/E143</x:f>
        <x:v>0.019052765957446982</x:v>
      </x:c>
    </x:row>
    <x:row r="144" ht="22" customHeight="1">
      <x:c r="A144" s="6" t="str">
        <x:v>川大</x:v>
      </x:c>
      <x:c r="B144" s="6" t="str">
        <x:v>纯真年代</x:v>
      </x:c>
      <x:c r="C144" s="6" t="str">
        <x:v>1室1厅</x:v>
      </x:c>
      <x:c r="D144" s="6" t="n">
        <x:v>42.63</x:v>
      </x:c>
      <x:c r="E144" s="9" t="n">
        <x:v>70</x:v>
      </x:c>
      <x:c r="F144" s="6" t="n">
        <x:v>16420.361247947454</x:v>
      </x:c>
      <x:c r="G144" s="6" t="n">
        <x:v>13171</x:v>
      </x:c>
      <x:c r="H144" s="8" t="n">
        <x:f>F144/G144-1</x:f>
        <x:v>0.2467057359310192</x:v>
      </x:c>
      <x:c r="I144" s="9" t="n">
        <x:f>G144*D144/10000</x:f>
        <x:v>56.147973</x:v>
      </x:c>
      <x:c r="J144" s="6" t="n">
        <x:v>3</x:v>
      </x:c>
      <x:c r="K144" s="6" t="n">
        <x:v>1</x:v>
      </x:c>
      <x:c r="L144" s="6" t="str">
        <x:v>近12个月</x:v>
      </x:c>
      <x:c r="M144" s="6" t="str">
        <x:v>2026-05-03</x:v>
      </x:c>
      <x:c r="N144" s="6" t="str">
        <x:v>106116146246</x:v>
      </x:c>
      <x:c r="O144" s="6" t="str">
        <x:v>https://cd.lianjia.com/ershoufang/106116146246.html</x:v>
      </x:c>
      <x:c r="P144" s="8" t="n">
        <x:f>1-I144/E144</x:f>
        <x:v>0.19788609999999995</x:v>
      </x:c>
    </x:row>
    <x:row r="145" ht="22" customHeight="1">
      <x:c r="A145" s="6" t="str">
        <x:v>川大</x:v>
      </x:c>
      <x:c r="B145" s="6" t="str">
        <x:v>纯真年代</x:v>
      </x:c>
      <x:c r="C145" s="6" t="str">
        <x:v>1室1厅</x:v>
      </x:c>
      <x:c r="D145" s="6" t="n">
        <x:v>41.46</x:v>
      </x:c>
      <x:c r="E145" s="9" t="n">
        <x:v>79</x:v>
      </x:c>
      <x:c r="F145" s="6" t="n">
        <x:v>19054.510371442353</x:v>
      </x:c>
      <x:c r="G145" s="6" t="n">
        <x:v>13171</x:v>
      </x:c>
      <x:c r="H145" s="8" t="n">
        <x:f>F145/G145-1</x:f>
        <x:v>0.4467018731639476</x:v>
      </x:c>
      <x:c r="I145" s="9" t="n">
        <x:f>G145*D145/10000</x:f>
        <x:v>54.606966</x:v>
      </x:c>
      <x:c r="J145" s="6" t="n">
        <x:v>3</x:v>
      </x:c>
      <x:c r="K145" s="6" t="n">
        <x:v>1</x:v>
      </x:c>
      <x:c r="L145" s="6" t="str">
        <x:v>近12个月</x:v>
      </x:c>
      <x:c r="M145" s="6" t="str">
        <x:v>2026-05-03</x:v>
      </x:c>
      <x:c r="N145" s="6" t="str">
        <x:v>106106817681</x:v>
      </x:c>
      <x:c r="O145" s="6" t="str">
        <x:v>https://cd.lianjia.com/ershoufang/106106817681.html</x:v>
      </x:c>
      <x:c r="P145" s="8" t="n">
        <x:f>1-I145/E145</x:f>
        <x:v>0.30877258227848103</x:v>
      </x:c>
    </x:row>
    <x:row r="146" ht="22" customHeight="1">
      <x:c r="A146" s="6" t="str">
        <x:v>川大</x:v>
      </x:c>
      <x:c r="B146" s="6" t="str">
        <x:v>纯真年代</x:v>
      </x:c>
      <x:c r="C146" s="6" t="str">
        <x:v>1室1厅</x:v>
      </x:c>
      <x:c r="D146" s="6" t="n">
        <x:v>42.14</x:v>
      </x:c>
      <x:c r="E146" s="9" t="n">
        <x:v>70</x:v>
      </x:c>
      <x:c r="F146" s="6" t="n">
        <x:v>16611.295681063122</x:v>
      </x:c>
      <x:c r="G146" s="6" t="n">
        <x:v>13171</x:v>
      </x:c>
      <x:c r="H146" s="8" t="n">
        <x:f>F146/G146-1</x:f>
        <x:v>0.26120231425579843</x:v>
      </x:c>
      <x:c r="I146" s="9" t="n">
        <x:f>G146*D146/10000</x:f>
        <x:v>55.50259400000001</x:v>
      </x:c>
      <x:c r="J146" s="6" t="n">
        <x:v>3</x:v>
      </x:c>
      <x:c r="K146" s="6" t="n">
        <x:v>1</x:v>
      </x:c>
      <x:c r="L146" s="6" t="str">
        <x:v>近12个月</x:v>
      </x:c>
      <x:c r="M146" s="6" t="str">
        <x:v>2026-05-03</x:v>
      </x:c>
      <x:c r="N146" s="6" t="str">
        <x:v>106119707392</x:v>
      </x:c>
      <x:c r="O146" s="6" t="str">
        <x:v>https://cd.lianjia.com/ershoufang/106119707392.html</x:v>
      </x:c>
      <x:c r="P146" s="8" t="n">
        <x:f>1-I146/E146</x:f>
        <x:v>0.2071057999999999</x:v>
      </x:c>
    </x:row>
    <x:row r="147" ht="22" customHeight="1">
      <x:c r="A147" s="6" t="str">
        <x:v>川大</x:v>
      </x:c>
      <x:c r="B147" s="6" t="str">
        <x:v>樱花假日</x:v>
      </x:c>
      <x:c r="C147" s="6" t="str">
        <x:v>1室0厅</x:v>
      </x:c>
      <x:c r="D147" s="6" t="n">
        <x:v>26.49</x:v>
      </x:c>
      <x:c r="E147" s="9" t="n">
        <x:v>40</x:v>
      </x:c>
      <x:c r="F147" s="6" t="n">
        <x:v>15100.037750094376</x:v>
      </x:c>
      <x:c r="G147" s="6" t="n">
        <x:v>15101</x:v>
      </x:c>
      <x:c r="H147" s="8" t="n">
        <x:f>F147/G147-1</x:f>
        <x:v>-0.00006372093938311618</x:v>
      </x:c>
      <x:c r="I147" s="9" t="n">
        <x:f>G147*D147/10000</x:f>
        <x:v>40.002549</x:v>
      </x:c>
      <x:c r="J147" s="6" t="n">
        <x:v>3</x:v>
      </x:c>
      <x:c r="K147" s="6" t="n">
        <x:v>3</x:v>
      </x:c>
      <x:c r="L147" s="6" t="str">
        <x:v>近12个月</x:v>
      </x:c>
      <x:c r="M147" s="6" t="str">
        <x:v>2026-01-17</x:v>
      </x:c>
      <x:c r="N147" s="6" t="str">
        <x:v>106124079687</x:v>
      </x:c>
      <x:c r="O147" s="6" t="str">
        <x:v>https://cd.lianjia.com/ershoufang/106124079687.html</x:v>
      </x:c>
      <x:c r="P147" s="8" t="n">
        <x:f>1-I147/E147</x:f>
        <x:v>-0.00006372499999995895</x:v>
      </x:c>
    </x:row>
    <x:row r="148" ht="22" customHeight="1">
      <x:c r="A148" s="6" t="str">
        <x:v>川大</x:v>
      </x:c>
      <x:c r="B148" s="6" t="str">
        <x:v>樱花假日</x:v>
      </x:c>
      <x:c r="C148" s="6" t="str">
        <x:v>1室1厅</x:v>
      </x:c>
      <x:c r="D148" s="6" t="n">
        <x:v>32</x:v>
      </x:c>
      <x:c r="E148" s="9" t="n">
        <x:v>45</x:v>
      </x:c>
      <x:c r="F148" s="6" t="n">
        <x:v>14062.5</x:v>
      </x:c>
      <x:c r="G148" s="6" t="n">
        <x:v>15033</x:v>
      </x:c>
      <x:c r="H148" s="8" t="n">
        <x:f>F148/G148-1</x:f>
        <x:v>-0.0645579724605867</x:v>
      </x:c>
      <x:c r="I148" s="9" t="n">
        <x:f>G148*D148/10000</x:f>
        <x:v>48.1056</x:v>
      </x:c>
      <x:c r="J148" s="6" t="n">
        <x:v>1</x:v>
      </x:c>
      <x:c r="K148" s="6" t="n">
        <x:v>0</x:v>
      </x:c>
      <x:c r="L148" s="6" t="str">
        <x:v>超过12个月</x:v>
      </x:c>
      <x:c r="M148" s="6" t="str">
        <x:v>2025-10-18</x:v>
      </x:c>
      <x:c r="N148" s="6" t="str">
        <x:v>106129691155</x:v>
      </x:c>
      <x:c r="O148" s="6" t="str">
        <x:v>https://cd.lianjia.com/ershoufang/106129691155.html</x:v>
      </x:c>
      <x:c r="P148" s="8" t="n">
        <x:f>1-I148/E148</x:f>
        <x:v>-0.06901333333333337</x:v>
      </x:c>
    </x:row>
    <x:row r="149" ht="22" customHeight="1">
      <x:c r="A149" s="6" t="str">
        <x:v>川大</x:v>
      </x:c>
      <x:c r="B149" s="6" t="str">
        <x:v>樱花假日</x:v>
      </x:c>
      <x:c r="C149" s="6" t="str">
        <x:v>1室1厅</x:v>
      </x:c>
      <x:c r="D149" s="6" t="n">
        <x:v>27.94</x:v>
      </x:c>
      <x:c r="E149" s="9" t="n">
        <x:v>43</x:v>
      </x:c>
      <x:c r="F149" s="6" t="n">
        <x:v>15390.121689334286</x:v>
      </x:c>
      <x:c r="G149" s="6" t="n">
        <x:v>15033</x:v>
      </x:c>
      <x:c r="H149" s="8" t="n">
        <x:f>F149/G149-1</x:f>
        <x:v>0.023755849752829628</x:v>
      </x:c>
      <x:c r="I149" s="9" t="n">
        <x:f>G149*D149/10000</x:f>
        <x:v>42.002202000000004</x:v>
      </x:c>
      <x:c r="J149" s="6" t="n">
        <x:v>1</x:v>
      </x:c>
      <x:c r="K149" s="6" t="n">
        <x:v>0</x:v>
      </x:c>
      <x:c r="L149" s="6" t="str">
        <x:v>超过12个月</x:v>
      </x:c>
      <x:c r="M149" s="6" t="str">
        <x:v>2025-10-18</x:v>
      </x:c>
      <x:c r="N149" s="6" t="str">
        <x:v>106123818064</x:v>
      </x:c>
      <x:c r="O149" s="6" t="str">
        <x:v>https://cd.lianjia.com/ershoufang/106123818064.html</x:v>
      </x:c>
      <x:c r="P149" s="8" t="n">
        <x:f>1-I149/E149</x:f>
        <x:v>0.023204604651162697</x:v>
      </x:c>
    </x:row>
    <x:row r="150" ht="22" customHeight="1">
      <x:c r="A150" s="6" t="str">
        <x:v>川大</x:v>
      </x:c>
      <x:c r="B150" s="6" t="str">
        <x:v>新时空公寓</x:v>
      </x:c>
      <x:c r="C150" s="6" t="str">
        <x:v>1室1厅</x:v>
      </x:c>
      <x:c r="D150" s="6" t="n">
        <x:v>37.91</x:v>
      </x:c>
      <x:c r="E150" s="9" t="n">
        <x:v>48</x:v>
      </x:c>
      <x:c r="F150" s="6" t="n">
        <x:v>12661.566868900027</x:v>
      </x:c>
      <x:c r="G150" s="6"/>
      <x:c r="H150" s="8"/>
      <x:c r="I150" s="9"/>
      <x:c r="J150" s="6" t="n">
        <x:v>0</x:v>
      </x:c>
      <x:c r="K150" s="6" t="n">
        <x:v>0</x:v>
      </x:c>
      <x:c r="L150" s="6" t="str">
        <x:v>无可比</x:v>
      </x:c>
      <x:c r="M150" s="6" t="str"/>
      <x:c r="N150" s="6" t="str">
        <x:v>106124805416</x:v>
      </x:c>
      <x:c r="O150" s="6" t="str">
        <x:v>https://cd.lianjia.com/ershoufang/106124805416.html</x:v>
      </x:c>
      <x:c r="P150" s="8"/>
    </x:row>
    <x:row r="151" ht="22" customHeight="1">
      <x:c r="A151" s="6" t="str">
        <x:v>川大</x:v>
      </x:c>
      <x:c r="B151" s="6" t="str">
        <x:v>好望角</x:v>
      </x:c>
      <x:c r="C151" s="6" t="str">
        <x:v>1室0厅</x:v>
      </x:c>
      <x:c r="D151" s="6" t="n">
        <x:v>32.99</x:v>
      </x:c>
      <x:c r="E151" s="9" t="n">
        <x:v>43</x:v>
      </x:c>
      <x:c r="F151" s="6" t="n">
        <x:v>13034.252803879963</x:v>
      </x:c>
      <x:c r="G151" s="6" t="n">
        <x:v>10894</x:v>
      </x:c>
      <x:c r="H151" s="8" t="n">
        <x:f>F151/G151-1</x:f>
        <x:v>0.1964616122526126</x:v>
      </x:c>
      <x:c r="I151" s="9" t="n">
        <x:f>G151*D151/10000</x:f>
        <x:v>35.939306</x:v>
      </x:c>
      <x:c r="J151" s="6" t="n">
        <x:v>11</x:v>
      </x:c>
      <x:c r="K151" s="6" t="n">
        <x:v>4</x:v>
      </x:c>
      <x:c r="L151" s="6" t="str">
        <x:v>近12个月</x:v>
      </x:c>
      <x:c r="M151" s="6" t="str">
        <x:v>2026-08-24</x:v>
      </x:c>
      <x:c r="N151" s="6" t="str">
        <x:v>106128760622</x:v>
      </x:c>
      <x:c r="O151" s="6" t="str">
        <x:v>https://cd.lianjia.com/ershoufang/106128760622.html</x:v>
      </x:c>
      <x:c r="P151" s="8" t="n">
        <x:f>1-I151/E151</x:f>
        <x:v>0.1642021860465116</x:v>
      </x:c>
    </x:row>
    <x:row r="152" ht="22" customHeight="1">
      <x:c r="A152" s="6" t="str">
        <x:v>川大</x:v>
      </x:c>
      <x:c r="B152" s="6" t="str">
        <x:v>新时空公寓</x:v>
      </x:c>
      <x:c r="C152" s="6" t="str">
        <x:v>1室0厅</x:v>
      </x:c>
      <x:c r="D152" s="6" t="n">
        <x:v>37.91</x:v>
      </x:c>
      <x:c r="E152" s="9" t="n">
        <x:v>47</x:v>
      </x:c>
      <x:c r="F152" s="6" t="n">
        <x:v>12397.784225797943</x:v>
      </x:c>
      <x:c r="G152" s="6"/>
      <x:c r="H152" s="8"/>
      <x:c r="I152" s="9"/>
      <x:c r="J152" s="6" t="n">
        <x:v>0</x:v>
      </x:c>
      <x:c r="K152" s="6" t="n">
        <x:v>0</x:v>
      </x:c>
      <x:c r="L152" s="6" t="str">
        <x:v>无可比</x:v>
      </x:c>
      <x:c r="M152" s="6" t="str"/>
      <x:c r="N152" s="6" t="str">
        <x:v>106127359810</x:v>
      </x:c>
      <x:c r="O152" s="6" t="str">
        <x:v>https://cd.lianjia.com/ershoufang/106127359810.html</x:v>
      </x:c>
      <x:c r="P152" s="8"/>
    </x:row>
    <x:row r="153" ht="22" customHeight="1">
      <x:c r="A153" s="6" t="str">
        <x:v>川大</x:v>
      </x:c>
      <x:c r="B153" s="6" t="str">
        <x:v>樱花假日</x:v>
      </x:c>
      <x:c r="C153" s="6" t="str">
        <x:v>1室0厅</x:v>
      </x:c>
      <x:c r="D153" s="6" t="n">
        <x:v>37.86</x:v>
      </x:c>
      <x:c r="E153" s="9" t="n">
        <x:v>56</x:v>
      </x:c>
      <x:c r="F153" s="6" t="n">
        <x:v>14791.336502905442</x:v>
      </x:c>
      <x:c r="G153" s="6" t="n">
        <x:v>12018</x:v>
      </x:c>
      <x:c r="H153" s="8" t="n">
        <x:f>F153/G153-1</x:f>
        <x:v>0.23076522740101857</x:v>
      </x:c>
      <x:c r="I153" s="9" t="n">
        <x:f>G153*D153/10000</x:f>
        <x:v>45.500147999999996</x:v>
      </x:c>
      <x:c r="J153" s="6" t="n">
        <x:v>1</x:v>
      </x:c>
      <x:c r="K153" s="6" t="n">
        <x:v>0</x:v>
      </x:c>
      <x:c r="L153" s="6" t="str">
        <x:v>超过12个月</x:v>
      </x:c>
      <x:c r="M153" s="6" t="str">
        <x:v>2024-11-23</x:v>
      </x:c>
      <x:c r="N153" s="6" t="str">
        <x:v>106126423481</x:v>
      </x:c>
      <x:c r="O153" s="6" t="str">
        <x:v>https://cd.lianjia.com/ershoufang/106126423481.html</x:v>
      </x:c>
      <x:c r="P153" s="8" t="n">
        <x:f>1-I153/E153</x:f>
        <x:v>0.1874973571428572</x:v>
      </x:c>
    </x:row>
    <x:row r="154" ht="22" customHeight="1">
      <x:c r="A154" s="6" t="str">
        <x:v>川大</x:v>
      </x:c>
      <x:c r="B154" s="6" t="str">
        <x:v>好望角</x:v>
      </x:c>
      <x:c r="C154" s="6" t="str">
        <x:v>1室0厅</x:v>
      </x:c>
      <x:c r="D154" s="6" t="n">
        <x:v>32.68</x:v>
      </x:c>
      <x:c r="E154" s="9" t="n">
        <x:v>40</x:v>
      </x:c>
      <x:c r="F154" s="6" t="n">
        <x:v>12239.902080783353</x:v>
      </x:c>
      <x:c r="G154" s="6" t="n">
        <x:v>10894</x:v>
      </x:c>
      <x:c r="H154" s="8" t="n">
        <x:f>F154/G154-1</x:f>
        <x:v>0.12354526168380331</x:v>
      </x:c>
      <x:c r="I154" s="9" t="n">
        <x:f>G154*D154/10000</x:f>
        <x:v>35.601592</x:v>
      </x:c>
      <x:c r="J154" s="6" t="n">
        <x:v>11</x:v>
      </x:c>
      <x:c r="K154" s="6" t="n">
        <x:v>4</x:v>
      </x:c>
      <x:c r="L154" s="6" t="str">
        <x:v>近12个月</x:v>
      </x:c>
      <x:c r="M154" s="6" t="str">
        <x:v>2026-08-24</x:v>
      </x:c>
      <x:c r="N154" s="6" t="str">
        <x:v>106127231711</x:v>
      </x:c>
      <x:c r="O154" s="6" t="str">
        <x:v>https://cd.lianjia.com/ershoufang/106127231711.html</x:v>
      </x:c>
      <x:c r="P154" s="8" t="n">
        <x:f>1-I154/E154</x:f>
        <x:v>0.10996020000000006</x:v>
      </x:c>
    </x:row>
    <x:row r="155" ht="22" customHeight="1">
      <x:c r="A155" s="6" t="str">
        <x:v>川大</x:v>
      </x:c>
      <x:c r="B155" s="6" t="str">
        <x:v>蓝色加勒比广场</x:v>
      </x:c>
      <x:c r="C155" s="6" t="str">
        <x:v>1室0厅</x:v>
      </x:c>
      <x:c r="D155" s="6" t="n">
        <x:v>33.85</x:v>
      </x:c>
      <x:c r="E155" s="9" t="n">
        <x:v>45</x:v>
      </x:c>
      <x:c r="F155" s="6" t="n">
        <x:v>13293.943870014771</x:v>
      </x:c>
      <x:c r="G155" s="6" t="n">
        <x:v>11666</x:v>
      </x:c>
      <x:c r="H155" s="8" t="n">
        <x:f>F155/G155-1</x:f>
        <x:v>0.1395460200595553</x:v>
      </x:c>
      <x:c r="I155" s="9" t="n">
        <x:f>G155*D155/10000</x:f>
        <x:v>39.48941000000001</x:v>
      </x:c>
      <x:c r="J155" s="6" t="n">
        <x:v>5</x:v>
      </x:c>
      <x:c r="K155" s="6" t="n">
        <x:v>2</x:v>
      </x:c>
      <x:c r="L155" s="6" t="str">
        <x:v>近12个月</x:v>
      </x:c>
      <x:c r="M155" s="6" t="str">
        <x:v>2025-11-15</x:v>
      </x:c>
      <x:c r="N155" s="6" t="str">
        <x:v>106123604631</x:v>
      </x:c>
      <x:c r="O155" s="6" t="str">
        <x:v>https://cd.lianjia.com/ershoufang/106123604631.html</x:v>
      </x:c>
      <x:c r="P155" s="8" t="n">
        <x:f>1-I155/E155</x:f>
        <x:v>0.12245755555555538</x:v>
      </x:c>
    </x:row>
    <x:row r="156" ht="22" customHeight="1">
      <x:c r="A156" s="6" t="str">
        <x:v>川大</x:v>
      </x:c>
      <x:c r="B156" s="6" t="str">
        <x:v>好望角</x:v>
      </x:c>
      <x:c r="C156" s="6" t="str">
        <x:v>1室0厅</x:v>
      </x:c>
      <x:c r="D156" s="6" t="n">
        <x:v>32.68</x:v>
      </x:c>
      <x:c r="E156" s="9" t="n">
        <x:v>40</x:v>
      </x:c>
      <x:c r="F156" s="6" t="n">
        <x:v>12239.902080783353</x:v>
      </x:c>
      <x:c r="G156" s="6" t="n">
        <x:v>10894</x:v>
      </x:c>
      <x:c r="H156" s="8" t="n">
        <x:f>F156/G156-1</x:f>
        <x:v>0.12354526168380331</x:v>
      </x:c>
      <x:c r="I156" s="9" t="n">
        <x:f>G156*D156/10000</x:f>
        <x:v>35.601592</x:v>
      </x:c>
      <x:c r="J156" s="6" t="n">
        <x:v>11</x:v>
      </x:c>
      <x:c r="K156" s="6" t="n">
        <x:v>4</x:v>
      </x:c>
      <x:c r="L156" s="6" t="str">
        <x:v>近12个月</x:v>
      </x:c>
      <x:c r="M156" s="6" t="str">
        <x:v>2026-08-24</x:v>
      </x:c>
      <x:c r="N156" s="6" t="str">
        <x:v>106128370693</x:v>
      </x:c>
      <x:c r="O156" s="6" t="str">
        <x:v>https://cd.lianjia.com/ershoufang/106128370693.html</x:v>
      </x:c>
      <x:c r="P156" s="8" t="n">
        <x:f>1-I156/E156</x:f>
        <x:v>0.10996020000000006</x:v>
      </x:c>
    </x:row>
    <x:row r="157" ht="22" customHeight="1">
      <x:c r="A157" s="6" t="str">
        <x:v>川大</x:v>
      </x:c>
      <x:c r="B157" s="6" t="str">
        <x:v>樱花假日</x:v>
      </x:c>
      <x:c r="C157" s="6" t="str">
        <x:v>1室1厅</x:v>
      </x:c>
      <x:c r="D157" s="6" t="n">
        <x:v>26.49</x:v>
      </x:c>
      <x:c r="E157" s="9" t="n">
        <x:v>42</x:v>
      </x:c>
      <x:c r="F157" s="6" t="n">
        <x:v>15855.039637599095</x:v>
      </x:c>
      <x:c r="G157" s="6" t="n">
        <x:v>15033</x:v>
      </x:c>
      <x:c r="H157" s="8" t="n">
        <x:f>F157/G157-1</x:f>
        <x:v>0.05468234135562389</x:v>
      </x:c>
      <x:c r="I157" s="9" t="n">
        <x:f>G157*D157/10000</x:f>
        <x:v>39.822417</x:v>
      </x:c>
      <x:c r="J157" s="6" t="n">
        <x:v>1</x:v>
      </x:c>
      <x:c r="K157" s="6" t="n">
        <x:v>0</x:v>
      </x:c>
      <x:c r="L157" s="6" t="str">
        <x:v>超过12个月</x:v>
      </x:c>
      <x:c r="M157" s="6" t="str">
        <x:v>2025-10-18</x:v>
      </x:c>
      <x:c r="N157" s="6" t="str">
        <x:v>106126959789</x:v>
      </x:c>
      <x:c r="O157" s="6" t="str">
        <x:v>https://cd.lianjia.com/ershoufang/106126959789.html</x:v>
      </x:c>
      <x:c r="P157" s="8" t="n">
        <x:f>1-I157/E157</x:f>
        <x:v>0.05184721428571426</x:v>
      </x:c>
    </x:row>
    <x:row r="158" ht="22" customHeight="1">
      <x:c r="A158" s="6" t="str">
        <x:v>川大</x:v>
      </x:c>
      <x:c r="B158" s="6" t="str">
        <x:v>樱花假日</x:v>
      </x:c>
      <x:c r="C158" s="6" t="str">
        <x:v>1室1厅</x:v>
      </x:c>
      <x:c r="D158" s="6" t="n">
        <x:v>43.12</x:v>
      </x:c>
      <x:c r="E158" s="9" t="n">
        <x:v>60</x:v>
      </x:c>
      <x:c r="F158" s="6" t="n">
        <x:v>13914.65677179963</x:v>
      </x:c>
      <x:c r="G158" s="6" t="n">
        <x:v>14969</x:v>
      </x:c>
      <x:c r="H158" s="8" t="n">
        <x:f>F158/G158-1</x:f>
        <x:v>-0.07043511444988781</x:v>
      </x:c>
      <x:c r="I158" s="9" t="n">
        <x:f>G158*D158/10000</x:f>
        <x:v>64.54632799999999</x:v>
      </x:c>
      <x:c r="J158" s="6" t="n">
        <x:v>1</x:v>
      </x:c>
      <x:c r="K158" s="6" t="n">
        <x:v>0</x:v>
      </x:c>
      <x:c r="L158" s="6" t="str">
        <x:v>超过12个月</x:v>
      </x:c>
      <x:c r="M158" s="6" t="str">
        <x:v>2025-04-09</x:v>
      </x:c>
      <x:c r="N158" s="6" t="str">
        <x:v>106124043372</x:v>
      </x:c>
      <x:c r="O158" s="6" t="str">
        <x:v>https://cd.lianjia.com/ershoufang/106124043372.html</x:v>
      </x:c>
      <x:c r="P158" s="8" t="n">
        <x:f>1-I158/E158</x:f>
        <x:v>-0.07577213333333321</x:v>
      </x:c>
    </x:row>
    <x:row r="159" ht="22" customHeight="1">
      <x:c r="A159" s="6" t="str">
        <x:v>川音</x:v>
      </x:c>
      <x:c r="B159" s="6" t="str">
        <x:v>凯悦新城</x:v>
      </x:c>
      <x:c r="C159" s="6" t="str">
        <x:v>1室1厅</x:v>
      </x:c>
      <x:c r="D159" s="6" t="n">
        <x:v>53.2</x:v>
      </x:c>
      <x:c r="E159" s="9" t="n">
        <x:v>70</x:v>
      </x:c>
      <x:c r="F159" s="6" t="n">
        <x:v>13157.894736842105</x:v>
      </x:c>
      <x:c r="G159" s="6" t="n">
        <x:v>12210</x:v>
      </x:c>
      <x:c r="H159" s="8" t="n">
        <x:f>F159/G159-1</x:f>
        <x:v>0.07763265658002494</x:v>
      </x:c>
      <x:c r="I159" s="9" t="n">
        <x:f>G159*D159/10000</x:f>
        <x:v>64.9572</x:v>
      </x:c>
      <x:c r="J159" s="6" t="n">
        <x:v>7</x:v>
      </x:c>
      <x:c r="K159" s="6" t="n">
        <x:v>4</x:v>
      </x:c>
      <x:c r="L159" s="6" t="str">
        <x:v>近12个月</x:v>
      </x:c>
      <x:c r="M159" s="6" t="str">
        <x:v>2026-09-04</x:v>
      </x:c>
      <x:c r="N159" s="6" t="str">
        <x:v>106117983295</x:v>
      </x:c>
      <x:c r="O159" s="6" t="str">
        <x:v>https://cd.lianjia.com/ershoufang/106117983295.html</x:v>
      </x:c>
      <x:c r="P159" s="8" t="n">
        <x:f>1-I159/E159</x:f>
        <x:v>0.07203999999999999</x:v>
      </x:c>
    </x:row>
    <x:row r="160" ht="22" customHeight="1">
      <x:c r="A160" s="6" t="str">
        <x:v>川音</x:v>
      </x:c>
      <x:c r="B160" s="6" t="str">
        <x:v>凯悦新城</x:v>
      </x:c>
      <x:c r="C160" s="6" t="str">
        <x:v>1室1厅</x:v>
      </x:c>
      <x:c r="D160" s="6" t="n">
        <x:v>53.18</x:v>
      </x:c>
      <x:c r="E160" s="9" t="n">
        <x:v>71</x:v>
      </x:c>
      <x:c r="F160" s="6" t="n">
        <x:v>13350.883790898833</x:v>
      </x:c>
      <x:c r="G160" s="6" t="n">
        <x:v>12210</x:v>
      </x:c>
      <x:c r="H160" s="8" t="n">
        <x:f>F160/G160-1</x:f>
        <x:v>0.0934384759130904</x:v>
      </x:c>
      <x:c r="I160" s="9" t="n">
        <x:f>G160*D160/10000</x:f>
        <x:v>64.93278000000001</x:v>
      </x:c>
      <x:c r="J160" s="6" t="n">
        <x:v>7</x:v>
      </x:c>
      <x:c r="K160" s="6" t="n">
        <x:v>4</x:v>
      </x:c>
      <x:c r="L160" s="6" t="str">
        <x:v>近12个月</x:v>
      </x:c>
      <x:c r="M160" s="6" t="str">
        <x:v>2026-09-04</x:v>
      </x:c>
      <x:c r="N160" s="6" t="str">
        <x:v>106127351359</x:v>
      </x:c>
      <x:c r="O160" s="6" t="str">
        <x:v>https://cd.lianjia.com/ershoufang/106127351359.html</x:v>
      </x:c>
      <x:c r="P160" s="8" t="n">
        <x:f>1-I160/E160</x:f>
        <x:v>0.08545380281690129</x:v>
      </x:c>
    </x:row>
    <x:row r="161" ht="22" customHeight="1">
      <x:c r="A161" s="6" t="str">
        <x:v>川音</x:v>
      </x:c>
      <x:c r="B161" s="6" t="str">
        <x:v>凯悦新城</x:v>
      </x:c>
      <x:c r="C161" s="6" t="str">
        <x:v>1室1厅</x:v>
      </x:c>
      <x:c r="D161" s="6" t="n">
        <x:v>52.49</x:v>
      </x:c>
      <x:c r="E161" s="9" t="n">
        <x:v>72</x:v>
      </x:c>
      <x:c r="F161" s="6" t="n">
        <x:v>13716.898456848923</x:v>
      </x:c>
      <x:c r="G161" s="6" t="n">
        <x:v>12210</x:v>
      </x:c>
      <x:c r="H161" s="8" t="n">
        <x:f>F161/G161-1</x:f>
        <x:v>0.12341510703103387</x:v>
      </x:c>
      <x:c r="I161" s="9" t="n">
        <x:f>G161*D161/10000</x:f>
        <x:v>64.09029</x:v>
      </x:c>
      <x:c r="J161" s="6" t="n">
        <x:v>7</x:v>
      </x:c>
      <x:c r="K161" s="6" t="n">
        <x:v>4</x:v>
      </x:c>
      <x:c r="L161" s="6" t="str">
        <x:v>近12个月</x:v>
      </x:c>
      <x:c r="M161" s="6" t="str">
        <x:v>2026-09-04</x:v>
      </x:c>
      <x:c r="N161" s="6" t="str">
        <x:v>106119525614</x:v>
      </x:c>
      <x:c r="O161" s="6" t="str">
        <x:v>https://cd.lianjia.com/ershoufang/106119525614.html</x:v>
      </x:c>
      <x:c r="P161" s="8" t="n">
        <x:f>1-I161/E161</x:f>
        <x:v>0.10985708333333344</x:v>
      </x:c>
    </x:row>
    <x:row r="162" ht="22" customHeight="1">
      <x:c r="A162" s="6" t="str">
        <x:v>川音</x:v>
      </x:c>
      <x:c r="B162" s="6" t="str">
        <x:v>colour彼岸</x:v>
      </x:c>
      <x:c r="C162" s="6" t="str">
        <x:v>1室1厅</x:v>
      </x:c>
      <x:c r="D162" s="6" t="n">
        <x:v>57.19</x:v>
      </x:c>
      <x:c r="E162" s="9" t="n">
        <x:v>78</x:v>
      </x:c>
      <x:c r="F162" s="6" t="n">
        <x:v>13638.74803287288</x:v>
      </x:c>
      <x:c r="G162" s="6" t="n">
        <x:v>13381</x:v>
      </x:c>
      <x:c r="H162" s="8" t="n">
        <x:f>F162/G162-1</x:f>
        <x:v>0.019262239957617444</x:v>
      </x:c>
      <x:c r="I162" s="9" t="n">
        <x:f>G162*D162/10000</x:f>
        <x:v>76.52593900000001</x:v>
      </x:c>
      <x:c r="J162" s="6" t="n">
        <x:v>1</x:v>
      </x:c>
      <x:c r="K162" s="6" t="n">
        <x:v>0</x:v>
      </x:c>
      <x:c r="L162" s="6" t="str">
        <x:v>超过12个月</x:v>
      </x:c>
      <x:c r="M162" s="6" t="str">
        <x:v>2024-11-25</x:v>
      </x:c>
      <x:c r="N162" s="6" t="str">
        <x:v>106127249991</x:v>
      </x:c>
      <x:c r="O162" s="6" t="str">
        <x:v>https://cd.lianjia.com/ershoufang/106127249991.html</x:v>
      </x:c>
      <x:c r="P162" s="8" t="n">
        <x:f>1-I162/E162</x:f>
        <x:v>0.01889821794871782</x:v>
      </x:c>
    </x:row>
    <x:row r="163" ht="22" customHeight="1">
      <x:c r="A163" s="6" t="str">
        <x:v>川音</x:v>
      </x:c>
      <x:c r="B163" s="6" t="str">
        <x:v>凯悦新城</x:v>
      </x:c>
      <x:c r="C163" s="6" t="str">
        <x:v>1室1厅</x:v>
      </x:c>
      <x:c r="D163" s="6" t="n">
        <x:v>53.01</x:v>
      </x:c>
      <x:c r="E163" s="9" t="n">
        <x:v>69</x:v>
      </x:c>
      <x:c r="F163" s="6" t="n">
        <x:v>13016.411997736277</x:v>
      </x:c>
      <x:c r="G163" s="6" t="n">
        <x:v>12210</x:v>
      </x:c>
      <x:c r="H163" s="8" t="n">
        <x:f>F163/G163-1</x:f>
        <x:v>0.06604520865980978</x:v>
      </x:c>
      <x:c r="I163" s="9" t="n">
        <x:f>G163*D163/10000</x:f>
        <x:v>64.72521</x:v>
      </x:c>
      <x:c r="J163" s="6" t="n">
        <x:v>7</x:v>
      </x:c>
      <x:c r="K163" s="6" t="n">
        <x:v>4</x:v>
      </x:c>
      <x:c r="L163" s="6" t="str">
        <x:v>近12个月</x:v>
      </x:c>
      <x:c r="M163" s="6" t="str">
        <x:v>2026-09-04</x:v>
      </x:c>
      <x:c r="N163" s="6" t="str">
        <x:v>106127336415</x:v>
      </x:c>
      <x:c r="O163" s="6" t="str">
        <x:v>https://cd.lianjia.com/ershoufang/106127336415.html</x:v>
      </x:c>
      <x:c r="P163" s="8" t="n">
        <x:f>1-I163/E163</x:f>
        <x:v>0.0619534782608695</x:v>
      </x:c>
    </x:row>
    <x:row r="164" ht="22" customHeight="1">
      <x:c r="A164" s="6" t="str">
        <x:v>川音</x:v>
      </x:c>
      <x:c r="B164" s="6" t="str">
        <x:v>林荫嘉园</x:v>
      </x:c>
      <x:c r="C164" s="6" t="str">
        <x:v>1室1厅</x:v>
      </x:c>
      <x:c r="D164" s="6" t="n">
        <x:v>50.13</x:v>
      </x:c>
      <x:c r="E164" s="9" t="n">
        <x:v>78</x:v>
      </x:c>
      <x:c r="F164" s="6" t="n">
        <x:v>15559.545182525433</x:v>
      </x:c>
      <x:c r="G164" s="6" t="n">
        <x:v>14373.5</x:v>
      </x:c>
      <x:c r="H164" s="8" t="n">
        <x:f>F164/G164-1</x:f>
        <x:v>0.08251610133408249</x:v>
      </x:c>
      <x:c r="I164" s="9" t="n">
        <x:f>G164*D164/10000</x:f>
        <x:v>72.0543555</x:v>
      </x:c>
      <x:c r="J164" s="6" t="n">
        <x:v>2</x:v>
      </x:c>
      <x:c r="K164" s="6" t="n">
        <x:v>0</x:v>
      </x:c>
      <x:c r="L164" s="6" t="str">
        <x:v>超过12个月</x:v>
      </x:c>
      <x:c r="M164" s="6" t="str">
        <x:v>2025-09-08</x:v>
      </x:c>
      <x:c r="N164" s="6" t="str">
        <x:v>106127974566</x:v>
      </x:c>
      <x:c r="O164" s="6" t="str">
        <x:v>https://cd.lianjia.com/ershoufang/106127974566.html</x:v>
      </x:c>
      <x:c r="P164" s="8" t="n">
        <x:f>1-I164/E164</x:f>
        <x:v>0.07622621153846154</x:v>
      </x:c>
    </x:row>
    <x:row r="165" ht="22" customHeight="1">
      <x:c r="A165" s="6" t="str">
        <x:v>川音</x:v>
      </x:c>
      <x:c r="B165" s="6" t="str">
        <x:v>凯悦新城</x:v>
      </x:c>
      <x:c r="C165" s="6" t="str">
        <x:v>1室1厅</x:v>
      </x:c>
      <x:c r="D165" s="6" t="n">
        <x:v>52.11</x:v>
      </x:c>
      <x:c r="E165" s="9" t="n">
        <x:v>69.8</x:v>
      </x:c>
      <x:c r="F165" s="6" t="n">
        <x:v>13394.741892151218</x:v>
      </x:c>
      <x:c r="G165" s="6" t="n">
        <x:v>12210</x:v>
      </x:c>
      <x:c r="H165" s="8" t="n">
        <x:f>F165/G165-1</x:f>
        <x:v>0.09703045799764265</x:v>
      </x:c>
      <x:c r="I165" s="9" t="n">
        <x:f>G165*D165/10000</x:f>
        <x:v>63.62631</x:v>
      </x:c>
      <x:c r="J165" s="6" t="n">
        <x:v>7</x:v>
      </x:c>
      <x:c r="K165" s="6" t="n">
        <x:v>4</x:v>
      </x:c>
      <x:c r="L165" s="6" t="str">
        <x:v>近12个月</x:v>
      </x:c>
      <x:c r="M165" s="6" t="str">
        <x:v>2026-09-04</x:v>
      </x:c>
      <x:c r="N165" s="6" t="str">
        <x:v>106127955213</x:v>
      </x:c>
      <x:c r="O165" s="6" t="str">
        <x:v>https://cd.lianjia.com/ershoufang/106127955213.html</x:v>
      </x:c>
      <x:c r="P165" s="8" t="n">
        <x:f>1-I165/E165</x:f>
        <x:v>0.08844828080229228</x:v>
      </x:c>
    </x:row>
    <x:row r="166" ht="22" customHeight="1">
      <x:c r="A166" s="6" t="str">
        <x:v>川音</x:v>
      </x:c>
      <x:c r="B166" s="6" t="str">
        <x:v>凯悦新城</x:v>
      </x:c>
      <x:c r="C166" s="6" t="str">
        <x:v>1室1厅</x:v>
      </x:c>
      <x:c r="D166" s="6" t="n">
        <x:v>53.18</x:v>
      </x:c>
      <x:c r="E166" s="9" t="n">
        <x:v>71.8</x:v>
      </x:c>
      <x:c r="F166" s="6" t="n">
        <x:v>13501.316284317412</x:v>
      </x:c>
      <x:c r="G166" s="6" t="n">
        <x:v>12210</x:v>
      </x:c>
      <x:c r="H166" s="8" t="n">
        <x:f>F166/G166-1</x:f>
        <x:v>0.1057589094445055</x:v>
      </x:c>
      <x:c r="I166" s="9" t="n">
        <x:f>G166*D166/10000</x:f>
        <x:v>64.93278000000001</x:v>
      </x:c>
      <x:c r="J166" s="6" t="n">
        <x:v>7</x:v>
      </x:c>
      <x:c r="K166" s="6" t="n">
        <x:v>4</x:v>
      </x:c>
      <x:c r="L166" s="6" t="str">
        <x:v>近12个月</x:v>
      </x:c>
      <x:c r="M166" s="6" t="str">
        <x:v>2026-09-04</x:v>
      </x:c>
      <x:c r="N166" s="6" t="str">
        <x:v>106129579397</x:v>
      </x:c>
      <x:c r="O166" s="6" t="str">
        <x:v>https://cd.lianjia.com/ershoufang/106129579397.html</x:v>
      </x:c>
      <x:c r="P166" s="8" t="n">
        <x:f>1-I166/E166</x:f>
        <x:v>0.09564373259052905</x:v>
      </x:c>
    </x:row>
    <x:row r="167" ht="22" customHeight="1">
      <x:c r="A167" s="6" t="str">
        <x:v>川音</x:v>
      </x:c>
      <x:c r="B167" s="6" t="str">
        <x:v>林荫嘉园</x:v>
      </x:c>
      <x:c r="C167" s="6" t="str">
        <x:v>1室1厅</x:v>
      </x:c>
      <x:c r="D167" s="6" t="n">
        <x:v>50.13</x:v>
      </x:c>
      <x:c r="E167" s="9" t="n">
        <x:v>74.7</x:v>
      </x:c>
      <x:c r="F167" s="6" t="n">
        <x:v>14901.25673249551</x:v>
      </x:c>
      <x:c r="G167" s="6" t="n">
        <x:v>14373.5</x:v>
      </x:c>
      <x:c r="H167" s="8" t="n">
        <x:f>F167/G167-1</x:f>
        <x:v>0.03671734320071729</x:v>
      </x:c>
      <x:c r="I167" s="9" t="n">
        <x:f>G167*D167/10000</x:f>
        <x:v>72.0543555</x:v>
      </x:c>
      <x:c r="J167" s="6" t="n">
        <x:v>2</x:v>
      </x:c>
      <x:c r="K167" s="6" t="n">
        <x:v>0</x:v>
      </x:c>
      <x:c r="L167" s="6" t="str">
        <x:v>超过12个月</x:v>
      </x:c>
      <x:c r="M167" s="6" t="str">
        <x:v>2025-09-08</x:v>
      </x:c>
      <x:c r="N167" s="6" t="str">
        <x:v>106128884643</x:v>
      </x:c>
      <x:c r="O167" s="6" t="str">
        <x:v>https://cd.lianjia.com/ershoufang/106128884643.html</x:v>
      </x:c>
      <x:c r="P167" s="8" t="n">
        <x:f>1-I167/E167</x:f>
        <x:v>0.03541692771084337</x:v>
      </x:c>
    </x:row>
    <x:row r="168" ht="22" customHeight="1">
      <x:c r="A168" s="6" t="str">
        <x:v>棕北</x:v>
      </x:c>
      <x:c r="B168" s="6" t="str">
        <x:v>棕北国际</x:v>
      </x:c>
      <x:c r="C168" s="6" t="str">
        <x:v>1室1厅</x:v>
      </x:c>
      <x:c r="D168" s="6" t="n">
        <x:v>55.67</x:v>
      </x:c>
      <x:c r="E168" s="9" t="n">
        <x:v>99</x:v>
      </x:c>
      <x:c r="F168" s="6" t="n">
        <x:v>17783.366265493085</x:v>
      </x:c>
      <x:c r="G168" s="6" t="n">
        <x:v>13588</x:v>
      </x:c>
      <x:c r="H168" s="8" t="n">
        <x:f>F168/G168-1</x:f>
        <x:v>0.30875524473749527</x:v>
      </x:c>
      <x:c r="I168" s="9" t="n">
        <x:f>G168*D168/10000</x:f>
        <x:v>75.64439600000001</x:v>
      </x:c>
      <x:c r="J168" s="6" t="n">
        <x:v>3</x:v>
      </x:c>
      <x:c r="K168" s="6" t="n">
        <x:v>1</x:v>
      </x:c>
      <x:c r="L168" s="6" t="str">
        <x:v>近12个月</x:v>
      </x:c>
      <x:c r="M168" s="6" t="str">
        <x:v>2025-11-30</x:v>
      </x:c>
      <x:c r="N168" s="6" t="str">
        <x:v>106120421572</x:v>
      </x:c>
      <x:c r="O168" s="6" t="str">
        <x:v>https://cd.lianjia.com/ershoufang/106120421572.html</x:v>
      </x:c>
      <x:c r="P168" s="8" t="n">
        <x:f>1-I168/E168</x:f>
        <x:v>0.23591519191919175</x:v>
      </x:c>
    </x:row>
    <x:row r="169" ht="22" customHeight="1">
      <x:c r="A169" s="6" t="str">
        <x:v>棕北</x:v>
      </x:c>
      <x:c r="B169" s="6" t="str">
        <x:v>新棕北</x:v>
      </x:c>
      <x:c r="C169" s="6" t="str">
        <x:v>1室0厅</x:v>
      </x:c>
      <x:c r="D169" s="6" t="n">
        <x:v>49.7</x:v>
      </x:c>
      <x:c r="E169" s="9" t="n">
        <x:v>58</x:v>
      </x:c>
      <x:c r="F169" s="6" t="n">
        <x:v>11670.020120724346</x:v>
      </x:c>
      <x:c r="G169" s="6"/>
      <x:c r="H169" s="8"/>
      <x:c r="I169" s="9"/>
      <x:c r="J169" s="6" t="n">
        <x:v>0</x:v>
      </x:c>
      <x:c r="K169" s="6" t="n">
        <x:v>0</x:v>
      </x:c>
      <x:c r="L169" s="6" t="str">
        <x:v>无可比</x:v>
      </x:c>
      <x:c r="M169" s="6" t="str"/>
      <x:c r="N169" s="6" t="str">
        <x:v>106107026741</x:v>
      </x:c>
      <x:c r="O169" s="6" t="str">
        <x:v>https://cd.lianjia.com/ershoufang/106107026741.html</x:v>
      </x:c>
      <x:c r="P169" s="8"/>
    </x:row>
    <x:row r="170" ht="22" customHeight="1">
      <x:c r="A170" s="6" t="str">
        <x:v>棕北</x:v>
      </x:c>
      <x:c r="B170" s="6" t="str">
        <x:v>SOHO沸城</x:v>
      </x:c>
      <x:c r="C170" s="6" t="str">
        <x:v>1室0厅</x:v>
      </x:c>
      <x:c r="D170" s="6" t="n">
        <x:v>36.57</x:v>
      </x:c>
      <x:c r="E170" s="9" t="n">
        <x:v>48</x:v>
      </x:c>
      <x:c r="F170" s="6" t="n">
        <x:v>13125.512715340443</x:v>
      </x:c>
      <x:c r="G170" s="6"/>
      <x:c r="H170" s="8"/>
      <x:c r="I170" s="9"/>
      <x:c r="J170" s="6" t="n">
        <x:v>0</x:v>
      </x:c>
      <x:c r="K170" s="6" t="n">
        <x:v>0</x:v>
      </x:c>
      <x:c r="L170" s="6" t="str">
        <x:v>无可比</x:v>
      </x:c>
      <x:c r="M170" s="6" t="str"/>
      <x:c r="N170" s="6" t="str">
        <x:v>106129229713</x:v>
      </x:c>
      <x:c r="O170" s="6" t="str">
        <x:v>https://cd.lianjia.com/ershoufang/106129229713.html</x:v>
      </x:c>
      <x:c r="P170" s="8"/>
    </x:row>
    <x:row r="171" ht="22" customHeight="1">
      <x:c r="A171" s="6" t="str">
        <x:v>棕北</x:v>
      </x:c>
      <x:c r="B171" s="6" t="str">
        <x:v>棕南公寓</x:v>
      </x:c>
      <x:c r="C171" s="6" t="str">
        <x:v>1室1厅</x:v>
      </x:c>
      <x:c r="D171" s="6" t="n">
        <x:v>41.31</x:v>
      </x:c>
      <x:c r="E171" s="9" t="n">
        <x:v>60</x:v>
      </x:c>
      <x:c r="F171" s="6" t="n">
        <x:v>14524.328249818445</x:v>
      </x:c>
      <x:c r="G171" s="6" t="n">
        <x:v>13944</x:v>
      </x:c>
      <x:c r="H171" s="8" t="n">
        <x:f>F171/G171-1</x:f>
        <x:v>0.04161849181142041</x:v>
      </x:c>
      <x:c r="I171" s="9" t="n">
        <x:f>G171*D171/10000</x:f>
        <x:v>57.602664000000004</x:v>
      </x:c>
      <x:c r="J171" s="6" t="n">
        <x:v>1</x:v>
      </x:c>
      <x:c r="K171" s="6" t="n">
        <x:v>0</x:v>
      </x:c>
      <x:c r="L171" s="6" t="str">
        <x:v>超过12个月</x:v>
      </x:c>
      <x:c r="M171" s="6" t="str">
        <x:v>2024-12-25</x:v>
      </x:c>
      <x:c r="N171" s="6" t="str">
        <x:v>106129663644</x:v>
      </x:c>
      <x:c r="O171" s="6" t="str">
        <x:v>https://cd.lianjia.com/ershoufang/106129663644.html</x:v>
      </x:c>
      <x:c r="P171" s="8" t="n">
        <x:f>1-I171/E171</x:f>
        <x:v>0.03995559999999998</x:v>
      </x:c>
    </x:row>
    <x:row r="172" ht="22" customHeight="1">
      <x:c r="A172" s="6" t="str">
        <x:v>棕北</x:v>
      </x:c>
      <x:c r="B172" s="6" t="str">
        <x:v>棕南公寓</x:v>
      </x:c>
      <x:c r="C172" s="6" t="str">
        <x:v>1室1厅</x:v>
      </x:c>
      <x:c r="D172" s="6" t="n">
        <x:v>41.31</x:v>
      </x:c>
      <x:c r="E172" s="9" t="n">
        <x:v>60</x:v>
      </x:c>
      <x:c r="F172" s="6" t="n">
        <x:v>14524.328249818445</x:v>
      </x:c>
      <x:c r="G172" s="6" t="n">
        <x:v>13944</x:v>
      </x:c>
      <x:c r="H172" s="8" t="n">
        <x:f>F172/G172-1</x:f>
        <x:v>0.04161849181142041</x:v>
      </x:c>
      <x:c r="I172" s="9" t="n">
        <x:f>G172*D172/10000</x:f>
        <x:v>57.602664000000004</x:v>
      </x:c>
      <x:c r="J172" s="6" t="n">
        <x:v>1</x:v>
      </x:c>
      <x:c r="K172" s="6" t="n">
        <x:v>0</x:v>
      </x:c>
      <x:c r="L172" s="6" t="str">
        <x:v>超过12个月</x:v>
      </x:c>
      <x:c r="M172" s="6" t="str">
        <x:v>2024-12-25</x:v>
      </x:c>
      <x:c r="N172" s="6" t="str">
        <x:v>106129663672</x:v>
      </x:c>
      <x:c r="O172" s="6" t="str">
        <x:v>https://cd.lianjia.com/ershoufang/106129663672.html</x:v>
      </x:c>
      <x:c r="P172" s="8" t="n">
        <x:f>1-I172/E172</x:f>
        <x:v>0.03995559999999998</x:v>
      </x:c>
    </x:row>
    <x:row r="173" ht="22" customHeight="1">
      <x:c r="A173" s="6" t="str">
        <x:v>棕北</x:v>
      </x:c>
      <x:c r="B173" s="6" t="str">
        <x:v>花样年华梦想家</x:v>
      </x:c>
      <x:c r="C173" s="6" t="str">
        <x:v>1室0厅</x:v>
      </x:c>
      <x:c r="D173" s="6" t="n">
        <x:v>41.52</x:v>
      </x:c>
      <x:c r="E173" s="9" t="n">
        <x:v>45</x:v>
      </x:c>
      <x:c r="F173" s="6" t="n">
        <x:v>10838.15028901734</x:v>
      </x:c>
      <x:c r="G173" s="6" t="n">
        <x:v>10126.5</x:v>
      </x:c>
      <x:c r="H173" s="8" t="n">
        <x:f>F173/G173-1</x:f>
        <x:v>0.07027603703326313</x:v>
      </x:c>
      <x:c r="I173" s="9" t="n">
        <x:f>G173*D173/10000</x:f>
        <x:v>42.045228</x:v>
      </x:c>
      <x:c r="J173" s="6" t="n">
        <x:v>12</x:v>
      </x:c>
      <x:c r="K173" s="6" t="n">
        <x:v>4</x:v>
      </x:c>
      <x:c r="L173" s="6" t="str">
        <x:v>近12个月</x:v>
      </x:c>
      <x:c r="M173" s="6" t="str">
        <x:v>2026-09-21</x:v>
      </x:c>
      <x:c r="N173" s="6" t="str">
        <x:v>106123235409</x:v>
      </x:c>
      <x:c r="O173" s="6" t="str">
        <x:v>https://cd.lianjia.com/ershoufang/106123235409.html</x:v>
      </x:c>
      <x:c r="P173" s="8" t="n">
        <x:f>1-I173/E173</x:f>
        <x:v>0.06566159999999999</x:v>
      </x:c>
    </x:row>
    <x:row r="174" ht="22" customHeight="1">
      <x:c r="A174" s="6" t="str">
        <x:v>棕北</x:v>
      </x:c>
      <x:c r="B174" s="6" t="str">
        <x:v>花样年华梦想家</x:v>
      </x:c>
      <x:c r="C174" s="6" t="str">
        <x:v>1室1厅</x:v>
      </x:c>
      <x:c r="D174" s="6" t="n">
        <x:v>36.75</x:v>
      </x:c>
      <x:c r="E174" s="9" t="n">
        <x:v>48.6</x:v>
      </x:c>
      <x:c r="F174" s="6" t="n">
        <x:v>13224.489795918367</x:v>
      </x:c>
      <x:c r="G174" s="6" t="n">
        <x:v>10672</x:v>
      </x:c>
      <x:c r="H174" s="8" t="n">
        <x:f>F174/G174-1</x:f>
        <x:v>0.23917633020224582</x:v>
      </x:c>
      <x:c r="I174" s="9" t="n">
        <x:f>G174*D174/10000</x:f>
        <x:v>39.2196</x:v>
      </x:c>
      <x:c r="J174" s="6" t="n">
        <x:v>1</x:v>
      </x:c>
      <x:c r="K174" s="6" t="n">
        <x:v>1</x:v>
      </x:c>
      <x:c r="L174" s="6" t="str">
        <x:v>近12个月</x:v>
      </x:c>
      <x:c r="M174" s="6" t="str">
        <x:v>2025-11-03</x:v>
      </x:c>
      <x:c r="N174" s="6" t="str">
        <x:v>106123739150</x:v>
      </x:c>
      <x:c r="O174" s="6" t="str">
        <x:v>https://cd.lianjia.com/ershoufang/106123739150.html</x:v>
      </x:c>
      <x:c r="P174" s="8" t="n">
        <x:f>1-I174/E174</x:f>
        <x:v>0.19301234567901238</x:v>
      </x:c>
    </x:row>
    <x:row r="175" ht="22" customHeight="1">
      <x:c r="A175" s="6" t="str">
        <x:v>棕北</x:v>
      </x:c>
      <x:c r="B175" s="6" t="str">
        <x:v>花样年华梦想家</x:v>
      </x:c>
      <x:c r="C175" s="6" t="str">
        <x:v>1室1厅</x:v>
      </x:c>
      <x:c r="D175" s="6" t="n">
        <x:v>41.18</x:v>
      </x:c>
      <x:c r="E175" s="9" t="n">
        <x:v>47</x:v>
      </x:c>
      <x:c r="F175" s="6" t="n">
        <x:v>11413.307430791647</x:v>
      </x:c>
      <x:c r="G175" s="6" t="n">
        <x:v>10026</x:v>
      </x:c>
      <x:c r="H175" s="8" t="n">
        <x:f>F175/G175-1</x:f>
        <x:v>0.13837097853497382</x:v>
      </x:c>
      <x:c r="I175" s="9" t="n">
        <x:f>G175*D175/10000</x:f>
        <x:v>41.287068</x:v>
      </x:c>
      <x:c r="J175" s="6" t="n">
        <x:v>4</x:v>
      </x:c>
      <x:c r="K175" s="6" t="n">
        <x:v>2</x:v>
      </x:c>
      <x:c r="L175" s="6" t="str">
        <x:v>近12个月</x:v>
      </x:c>
      <x:c r="M175" s="6" t="str">
        <x:v>2026-08-22</x:v>
      </x:c>
      <x:c r="N175" s="6" t="str">
        <x:v>106125979905</x:v>
      </x:c>
      <x:c r="O175" s="6" t="str">
        <x:v>https://cd.lianjia.com/ershoufang/106125979905.html</x:v>
      </x:c>
      <x:c r="P175" s="8" t="n">
        <x:f>1-I175/E175</x:f>
        <x:v>0.12155174468085106</x:v>
      </x:c>
    </x:row>
    <x:row r="176" ht="22" customHeight="1">
      <x:c r="A176" s="6" t="str">
        <x:v>棕北</x:v>
      </x:c>
      <x:c r="B176" s="6" t="str">
        <x:v>花样年华梦想家</x:v>
      </x:c>
      <x:c r="C176" s="6" t="str">
        <x:v>1室0厅</x:v>
      </x:c>
      <x:c r="D176" s="6" t="n">
        <x:v>42.71</x:v>
      </x:c>
      <x:c r="E176" s="9" t="n">
        <x:v>45</x:v>
      </x:c>
      <x:c r="F176" s="6" t="n">
        <x:v>10536.174198080074</x:v>
      </x:c>
      <x:c r="G176" s="6" t="n">
        <x:v>10126.5</x:v>
      </x:c>
      <x:c r="H176" s="8" t="n">
        <x:f>F176/G176-1</x:f>
        <x:v>0.04045565576261034</x:v>
      </x:c>
      <x:c r="I176" s="9" t="n">
        <x:f>G176*D176/10000</x:f>
        <x:v>43.2502815</x:v>
      </x:c>
      <x:c r="J176" s="6" t="n">
        <x:v>12</x:v>
      </x:c>
      <x:c r="K176" s="6" t="n">
        <x:v>4</x:v>
      </x:c>
      <x:c r="L176" s="6" t="str">
        <x:v>近12个月</x:v>
      </x:c>
      <x:c r="M176" s="6" t="str">
        <x:v>2026-09-21</x:v>
      </x:c>
      <x:c r="N176" s="6" t="str">
        <x:v>106123407350</x:v>
      </x:c>
      <x:c r="O176" s="6" t="str">
        <x:v>https://cd.lianjia.com/ershoufang/106123407350.html</x:v>
      </x:c>
      <x:c r="P176" s="8" t="n">
        <x:f>1-I176/E176</x:f>
        <x:v>0.038882633333333305</x:v>
      </x:c>
    </x:row>
    <x:row r="177" ht="22" customHeight="1">
      <x:c r="A177" s="6" t="str">
        <x:v>棕北</x:v>
      </x:c>
      <x:c r="B177" s="6" t="str">
        <x:v>花样年华梦想家</x:v>
      </x:c>
      <x:c r="C177" s="6" t="str">
        <x:v>1室0厅</x:v>
      </x:c>
      <x:c r="D177" s="6" t="n">
        <x:v>42.71</x:v>
      </x:c>
      <x:c r="E177" s="9" t="n">
        <x:v>50</x:v>
      </x:c>
      <x:c r="F177" s="6" t="n">
        <x:v>11706.860220088973</x:v>
      </x:c>
      <x:c r="G177" s="6" t="n">
        <x:v>10126.5</x:v>
      </x:c>
      <x:c r="H177" s="8" t="n">
        <x:f>F177/G177-1</x:f>
        <x:v>0.1560618397362339</x:v>
      </x:c>
      <x:c r="I177" s="9" t="n">
        <x:f>G177*D177/10000</x:f>
        <x:v>43.2502815</x:v>
      </x:c>
      <x:c r="J177" s="6" t="n">
        <x:v>12</x:v>
      </x:c>
      <x:c r="K177" s="6" t="n">
        <x:v>4</x:v>
      </x:c>
      <x:c r="L177" s="6" t="str">
        <x:v>近12个月</x:v>
      </x:c>
      <x:c r="M177" s="6" t="str">
        <x:v>2026-09-21</x:v>
      </x:c>
      <x:c r="N177" s="6" t="str">
        <x:v>106124619755</x:v>
      </x:c>
      <x:c r="O177" s="6" t="str">
        <x:v>https://cd.lianjia.com/ershoufang/106124619755.html</x:v>
      </x:c>
      <x:c r="P177" s="8" t="n">
        <x:f>1-I177/E177</x:f>
        <x:v>0.13499437000000003</x:v>
      </x:c>
    </x:row>
    <x:row r="178" ht="22" customHeight="1">
      <x:c r="A178" s="6" t="str">
        <x:v>棕北</x:v>
      </x:c>
      <x:c r="B178" s="6" t="str">
        <x:v>花样年华梦想家</x:v>
      </x:c>
      <x:c r="C178" s="6" t="str">
        <x:v>1室0厅</x:v>
      </x:c>
      <x:c r="D178" s="6" t="n">
        <x:v>42.71</x:v>
      </x:c>
      <x:c r="E178" s="9" t="n">
        <x:v>45.5</x:v>
      </x:c>
      <x:c r="F178" s="6" t="n">
        <x:v>10653.242800280965</x:v>
      </x:c>
      <x:c r="G178" s="6" t="n">
        <x:v>10126.5</x:v>
      </x:c>
      <x:c r="H178" s="8" t="n">
        <x:f>F178/G178-1</x:f>
        <x:v>0.052016274159972786</x:v>
      </x:c>
      <x:c r="I178" s="9" t="n">
        <x:f>G178*D178/10000</x:f>
        <x:v>43.2502815</x:v>
      </x:c>
      <x:c r="J178" s="6" t="n">
        <x:v>12</x:v>
      </x:c>
      <x:c r="K178" s="6" t="n">
        <x:v>4</x:v>
      </x:c>
      <x:c r="L178" s="6" t="str">
        <x:v>近12个月</x:v>
      </x:c>
      <x:c r="M178" s="6" t="str">
        <x:v>2026-09-21</x:v>
      </x:c>
      <x:c r="N178" s="6" t="str">
        <x:v>106126702077</x:v>
      </x:c>
      <x:c r="O178" s="6" t="str">
        <x:v>https://cd.lianjia.com/ershoufang/106126702077.html</x:v>
      </x:c>
      <x:c r="P178" s="8" t="n">
        <x:f>1-I178/E178</x:f>
        <x:v>0.04944436263736263</x:v>
      </x:c>
    </x:row>
    <x:row r="179" ht="22" customHeight="1">
      <x:c r="A179" s="6" t="str">
        <x:v>棕北</x:v>
      </x:c>
      <x:c r="B179" s="6" t="str">
        <x:v>花样年华梦想家</x:v>
      </x:c>
      <x:c r="C179" s="6" t="str">
        <x:v>1室0厅</x:v>
      </x:c>
      <x:c r="D179" s="6" t="n">
        <x:v>36.75</x:v>
      </x:c>
      <x:c r="E179" s="9" t="n">
        <x:v>44</x:v>
      </x:c>
      <x:c r="F179" s="6" t="n">
        <x:v>11972.78911564626</x:v>
      </x:c>
      <x:c r="G179" s="6" t="n">
        <x:v>11021</x:v>
      </x:c>
      <x:c r="H179" s="8" t="n">
        <x:f>F179/G179-1</x:f>
        <x:v>0.08636141145506393</x:v>
      </x:c>
      <x:c r="I179" s="9" t="n">
        <x:f>G179*D179/10000</x:f>
        <x:v>40.502175</x:v>
      </x:c>
      <x:c r="J179" s="6" t="n">
        <x:v>5</x:v>
      </x:c>
      <x:c r="K179" s="6" t="n">
        <x:v>0</x:v>
      </x:c>
      <x:c r="L179" s="6" t="str">
        <x:v>超过12个月</x:v>
      </x:c>
      <x:c r="M179" s="6" t="str">
        <x:v>2025-09-30</x:v>
      </x:c>
      <x:c r="N179" s="6" t="str">
        <x:v>106121927747</x:v>
      </x:c>
      <x:c r="O179" s="6" t="str">
        <x:v>https://cd.lianjia.com/ershoufang/106121927747.html</x:v>
      </x:c>
      <x:c r="P179" s="8" t="n">
        <x:f>1-I179/E179</x:f>
        <x:v>0.07949602272727274</x:v>
      </x:c>
    </x:row>
    <x:row r="180" ht="22" customHeight="1">
      <x:c r="A180" s="6" t="str">
        <x:v>棕北</x:v>
      </x:c>
      <x:c r="B180" s="6" t="str">
        <x:v>SOHO沸城</x:v>
      </x:c>
      <x:c r="C180" s="6" t="str">
        <x:v>1室1厅</x:v>
      </x:c>
      <x:c r="D180" s="6" t="n">
        <x:v>36.59</x:v>
      </x:c>
      <x:c r="E180" s="9" t="n">
        <x:v>52</x:v>
      </x:c>
      <x:c r="F180" s="6" t="n">
        <x:v>14211.533205793932</x:v>
      </x:c>
      <x:c r="G180" s="6" t="n">
        <x:v>13453</x:v>
      </x:c>
      <x:c r="H180" s="8" t="n">
        <x:f>F180/G180-1</x:f>
        <x:v>0.056383944532366836</x:v>
      </x:c>
      <x:c r="I180" s="9" t="n">
        <x:f>G180*D180/10000</x:f>
        <x:v>49.224527</x:v>
      </x:c>
      <x:c r="J180" s="6" t="n">
        <x:v>1</x:v>
      </x:c>
      <x:c r="K180" s="6" t="n">
        <x:v>1</x:v>
      </x:c>
      <x:c r="L180" s="6" t="str">
        <x:v>近12个月</x:v>
      </x:c>
      <x:c r="M180" s="6" t="str">
        <x:v>2026-09-14</x:v>
      </x:c>
      <x:c r="N180" s="6" t="str">
        <x:v>106127771870</x:v>
      </x:c>
      <x:c r="O180" s="6" t="str">
        <x:v>https://cd.lianjia.com/ershoufang/106127771870.html</x:v>
      </x:c>
      <x:c r="P180" s="8" t="n">
        <x:f>1-I180/E180</x:f>
        <x:v>0.05337448076923068</x:v>
      </x:c>
    </x:row>
    <x:row r="181" ht="22" customHeight="1">
      <x:c r="A181" s="6" t="str">
        <x:v>棕北</x:v>
      </x:c>
      <x:c r="B181" s="6" t="str">
        <x:v>首航欣程</x:v>
      </x:c>
      <x:c r="C181" s="6" t="str">
        <x:v>1室1厅</x:v>
      </x:c>
      <x:c r="D181" s="6" t="n">
        <x:v>48.58</x:v>
      </x:c>
      <x:c r="E181" s="9" t="n">
        <x:v>95</x:v>
      </x:c>
      <x:c r="F181" s="6" t="n">
        <x:v>19555.37258130918</x:v>
      </x:c>
      <x:c r="G181" s="6" t="n">
        <x:v>15954</x:v>
      </x:c>
      <x:c r="H181" s="8" t="n">
        <x:f>F181/G181-1</x:f>
        <x:v>0.22573477380651763</x:v>
      </x:c>
      <x:c r="I181" s="9" t="n">
        <x:f>G181*D181/10000</x:f>
        <x:v>77.504532</x:v>
      </x:c>
      <x:c r="J181" s="6" t="n">
        <x:v>2</x:v>
      </x:c>
      <x:c r="K181" s="6" t="n">
        <x:v>1</x:v>
      </x:c>
      <x:c r="L181" s="6" t="str">
        <x:v>近12个月</x:v>
      </x:c>
      <x:c r="M181" s="6" t="str">
        <x:v>2025-11-24</x:v>
      </x:c>
      <x:c r="N181" s="6" t="str">
        <x:v>106118636598</x:v>
      </x:c>
      <x:c r="O181" s="6" t="str">
        <x:v>https://cd.lianjia.com/ershoufang/106118636598.html</x:v>
      </x:c>
      <x:c r="P181" s="8" t="n">
        <x:f>1-I181/E181</x:f>
        <x:v>0.1841628210526316</x:v>
      </x:c>
    </x:row>
    <x:row r="182" ht="22" customHeight="1">
      <x:c r="A182" s="6" t="str">
        <x:v>棕北</x:v>
      </x:c>
      <x:c r="B182" s="6" t="str">
        <x:v>棕北国际</x:v>
      </x:c>
      <x:c r="C182" s="6" t="str">
        <x:v>1室0厅</x:v>
      </x:c>
      <x:c r="D182" s="6" t="n">
        <x:v>40.69</x:v>
      </x:c>
      <x:c r="E182" s="9" t="n">
        <x:v>62</x:v>
      </x:c>
      <x:c r="F182" s="6" t="n">
        <x:v>15237.159007127058</x:v>
      </x:c>
      <x:c r="G182" s="6" t="n">
        <x:v>14451</x:v>
      </x:c>
      <x:c r="H182" s="8" t="n">
        <x:f>F182/G182-1</x:f>
        <x:v>0.05440170279752676</x:v>
      </x:c>
      <x:c r="I182" s="9" t="n">
        <x:f>G182*D182/10000</x:f>
        <x:v>58.80111899999999</x:v>
      </x:c>
      <x:c r="J182" s="6" t="n">
        <x:v>5</x:v>
      </x:c>
      <x:c r="K182" s="6" t="n">
        <x:v>1</x:v>
      </x:c>
      <x:c r="L182" s="6" t="str">
        <x:v>近12个月</x:v>
      </x:c>
      <x:c r="M182" s="6" t="str">
        <x:v>2025-12-08</x:v>
      </x:c>
      <x:c r="N182" s="6" t="str">
        <x:v>106123689320</x:v>
      </x:c>
      <x:c r="O182" s="6" t="str">
        <x:v>https://cd.lianjia.com/ershoufang/106123689320.html</x:v>
      </x:c>
      <x:c r="P182" s="8" t="n">
        <x:f>1-I182/E182</x:f>
        <x:v>0.05159485483870985</x:v>
      </x:c>
    </x:row>
    <x:row r="183" ht="22" customHeight="1">
      <x:c r="A183" s="6" t="str">
        <x:v>棕北</x:v>
      </x:c>
      <x:c r="B183" s="6" t="str">
        <x:v>棕北国际</x:v>
      </x:c>
      <x:c r="C183" s="6" t="str">
        <x:v>1室0厅</x:v>
      </x:c>
      <x:c r="D183" s="6" t="n">
        <x:v>36.24</x:v>
      </x:c>
      <x:c r="E183" s="9" t="n">
        <x:v>63</x:v>
      </x:c>
      <x:c r="F183" s="6" t="n">
        <x:v>17384.1059602649</x:v>
      </x:c>
      <x:c r="G183" s="6" t="n">
        <x:v>14451</x:v>
      </x:c>
      <x:c r="H183" s="8" t="n">
        <x:f>F183/G183-1</x:f>
        <x:v>0.20296906513493185</x:v>
      </x:c>
      <x:c r="I183" s="9" t="n">
        <x:f>G183*D183/10000</x:f>
        <x:v>52.37042400000001</x:v>
      </x:c>
      <x:c r="J183" s="6" t="n">
        <x:v>5</x:v>
      </x:c>
      <x:c r="K183" s="6" t="n">
        <x:v>1</x:v>
      </x:c>
      <x:c r="L183" s="6" t="str">
        <x:v>近12个月</x:v>
      </x:c>
      <x:c r="M183" s="6" t="str">
        <x:v>2025-12-08</x:v>
      </x:c>
      <x:c r="N183" s="6" t="str">
        <x:v>106127690637</x:v>
      </x:c>
      <x:c r="O183" s="6" t="str">
        <x:v>https://cd.lianjia.com/ershoufang/106127690637.html</x:v>
      </x:c>
      <x:c r="P183" s="8" t="n">
        <x:f>1-I183/E183</x:f>
        <x:v>0.1687234285714284</x:v>
      </x:c>
    </x:row>
    <x:row r="184" ht="22" customHeight="1">
      <x:c r="A184" s="6" t="str">
        <x:v>合江亭</x:v>
      </x:c>
      <x:c r="B184" s="6" t="str">
        <x:v>流星花园</x:v>
      </x:c>
      <x:c r="C184" s="6" t="str">
        <x:v>1室0厅</x:v>
      </x:c>
      <x:c r="D184" s="6" t="n">
        <x:v>39.67</x:v>
      </x:c>
      <x:c r="E184" s="9" t="n">
        <x:v>70</x:v>
      </x:c>
      <x:c r="F184" s="6" t="n">
        <x:v>17645.576002016638</x:v>
      </x:c>
      <x:c r="G184" s="6" t="n">
        <x:v>17709</x:v>
      </x:c>
      <x:c r="H184" s="8" t="n">
        <x:f>F184/G184-1</x:f>
        <x:v>-0.00358145564308332</x:v>
      </x:c>
      <x:c r="I184" s="9" t="n">
        <x:f>G184*D184/10000</x:f>
        <x:v>70.251603</x:v>
      </x:c>
      <x:c r="J184" s="6" t="n">
        <x:v>19</x:v>
      </x:c>
      <x:c r="K184" s="6" t="n">
        <x:v>6</x:v>
      </x:c>
      <x:c r="L184" s="6" t="str">
        <x:v>近12个月</x:v>
      </x:c>
      <x:c r="M184" s="6" t="str">
        <x:v>2026-07-22</x:v>
      </x:c>
      <x:c r="N184" s="6" t="str">
        <x:v>106128383291</x:v>
      </x:c>
      <x:c r="O184" s="6" t="str">
        <x:v>https://cd.lianjia.com/ershoufang/106128383291.html</x:v>
      </x:c>
      <x:c r="P184" s="8" t="n">
        <x:f>1-I184/E184</x:f>
        <x:v>-0.0035943285714286066</x:v>
      </x:c>
    </x:row>
    <x:row r="185" ht="22" customHeight="1">
      <x:c r="A185" s="6" t="str">
        <x:v>合江亭</x:v>
      </x:c>
      <x:c r="B185" s="6" t="str">
        <x:v>流星花园</x:v>
      </x:c>
      <x:c r="C185" s="6" t="str">
        <x:v>1室0厅</x:v>
      </x:c>
      <x:c r="D185" s="6" t="n">
        <x:v>39.67</x:v>
      </x:c>
      <x:c r="E185" s="9" t="n">
        <x:v>75</x:v>
      </x:c>
      <x:c r="F185" s="6" t="n">
        <x:v>18905.974287874968</x:v>
      </x:c>
      <x:c r="G185" s="6" t="n">
        <x:v>17709</x:v>
      </x:c>
      <x:c r="H185" s="8" t="n">
        <x:f>F185/G185-1</x:f>
        <x:v>0.06759129752526771</x:v>
      </x:c>
      <x:c r="I185" s="9" t="n">
        <x:f>G185*D185/10000</x:f>
        <x:v>70.251603</x:v>
      </x:c>
      <x:c r="J185" s="6" t="n">
        <x:v>19</x:v>
      </x:c>
      <x:c r="K185" s="6" t="n">
        <x:v>6</x:v>
      </x:c>
      <x:c r="L185" s="6" t="str">
        <x:v>近12个月</x:v>
      </x:c>
      <x:c r="M185" s="6" t="str">
        <x:v>2026-07-22</x:v>
      </x:c>
      <x:c r="N185" s="6" t="str">
        <x:v>106125313797</x:v>
      </x:c>
      <x:c r="O185" s="6" t="str">
        <x:v>https://cd.lianjia.com/ershoufang/106125313797.html</x:v>
      </x:c>
      <x:c r="P185" s="8" t="n">
        <x:f>1-I185/E185</x:f>
        <x:v>0.06331195999999994</x:v>
      </x:c>
    </x:row>
    <x:row r="186" ht="22" customHeight="1">
      <x:c r="A186" s="6" t="str">
        <x:v>合江亭</x:v>
      </x:c>
      <x:c r="B186" s="6" t="str">
        <x:v>流星花园</x:v>
      </x:c>
      <x:c r="C186" s="6" t="str">
        <x:v>1室1厅</x:v>
      </x:c>
      <x:c r="D186" s="6" t="n">
        <x:v>39.42</x:v>
      </x:c>
      <x:c r="E186" s="9" t="n">
        <x:v>69</x:v>
      </x:c>
      <x:c r="F186" s="6" t="n">
        <x:v>17503.80517503805</x:v>
      </x:c>
      <x:c r="G186" s="6" t="n">
        <x:v>17525</x:v>
      </x:c>
      <x:c r="H186" s="8" t="n">
        <x:f>F186/G186-1</x:f>
        <x:v>-0.0012094051333494393</x:v>
      </x:c>
      <x:c r="I186" s="9" t="n">
        <x:f>G186*D186/10000</x:f>
        <x:v>69.08355</x:v>
      </x:c>
      <x:c r="J186" s="6" t="n">
        <x:v>1</x:v>
      </x:c>
      <x:c r="K186" s="6" t="n">
        <x:v>1</x:v>
      </x:c>
      <x:c r="L186" s="6" t="str">
        <x:v>近12个月</x:v>
      </x:c>
      <x:c r="M186" s="6" t="str">
        <x:v>2025-11-14</x:v>
      </x:c>
      <x:c r="N186" s="6" t="str">
        <x:v>106124944064</x:v>
      </x:c>
      <x:c r="O186" s="6" t="str">
        <x:v>https://cd.lianjia.com/ershoufang/106124944064.html</x:v>
      </x:c>
      <x:c r="P186" s="8" t="n">
        <x:f>1-I186/E186</x:f>
        <x:v>-0.0012108695652173207</x:v>
      </x:c>
    </x:row>
    <x:row r="187" ht="22" customHeight="1">
      <x:c r="A187" s="6" t="str">
        <x:v>合江亭</x:v>
      </x:c>
      <x:c r="B187" s="6" t="str">
        <x:v>流星花园</x:v>
      </x:c>
      <x:c r="C187" s="6" t="str">
        <x:v>1室0厅</x:v>
      </x:c>
      <x:c r="D187" s="6" t="n">
        <x:v>39.67</x:v>
      </x:c>
      <x:c r="E187" s="9" t="n">
        <x:v>78</x:v>
      </x:c>
      <x:c r="F187" s="6" t="n">
        <x:v>19662.213259389966</x:v>
      </x:c>
      <x:c r="G187" s="6" t="n">
        <x:v>17709</x:v>
      </x:c>
      <x:c r="H187" s="8" t="n">
        <x:f>F187/G187-1</x:f>
        <x:v>0.1102949494262786</x:v>
      </x:c>
      <x:c r="I187" s="9" t="n">
        <x:f>G187*D187/10000</x:f>
        <x:v>70.251603</x:v>
      </x:c>
      <x:c r="J187" s="6" t="n">
        <x:v>19</x:v>
      </x:c>
      <x:c r="K187" s="6" t="n">
        <x:v>6</x:v>
      </x:c>
      <x:c r="L187" s="6" t="str">
        <x:v>近12个月</x:v>
      </x:c>
      <x:c r="M187" s="6" t="str">
        <x:v>2026-07-22</x:v>
      </x:c>
      <x:c r="N187" s="6" t="str">
        <x:v>106128560983</x:v>
      </x:c>
      <x:c r="O187" s="6" t="str">
        <x:v>https://cd.lianjia.com/ershoufang/106128560983.html</x:v>
      </x:c>
      <x:c r="P187" s="8" t="n">
        <x:f>1-I187/E187</x:f>
        <x:v>0.09933842307692309</x:v>
      </x:c>
    </x:row>
    <x:row r="188" ht="22" customHeight="1">
      <x:c r="A188" s="6" t="str">
        <x:v>合江亭</x:v>
      </x:c>
      <x:c r="B188" s="6" t="str">
        <x:v>蓝光时代华章</x:v>
      </x:c>
      <x:c r="C188" s="6" t="str">
        <x:v>1室0厅</x:v>
      </x:c>
      <x:c r="D188" s="6" t="n">
        <x:v>37.94</x:v>
      </x:c>
      <x:c r="E188" s="9" t="n">
        <x:v>82.8</x:v>
      </x:c>
      <x:c r="F188" s="6" t="n">
        <x:v>21823.932525039538</x:v>
      </x:c>
      <x:c r="G188" s="6" t="n">
        <x:v>24572</x:v>
      </x:c>
      <x:c r="H188" s="8" t="n">
        <x:f>F188/G188-1</x:f>
        <x:v>-0.11183735450758836</x:v>
      </x:c>
      <x:c r="I188" s="9" t="n">
        <x:f>G188*D188/10000</x:f>
        <x:v>93.22616799999999</x:v>
      </x:c>
      <x:c r="J188" s="6" t="n">
        <x:v>16</x:v>
      </x:c>
      <x:c r="K188" s="6" t="n">
        <x:v>4</x:v>
      </x:c>
      <x:c r="L188" s="6" t="str">
        <x:v>近12个月</x:v>
      </x:c>
      <x:c r="M188" s="6" t="str">
        <x:v>2026-08-16</x:v>
      </x:c>
      <x:c r="N188" s="6" t="str">
        <x:v>106126034712</x:v>
      </x:c>
      <x:c r="O188" s="6" t="str">
        <x:v>https://cd.lianjia.com/ershoufang/106126034712.html</x:v>
      </x:c>
      <x:c r="P188" s="8" t="n">
        <x:f>1-I188/E188</x:f>
        <x:v>-0.1259199033816425</x:v>
      </x:c>
    </x:row>
    <x:row r="189" ht="22" customHeight="1">
      <x:c r="A189" s="6" t="str">
        <x:v>合江亭</x:v>
      </x:c>
      <x:c r="B189" s="6" t="str">
        <x:v>流星花园</x:v>
      </x:c>
      <x:c r="C189" s="6" t="str">
        <x:v>1室0厅</x:v>
      </x:c>
      <x:c r="D189" s="6" t="n">
        <x:v>39.67</x:v>
      </x:c>
      <x:c r="E189" s="9" t="n">
        <x:v>68</x:v>
      </x:c>
      <x:c r="F189" s="6" t="n">
        <x:v>17141.416687673303</x:v>
      </x:c>
      <x:c r="G189" s="6" t="n">
        <x:v>17709</x:v>
      </x:c>
      <x:c r="H189" s="8" t="n">
        <x:f>F189/G189-1</x:f>
        <x:v>-0.03205055691042391</x:v>
      </x:c>
      <x:c r="I189" s="9" t="n">
        <x:f>G189*D189/10000</x:f>
        <x:v>70.251603</x:v>
      </x:c>
      <x:c r="J189" s="6" t="n">
        <x:v>19</x:v>
      </x:c>
      <x:c r="K189" s="6" t="n">
        <x:v>6</x:v>
      </x:c>
      <x:c r="L189" s="6" t="str">
        <x:v>近12个月</x:v>
      </x:c>
      <x:c r="M189" s="6" t="str">
        <x:v>2026-07-22</x:v>
      </x:c>
      <x:c r="N189" s="6" t="str">
        <x:v>106127085366</x:v>
      </x:c>
      <x:c r="O189" s="6" t="str">
        <x:v>https://cd.lianjia.com/ershoufang/106127085366.html</x:v>
      </x:c>
      <x:c r="P189" s="8" t="n">
        <x:f>1-I189/E189</x:f>
        <x:v>-0.033111808823529376</x:v>
      </x:c>
    </x:row>
    <x:row r="190" ht="22" customHeight="1">
      <x:c r="A190" s="6" t="str">
        <x:v>合江亭</x:v>
      </x:c>
      <x:c r="B190" s="6" t="str">
        <x:v>锦江印象</x:v>
      </x:c>
      <x:c r="C190" s="6" t="str">
        <x:v>1室0厅</x:v>
      </x:c>
      <x:c r="D190" s="6" t="n">
        <x:v>36.02</x:v>
      </x:c>
      <x:c r="E190" s="9" t="n">
        <x:v>82</x:v>
      </x:c>
      <x:c r="F190" s="6" t="n">
        <x:v>22765.13048306496</x:v>
      </x:c>
      <x:c r="G190" s="6" t="n">
        <x:v>27208</x:v>
      </x:c>
      <x:c r="H190" s="8" t="n">
        <x:f>F190/G190-1</x:f>
        <x:v>-0.16329276378032342</x:v>
      </x:c>
      <x:c r="I190" s="9" t="n">
        <x:f>G190*D190/10000</x:f>
        <x:v>98.00321600000001</x:v>
      </x:c>
      <x:c r="J190" s="6" t="n">
        <x:v>1</x:v>
      </x:c>
      <x:c r="K190" s="6" t="n">
        <x:v>0</x:v>
      </x:c>
      <x:c r="L190" s="6" t="str">
        <x:v>超过12个月</x:v>
      </x:c>
      <x:c r="M190" s="6" t="str">
        <x:v>2025-02-23</x:v>
      </x:c>
      <x:c r="N190" s="6" t="str">
        <x:v>106128664613</x:v>
      </x:c>
      <x:c r="O190" s="6" t="str">
        <x:v>https://cd.lianjia.com/ershoufang/106128664613.html</x:v>
      </x:c>
      <x:c r="P190" s="8" t="n">
        <x:f>1-I190/E190</x:f>
        <x:v>-0.19516117073170736</x:v>
      </x:c>
    </x:row>
    <x:row r="191" ht="22" customHeight="1">
      <x:c r="A191" s="6" t="str">
        <x:v>合江亭</x:v>
      </x:c>
      <x:c r="B191" s="6" t="str">
        <x:v>流星花园</x:v>
      </x:c>
      <x:c r="C191" s="6" t="str">
        <x:v>1室0厅</x:v>
      </x:c>
      <x:c r="D191" s="6" t="n">
        <x:v>39.67</x:v>
      </x:c>
      <x:c r="E191" s="9" t="n">
        <x:v>70</x:v>
      </x:c>
      <x:c r="F191" s="6" t="n">
        <x:v>17645.576002016638</x:v>
      </x:c>
      <x:c r="G191" s="6" t="n">
        <x:v>17709</x:v>
      </x:c>
      <x:c r="H191" s="8" t="n">
        <x:f>F191/G191-1</x:f>
        <x:v>-0.00358145564308332</x:v>
      </x:c>
      <x:c r="I191" s="9" t="n">
        <x:f>G191*D191/10000</x:f>
        <x:v>70.251603</x:v>
      </x:c>
      <x:c r="J191" s="6" t="n">
        <x:v>19</x:v>
      </x:c>
      <x:c r="K191" s="6" t="n">
        <x:v>6</x:v>
      </x:c>
      <x:c r="L191" s="6" t="str">
        <x:v>近12个月</x:v>
      </x:c>
      <x:c r="M191" s="6" t="str">
        <x:v>2026-07-22</x:v>
      </x:c>
      <x:c r="N191" s="6" t="str">
        <x:v>106121935834</x:v>
      </x:c>
      <x:c r="O191" s="6" t="str">
        <x:v>https://cd.lianjia.com/ershoufang/106121935834.html</x:v>
      </x:c>
      <x:c r="P191" s="8" t="n">
        <x:f>1-I191/E191</x:f>
        <x:v>-0.0035943285714286066</x:v>
      </x:c>
    </x:row>
    <x:row r="192" ht="22" customHeight="1">
      <x:c r="A192" s="6" t="str">
        <x:v>合江亭</x:v>
      </x:c>
      <x:c r="B192" s="6" t="str">
        <x:v>流星花园</x:v>
      </x:c>
      <x:c r="C192" s="6" t="str">
        <x:v>1室0厅</x:v>
      </x:c>
      <x:c r="D192" s="6" t="n">
        <x:v>39.67</x:v>
      </x:c>
      <x:c r="E192" s="9" t="n">
        <x:v>74</x:v>
      </x:c>
      <x:c r="F192" s="6" t="n">
        <x:v>18653.8946307033</x:v>
      </x:c>
      <x:c r="G192" s="6" t="n">
        <x:v>17709</x:v>
      </x:c>
      <x:c r="H192" s="8" t="n">
        <x:f>F192/G192-1</x:f>
        <x:v>0.05335674689159742</x:v>
      </x:c>
      <x:c r="I192" s="9" t="n">
        <x:f>G192*D192/10000</x:f>
        <x:v>70.251603</x:v>
      </x:c>
      <x:c r="J192" s="6" t="n">
        <x:v>19</x:v>
      </x:c>
      <x:c r="K192" s="6" t="n">
        <x:v>6</x:v>
      </x:c>
      <x:c r="L192" s="6" t="str">
        <x:v>近12个月</x:v>
      </x:c>
      <x:c r="M192" s="6" t="str">
        <x:v>2026-07-22</x:v>
      </x:c>
      <x:c r="N192" s="6" t="str">
        <x:v>106129607704</x:v>
      </x:c>
      <x:c r="O192" s="6" t="str">
        <x:v>https://cd.lianjia.com/ershoufang/106129607704.html</x:v>
      </x:c>
      <x:c r="P192" s="8" t="n">
        <x:f>1-I192/E192</x:f>
        <x:v>0.05065401351351351</x:v>
      </x:c>
    </x:row>
    <x:row r="193" ht="22" customHeight="1">
      <x:c r="A193" s="6" t="str">
        <x:v>合江亭</x:v>
      </x:c>
      <x:c r="B193" s="6" t="str">
        <x:v>流星花园</x:v>
      </x:c>
      <x:c r="C193" s="6" t="str">
        <x:v>1室0厅</x:v>
      </x:c>
      <x:c r="D193" s="6" t="n">
        <x:v>39.67</x:v>
      </x:c>
      <x:c r="E193" s="9" t="n">
        <x:v>65</x:v>
      </x:c>
      <x:c r="F193" s="6" t="n">
        <x:v>16385.177716158305</x:v>
      </x:c>
      <x:c r="G193" s="6" t="n">
        <x:v>17709</x:v>
      </x:c>
      <x:c r="H193" s="8" t="n">
        <x:f>F193/G193-1</x:f>
        <x:v>-0.07475420881143457</x:v>
      </x:c>
      <x:c r="I193" s="9" t="n">
        <x:f>G193*D193/10000</x:f>
        <x:v>70.251603</x:v>
      </x:c>
      <x:c r="J193" s="6" t="n">
        <x:v>19</x:v>
      </x:c>
      <x:c r="K193" s="6" t="n">
        <x:v>6</x:v>
      </x:c>
      <x:c r="L193" s="6" t="str">
        <x:v>近12个月</x:v>
      </x:c>
      <x:c r="M193" s="6" t="str">
        <x:v>2026-07-22</x:v>
      </x:c>
      <x:c r="N193" s="6" t="str">
        <x:v>106129686965</x:v>
      </x:c>
      <x:c r="O193" s="6" t="str">
        <x:v>https://cd.lianjia.com/ershoufang/106129686965.html</x:v>
      </x:c>
      <x:c r="P193" s="8" t="n">
        <x:f>1-I193/E193</x:f>
        <x:v>-0.0807938923076923</x:v>
      </x:c>
    </x:row>
    <x:row r="194" ht="22" customHeight="1">
      <x:c r="A194" s="6" t="str">
        <x:v>合江亭</x:v>
      </x:c>
      <x:c r="B194" s="6" t="str">
        <x:v>流星花园</x:v>
      </x:c>
      <x:c r="C194" s="6" t="str">
        <x:v>1室0厅</x:v>
      </x:c>
      <x:c r="D194" s="6" t="n">
        <x:v>39.67</x:v>
      </x:c>
      <x:c r="E194" s="9" t="n">
        <x:v>69</x:v>
      </x:c>
      <x:c r="F194" s="6" t="n">
        <x:v>17393.49634484497</x:v>
      </x:c>
      <x:c r="G194" s="6" t="n">
        <x:v>17709</x:v>
      </x:c>
      <x:c r="H194" s="8" t="n">
        <x:f>F194/G194-1</x:f>
        <x:v>-0.017816006276753615</x:v>
      </x:c>
      <x:c r="I194" s="9" t="n">
        <x:f>G194*D194/10000</x:f>
        <x:v>70.251603</x:v>
      </x:c>
      <x:c r="J194" s="6" t="n">
        <x:v>19</x:v>
      </x:c>
      <x:c r="K194" s="6" t="n">
        <x:v>6</x:v>
      </x:c>
      <x:c r="L194" s="6" t="str">
        <x:v>近12个月</x:v>
      </x:c>
      <x:c r="M194" s="6" t="str">
        <x:v>2026-07-22</x:v>
      </x:c>
      <x:c r="N194" s="6" t="str">
        <x:v>106129568583</x:v>
      </x:c>
      <x:c r="O194" s="6" t="str">
        <x:v>https://cd.lianjia.com/ershoufang/106129568583.html</x:v>
      </x:c>
      <x:c r="P194" s="8" t="n">
        <x:f>1-I194/E194</x:f>
        <x:v>-0.018139173913043427</x:v>
      </x:c>
    </x:row>
    <x:row r="195" ht="22" customHeight="1">
      <x:c r="A195" s="6" t="str">
        <x:v>合江亭</x:v>
      </x:c>
      <x:c r="B195" s="6" t="str">
        <x:v>流星花园</x:v>
      </x:c>
      <x:c r="C195" s="6" t="str">
        <x:v>1室0厅</x:v>
      </x:c>
      <x:c r="D195" s="6" t="n">
        <x:v>39.67</x:v>
      </x:c>
      <x:c r="E195" s="9" t="n">
        <x:v>69</x:v>
      </x:c>
      <x:c r="F195" s="6" t="n">
        <x:v>17393.49634484497</x:v>
      </x:c>
      <x:c r="G195" s="6" t="n">
        <x:v>17709</x:v>
      </x:c>
      <x:c r="H195" s="8" t="n">
        <x:f>F195/G195-1</x:f>
        <x:v>-0.017816006276753615</x:v>
      </x:c>
      <x:c r="I195" s="9" t="n">
        <x:f>G195*D195/10000</x:f>
        <x:v>70.251603</x:v>
      </x:c>
      <x:c r="J195" s="6" t="n">
        <x:v>19</x:v>
      </x:c>
      <x:c r="K195" s="6" t="n">
        <x:v>6</x:v>
      </x:c>
      <x:c r="L195" s="6" t="str">
        <x:v>近12个月</x:v>
      </x:c>
      <x:c r="M195" s="6" t="str">
        <x:v>2026-07-22</x:v>
      </x:c>
      <x:c r="N195" s="6" t="str">
        <x:v>106129364642</x:v>
      </x:c>
      <x:c r="O195" s="6" t="str">
        <x:v>https://cd.lianjia.com/ershoufang/106129364642.html</x:v>
      </x:c>
      <x:c r="P195" s="8" t="n">
        <x:f>1-I195/E195</x:f>
        <x:v>-0.018139173913043427</x:v>
      </x:c>
    </x:row>
    <x:row r="196" ht="22" customHeight="1">
      <x:c r="A196" s="6" t="str">
        <x:v>合江亭</x:v>
      </x:c>
      <x:c r="B196" s="6" t="str">
        <x:v>锦上花</x:v>
      </x:c>
      <x:c r="C196" s="6" t="str">
        <x:v>1室1厅</x:v>
      </x:c>
      <x:c r="D196" s="6" t="n">
        <x:v>53.22</x:v>
      </x:c>
      <x:c r="E196" s="9" t="n">
        <x:v>101</x:v>
      </x:c>
      <x:c r="F196" s="6" t="n">
        <x:v>18977.82788425404</x:v>
      </x:c>
      <x:c r="G196" s="6" t="n">
        <x:v>16807.5</x:v>
      </x:c>
      <x:c r="H196" s="8" t="n">
        <x:f>F196/G196-1</x:f>
        <x:v>0.12912853691828285</x:v>
      </x:c>
      <x:c r="I196" s="9" t="n">
        <x:f>G196*D196/10000</x:f>
        <x:v>89.449515</x:v>
      </x:c>
      <x:c r="J196" s="6" t="n">
        <x:v>3</x:v>
      </x:c>
      <x:c r="K196" s="6" t="n">
        <x:v>2</x:v>
      </x:c>
      <x:c r="L196" s="6" t="str">
        <x:v>近12个月</x:v>
      </x:c>
      <x:c r="M196" s="6" t="str">
        <x:v>2026-06-20</x:v>
      </x:c>
      <x:c r="N196" s="6" t="str">
        <x:v>106127700903</x:v>
      </x:c>
      <x:c r="O196" s="6" t="str">
        <x:v>https://cd.lianjia.com/ershoufang/106127700903.html</x:v>
      </x:c>
      <x:c r="P196" s="8" t="n">
        <x:f>1-I196/E196</x:f>
        <x:v>0.11436123762376238</x:v>
      </x:c>
    </x:row>
    <x:row r="197" ht="22" customHeight="1">
      <x:c r="A197" s="6" t="str">
        <x:v>合江亭</x:v>
      </x:c>
      <x:c r="B197" s="6" t="str">
        <x:v>星城银座</x:v>
      </x:c>
      <x:c r="C197" s="6" t="str">
        <x:v>1室1厅</x:v>
      </x:c>
      <x:c r="D197" s="6" t="n">
        <x:v>56.44</x:v>
      </x:c>
      <x:c r="E197" s="9" t="n">
        <x:v>109</x:v>
      </x:c>
      <x:c r="F197" s="6" t="n">
        <x:v>19312.544294826366</x:v>
      </x:c>
      <x:c r="G197" s="6" t="n">
        <x:v>17814</x:v>
      </x:c>
      <x:c r="H197" s="8" t="n">
        <x:f>F197/G197-1</x:f>
        <x:v>0.0841217185823715</x:v>
      </x:c>
      <x:c r="I197" s="9" t="n">
        <x:f>G197*D197/10000</x:f>
        <x:v>100.542216</x:v>
      </x:c>
      <x:c r="J197" s="6" t="n">
        <x:v>5</x:v>
      </x:c>
      <x:c r="K197" s="6" t="n">
        <x:v>2</x:v>
      </x:c>
      <x:c r="L197" s="6" t="str">
        <x:v>近12个月</x:v>
      </x:c>
      <x:c r="M197" s="6" t="str">
        <x:v>2026-04-16</x:v>
      </x:c>
      <x:c r="N197" s="6" t="str">
        <x:v>106123250451</x:v>
      </x:c>
      <x:c r="O197" s="6" t="str">
        <x:v>https://cd.lianjia.com/ershoufang/106123250451.html</x:v>
      </x:c>
      <x:c r="P197" s="8" t="n">
        <x:f>1-I197/E197</x:f>
        <x:v>0.07759434862385328</x:v>
      </x:c>
    </x:row>
    <x:row r="198" ht="22" customHeight="1">
      <x:c r="A198" s="6" t="str">
        <x:v>合江亭</x:v>
      </x:c>
      <x:c r="B198" s="6" t="str">
        <x:v>国际商务大厦</x:v>
      </x:c>
      <x:c r="C198" s="6" t="str">
        <x:v>1室1厅</x:v>
      </x:c>
      <x:c r="D198" s="6" t="n">
        <x:v>58.54</x:v>
      </x:c>
      <x:c r="E198" s="9" t="n">
        <x:v>109</x:v>
      </x:c>
      <x:c r="F198" s="6" t="n">
        <x:v>18619.74718141442</x:v>
      </x:c>
      <x:c r="G198" s="6"/>
      <x:c r="H198" s="8"/>
      <x:c r="I198" s="9"/>
      <x:c r="J198" s="6" t="n">
        <x:v>0</x:v>
      </x:c>
      <x:c r="K198" s="6" t="n">
        <x:v>0</x:v>
      </x:c>
      <x:c r="L198" s="6" t="str">
        <x:v>无可比</x:v>
      </x:c>
      <x:c r="M198" s="6" t="str"/>
      <x:c r="N198" s="6" t="str">
        <x:v>106125252645</x:v>
      </x:c>
      <x:c r="O198" s="6" t="str">
        <x:v>https://cd.lianjia.com/ershoufang/106125252645.html</x:v>
      </x:c>
      <x:c r="P198" s="8"/>
    </x:row>
    <x:row r="199" ht="22" customHeight="1">
      <x:c r="A199" s="6" t="str">
        <x:v>合江亭</x:v>
      </x:c>
      <x:c r="B199" s="6" t="str">
        <x:v>锦上花</x:v>
      </x:c>
      <x:c r="C199" s="6" t="str">
        <x:v>1室1厅</x:v>
      </x:c>
      <x:c r="D199" s="6" t="n">
        <x:v>50.85</x:v>
      </x:c>
      <x:c r="E199" s="9" t="n">
        <x:v>98</x:v>
      </x:c>
      <x:c r="F199" s="6" t="n">
        <x:v>19272.36971484759</x:v>
      </x:c>
      <x:c r="G199" s="6" t="n">
        <x:v>17231</x:v>
      </x:c>
      <x:c r="H199" s="8" t="n">
        <x:f>F199/G199-1</x:f>
        <x:v>0.11847076286040226</x:v>
      </x:c>
      <x:c r="I199" s="9" t="n">
        <x:f>G199*D199/10000</x:f>
        <x:v>87.619635</x:v>
      </x:c>
      <x:c r="J199" s="6" t="n">
        <x:v>4</x:v>
      </x:c>
      <x:c r="K199" s="6" t="n">
        <x:v>3</x:v>
      </x:c>
      <x:c r="L199" s="6" t="str">
        <x:v>近12个月</x:v>
      </x:c>
      <x:c r="M199" s="6" t="str">
        <x:v>2026-06-20</x:v>
      </x:c>
      <x:c r="N199" s="6" t="str">
        <x:v>106127327864</x:v>
      </x:c>
      <x:c r="O199" s="6" t="str">
        <x:v>https://cd.lianjia.com/ershoufang/106127327864.html</x:v>
      </x:c>
      <x:c r="P199" s="8" t="n">
        <x:f>1-I199/E199</x:f>
        <x:v>0.10592209183673462</x:v>
      </x:c>
    </x:row>
    <x:row r="200" ht="22" customHeight="1">
      <x:c r="A200" s="6" t="str">
        <x:v>合江亭</x:v>
      </x:c>
      <x:c r="B200" s="6" t="str">
        <x:v>蓝光郁金香花园广场</x:v>
      </x:c>
      <x:c r="C200" s="6" t="str">
        <x:v>1室1厅</x:v>
      </x:c>
      <x:c r="D200" s="6" t="n">
        <x:v>58.91</x:v>
      </x:c>
      <x:c r="E200" s="9" t="n">
        <x:v>108</x:v>
      </x:c>
      <x:c r="F200" s="6" t="n">
        <x:v>18333.050415888643</x:v>
      </x:c>
      <x:c r="G200" s="6"/>
      <x:c r="H200" s="8"/>
      <x:c r="I200" s="9"/>
      <x:c r="J200" s="6" t="n">
        <x:v>0</x:v>
      </x:c>
      <x:c r="K200" s="6" t="n">
        <x:v>0</x:v>
      </x:c>
      <x:c r="L200" s="6" t="str">
        <x:v>无可比</x:v>
      </x:c>
      <x:c r="M200" s="6" t="str"/>
      <x:c r="N200" s="6" t="str">
        <x:v>106125324803</x:v>
      </x:c>
      <x:c r="O200" s="6" t="str">
        <x:v>https://cd.lianjia.com/ershoufang/106125324803.html</x:v>
      </x:c>
      <x:c r="P200" s="8"/>
    </x:row>
    <x:row r="201" ht="22" customHeight="1">
      <x:c r="A201" s="6" t="str">
        <x:v>合江亭</x:v>
      </x:c>
      <x:c r="B201" s="6" t="str">
        <x:v>国际商务大厦</x:v>
      </x:c>
      <x:c r="C201" s="6" t="str">
        <x:v>1室1厅</x:v>
      </x:c>
      <x:c r="D201" s="6" t="n">
        <x:v>56.15</x:v>
      </x:c>
      <x:c r="E201" s="9" t="n">
        <x:v>108</x:v>
      </x:c>
      <x:c r="F201" s="6" t="n">
        <x:v>19234.19412288513</x:v>
      </x:c>
      <x:c r="G201" s="6"/>
      <x:c r="H201" s="8"/>
      <x:c r="I201" s="9"/>
      <x:c r="J201" s="6" t="n">
        <x:v>0</x:v>
      </x:c>
      <x:c r="K201" s="6" t="n">
        <x:v>0</x:v>
      </x:c>
      <x:c r="L201" s="6" t="str">
        <x:v>无可比</x:v>
      </x:c>
      <x:c r="M201" s="6" t="str"/>
      <x:c r="N201" s="6" t="str">
        <x:v>106125252557</x:v>
      </x:c>
      <x:c r="O201" s="6" t="str">
        <x:v>https://cd.lianjia.com/ershoufang/106125252557.html</x:v>
      </x:c>
      <x:c r="P201" s="8"/>
    </x:row>
    <x:row r="202" ht="22" customHeight="1">
      <x:c r="A202" s="6" t="str">
        <x:v>合江亭</x:v>
      </x:c>
      <x:c r="B202" s="6" t="str">
        <x:v>上东吉座</x:v>
      </x:c>
      <x:c r="C202" s="6" t="str">
        <x:v>1室1厅</x:v>
      </x:c>
      <x:c r="D202" s="6" t="n">
        <x:v>59.66</x:v>
      </x:c>
      <x:c r="E202" s="9" t="n">
        <x:v>109</x:v>
      </x:c>
      <x:c r="F202" s="6" t="n">
        <x:v>18270.197787462286</x:v>
      </x:c>
      <x:c r="G202" s="6"/>
      <x:c r="H202" s="8"/>
      <x:c r="I202" s="9"/>
      <x:c r="J202" s="6" t="n">
        <x:v>0</x:v>
      </x:c>
      <x:c r="K202" s="6" t="n">
        <x:v>0</x:v>
      </x:c>
      <x:c r="L202" s="6" t="str">
        <x:v>无可比</x:v>
      </x:c>
      <x:c r="M202" s="6" t="str"/>
      <x:c r="N202" s="6" t="str">
        <x:v>106117846657</x:v>
      </x:c>
      <x:c r="O202" s="6" t="str">
        <x:v>https://cd.lianjia.com/ershoufang/106117846657.html</x:v>
      </x:c>
      <x:c r="P202" s="8"/>
    </x:row>
    <x:row r="203" ht="22" customHeight="1">
      <x:c r="A203" s="6" t="str">
        <x:v>盐市口</x:v>
      </x:c>
      <x:c r="B203" s="6" t="str">
        <x:v>世代锦江商务楼</x:v>
      </x:c>
      <x:c r="C203" s="6" t="str">
        <x:v>1室0厅</x:v>
      </x:c>
      <x:c r="D203" s="6" t="n">
        <x:v>41.02</x:v>
      </x:c>
      <x:c r="E203" s="9" t="n">
        <x:v>90</x:v>
      </x:c>
      <x:c r="F203" s="6" t="n">
        <x:v>21940.516821062894</x:v>
      </x:c>
      <x:c r="G203" s="6" t="n">
        <x:v>26268</x:v>
      </x:c>
      <x:c r="H203" s="8" t="n">
        <x:f>F203/G203-1</x:f>
        <x:v>-0.16474353505927763</x:v>
      </x:c>
      <x:c r="I203" s="9" t="n">
        <x:f>G203*D203/10000</x:f>
        <x:v>107.75133600000001</x:v>
      </x:c>
      <x:c r="J203" s="6" t="n">
        <x:v>10</x:v>
      </x:c>
      <x:c r="K203" s="6" t="n">
        <x:v>0</x:v>
      </x:c>
      <x:c r="L203" s="6" t="str">
        <x:v>超过12个月</x:v>
      </x:c>
      <x:c r="M203" s="6" t="str">
        <x:v>2025-10-01</x:v>
      </x:c>
      <x:c r="N203" s="6" t="str">
        <x:v>106129262924</x:v>
      </x:c>
      <x:c r="O203" s="6" t="str">
        <x:v>https://cd.lianjia.com/ershoufang/106129262924.html</x:v>
      </x:c>
      <x:c r="P203" s="8" t="n">
        <x:f>1-I203/E203</x:f>
        <x:v>-0.19723706666666674</x:v>
      </x:c>
    </x:row>
    <x:row r="204" ht="22" customHeight="1">
      <x:c r="A204" s="6" t="str">
        <x:v>盐市口</x:v>
      </x:c>
      <x:c r="B204" s="6" t="str">
        <x:v>世代锦江商务楼</x:v>
      </x:c>
      <x:c r="C204" s="6" t="str">
        <x:v>1室0厅</x:v>
      </x:c>
      <x:c r="D204" s="6" t="n">
        <x:v>41.02</x:v>
      </x:c>
      <x:c r="E204" s="9" t="n">
        <x:v>88.8</x:v>
      </x:c>
      <x:c r="F204" s="6" t="n">
        <x:v>21647.976596782057</x:v>
      </x:c>
      <x:c r="G204" s="6" t="n">
        <x:v>26268</x:v>
      </x:c>
      <x:c r="H204" s="8" t="n">
        <x:f>F204/G204-1</x:f>
        <x:v>-0.17588028792515398</x:v>
      </x:c>
      <x:c r="I204" s="9" t="n">
        <x:f>G204*D204/10000</x:f>
        <x:v>107.75133600000001</x:v>
      </x:c>
      <x:c r="J204" s="6" t="n">
        <x:v>10</x:v>
      </x:c>
      <x:c r="K204" s="6" t="n">
        <x:v>0</x:v>
      </x:c>
      <x:c r="L204" s="6" t="str">
        <x:v>超过12个月</x:v>
      </x:c>
      <x:c r="M204" s="6" t="str">
        <x:v>2025-10-01</x:v>
      </x:c>
      <x:c r="N204" s="6" t="str">
        <x:v>106123456521</x:v>
      </x:c>
      <x:c r="O204" s="6" t="str">
        <x:v>https://cd.lianjia.com/ershoufang/106123456521.html</x:v>
      </x:c>
      <x:c r="P204" s="8" t="n">
        <x:f>1-I204/E204</x:f>
        <x:v>-0.21341594594594615</x:v>
      </x:c>
    </x:row>
    <x:row r="205" ht="22" customHeight="1">
      <x:c r="A205" s="6" t="str">
        <x:v>盐市口</x:v>
      </x:c>
      <x:c r="B205" s="6" t="str">
        <x:v>世代锦江商务楼</x:v>
      </x:c>
      <x:c r="C205" s="6" t="str">
        <x:v>1室0厅</x:v>
      </x:c>
      <x:c r="D205" s="6" t="n">
        <x:v>41.02</x:v>
      </x:c>
      <x:c r="E205" s="9" t="n">
        <x:v>85</x:v>
      </x:c>
      <x:c r="F205" s="6" t="n">
        <x:v>20721.599219892734</x:v>
      </x:c>
      <x:c r="G205" s="6" t="n">
        <x:v>26268</x:v>
      </x:c>
      <x:c r="H205" s="8" t="n">
        <x:f>F205/G205-1</x:f>
        <x:v>-0.21114667200042891</x:v>
      </x:c>
      <x:c r="I205" s="9" t="n">
        <x:f>G205*D205/10000</x:f>
        <x:v>107.75133600000001</x:v>
      </x:c>
      <x:c r="J205" s="6" t="n">
        <x:v>10</x:v>
      </x:c>
      <x:c r="K205" s="6" t="n">
        <x:v>0</x:v>
      </x:c>
      <x:c r="L205" s="6" t="str">
        <x:v>超过12个月</x:v>
      </x:c>
      <x:c r="M205" s="6" t="str">
        <x:v>2025-10-01</x:v>
      </x:c>
      <x:c r="N205" s="6" t="str">
        <x:v>106127217518</x:v>
      </x:c>
      <x:c r="O205" s="6" t="str">
        <x:v>https://cd.lianjia.com/ershoufang/106127217518.html</x:v>
      </x:c>
      <x:c r="P205" s="8" t="n">
        <x:f>1-I205/E205</x:f>
        <x:v>-0.26766277647058834</x:v>
      </x:c>
    </x:row>
    <x:row r="206" ht="22" customHeight="1">
      <x:c r="A206" s="6" t="str">
        <x:v>盐市口</x:v>
      </x:c>
      <x:c r="B206" s="6" t="str">
        <x:v>大发百度城</x:v>
      </x:c>
      <x:c r="C206" s="6" t="str">
        <x:v>1室1厅</x:v>
      </x:c>
      <x:c r="D206" s="6" t="n">
        <x:v>50.27</x:v>
      </x:c>
      <x:c r="E206" s="9" t="n">
        <x:v>58</x:v>
      </x:c>
      <x:c r="F206" s="6" t="n">
        <x:v>11537.696439228168</x:v>
      </x:c>
      <x:c r="G206" s="6"/>
      <x:c r="H206" s="8"/>
      <x:c r="I206" s="9"/>
      <x:c r="J206" s="6" t="n">
        <x:v>0</x:v>
      </x:c>
      <x:c r="K206" s="6" t="n">
        <x:v>0</x:v>
      </x:c>
      <x:c r="L206" s="6" t="str">
        <x:v>无可比</x:v>
      </x:c>
      <x:c r="M206" s="6" t="str"/>
      <x:c r="N206" s="6" t="str">
        <x:v>106125081054</x:v>
      </x:c>
      <x:c r="O206" s="6" t="str">
        <x:v>https://cd.lianjia.com/ershoufang/106125081054.html</x:v>
      </x:c>
      <x:c r="P206" s="8"/>
    </x:row>
    <x:row r="207" ht="22" customHeight="1">
      <x:c r="A207" s="6" t="str">
        <x:v>盐市口</x:v>
      </x:c>
      <x:c r="B207" s="6" t="str">
        <x:v>正成财富ID</x:v>
      </x:c>
      <x:c r="C207" s="6" t="str">
        <x:v>1室1厅</x:v>
      </x:c>
      <x:c r="D207" s="6" t="n">
        <x:v>55.29</x:v>
      </x:c>
      <x:c r="E207" s="9" t="n">
        <x:v>58</x:v>
      </x:c>
      <x:c r="F207" s="6" t="n">
        <x:v>10490.142882980648</x:v>
      </x:c>
      <x:c r="G207" s="6" t="n">
        <x:v>14206</x:v>
      </x:c>
      <x:c r="H207" s="8" t="n">
        <x:f>F207/G207-1</x:f>
        <x:v>-0.26156955631559564</x:v>
      </x:c>
      <x:c r="I207" s="9" t="n">
        <x:f>G207*D207/10000</x:f>
        <x:v>78.544974</x:v>
      </x:c>
      <x:c r="J207" s="6" t="n">
        <x:v>4</x:v>
      </x:c>
      <x:c r="K207" s="6" t="n">
        <x:v>1</x:v>
      </x:c>
      <x:c r="L207" s="6" t="str">
        <x:v>近12个月</x:v>
      </x:c>
      <x:c r="M207" s="6" t="str">
        <x:v>2026-02-09</x:v>
      </x:c>
      <x:c r="N207" s="6" t="str">
        <x:v>106125780641</x:v>
      </x:c>
      <x:c r="O207" s="6" t="str">
        <x:v>https://cd.lianjia.com/ershoufang/106125780641.html</x:v>
      </x:c>
      <x:c r="P207" s="8" t="n">
        <x:f>1-I207/E207</x:f>
        <x:v>-0.35422368965517226</x:v>
      </x:c>
    </x:row>
    <x:row r="208" ht="22" customHeight="1">
      <x:c r="A208" s="6" t="str">
        <x:v>盐市口</x:v>
      </x:c>
      <x:c r="B208" s="6" t="str">
        <x:v>大发百度城</x:v>
      </x:c>
      <x:c r="C208" s="6" t="str">
        <x:v>1室1厅</x:v>
      </x:c>
      <x:c r="D208" s="6" t="n">
        <x:v>50.35</x:v>
      </x:c>
      <x:c r="E208" s="9" t="n">
        <x:v>55</x:v>
      </x:c>
      <x:c r="F208" s="6" t="n">
        <x:v>10923.535253227408</x:v>
      </x:c>
      <x:c r="G208" s="6"/>
      <x:c r="H208" s="8"/>
      <x:c r="I208" s="9"/>
      <x:c r="J208" s="6" t="n">
        <x:v>0</x:v>
      </x:c>
      <x:c r="K208" s="6" t="n">
        <x:v>0</x:v>
      </x:c>
      <x:c r="L208" s="6" t="str">
        <x:v>无可比</x:v>
      </x:c>
      <x:c r="M208" s="6" t="str"/>
      <x:c r="N208" s="6" t="str">
        <x:v>106126778245</x:v>
      </x:c>
      <x:c r="O208" s="6" t="str">
        <x:v>https://cd.lianjia.com/ershoufang/106126778245.html</x:v>
      </x:c>
      <x:c r="P208" s="8"/>
    </x:row>
    <x:row r="209" ht="22" customHeight="1">
      <x:c r="A209" s="6" t="str">
        <x:v>盐市口</x:v>
      </x:c>
      <x:c r="B209" s="6" t="str">
        <x:v>大发百度城</x:v>
      </x:c>
      <x:c r="C209" s="6" t="str">
        <x:v>1室1厅</x:v>
      </x:c>
      <x:c r="D209" s="6" t="n">
        <x:v>50.27</x:v>
      </x:c>
      <x:c r="E209" s="9" t="n">
        <x:v>50</x:v>
      </x:c>
      <x:c r="F209" s="6" t="n">
        <x:v>9946.290033817386</x:v>
      </x:c>
      <x:c r="G209" s="6"/>
      <x:c r="H209" s="8"/>
      <x:c r="I209" s="9"/>
      <x:c r="J209" s="6" t="n">
        <x:v>0</x:v>
      </x:c>
      <x:c r="K209" s="6" t="n">
        <x:v>0</x:v>
      </x:c>
      <x:c r="L209" s="6" t="str">
        <x:v>无可比</x:v>
      </x:c>
      <x:c r="M209" s="6" t="str"/>
      <x:c r="N209" s="6" t="str">
        <x:v>106126722789</x:v>
      </x:c>
      <x:c r="O209" s="6" t="str">
        <x:v>https://cd.lianjia.com/ershoufang/106126722789.html</x:v>
      </x:c>
      <x:c r="P209" s="8"/>
    </x:row>
    <x:row r="210" ht="22" customHeight="1">
      <x:c r="A210" s="6" t="str">
        <x:v>盐市口</x:v>
      </x:c>
      <x:c r="B210" s="6" t="str">
        <x:v>现代之窗</x:v>
      </x:c>
      <x:c r="C210" s="6" t="str">
        <x:v>1室0厅</x:v>
      </x:c>
      <x:c r="D210" s="6" t="n">
        <x:v>40.6</x:v>
      </x:c>
      <x:c r="E210" s="9" t="n">
        <x:v>60</x:v>
      </x:c>
      <x:c r="F210" s="6" t="n">
        <x:v>14778.325123152708</x:v>
      </x:c>
      <x:c r="G210" s="6" t="n">
        <x:v>14416</x:v>
      </x:c>
      <x:c r="H210" s="8" t="n">
        <x:f>F210/G210-1</x:f>
        <x:v>0.025133540729239012</x:v>
      </x:c>
      <x:c r="I210" s="9" t="n">
        <x:f>G210*D210/10000</x:f>
        <x:v>58.52896</x:v>
      </x:c>
      <x:c r="J210" s="6" t="n">
        <x:v>5</x:v>
      </x:c>
      <x:c r="K210" s="6" t="n">
        <x:v>1</x:v>
      </x:c>
      <x:c r="L210" s="6" t="str">
        <x:v>近12个月</x:v>
      </x:c>
      <x:c r="M210" s="6" t="str">
        <x:v>2025-12-18</x:v>
      </x:c>
      <x:c r="N210" s="6" t="str">
        <x:v>106127212765</x:v>
      </x:c>
      <x:c r="O210" s="6" t="str">
        <x:v>https://cd.lianjia.com/ershoufang/106127212765.html</x:v>
      </x:c>
      <x:c r="P210" s="8" t="n">
        <x:f>1-I210/E210</x:f>
        <x:v>0.02451733333333339</x:v>
      </x:c>
    </x:row>
    <x:row r="211" ht="22" customHeight="1">
      <x:c r="A211" s="6" t="str">
        <x:v>盐市口</x:v>
      </x:c>
      <x:c r="B211" s="6" t="str">
        <x:v>缤舍</x:v>
      </x:c>
      <x:c r="C211" s="6" t="str">
        <x:v>2室1厅</x:v>
      </x:c>
      <x:c r="D211" s="6" t="n">
        <x:v>58.93</x:v>
      </x:c>
      <x:c r="E211" s="9" t="n">
        <x:v>83</x:v>
      </x:c>
      <x:c r="F211" s="6" t="n">
        <x:v>14084.507042253521</x:v>
      </x:c>
      <x:c r="G211" s="6" t="n">
        <x:v>14194</x:v>
      </x:c>
      <x:c r="H211" s="8" t="n">
        <x:f>F211/G211-1</x:f>
        <x:v>-0.007714031122057152</x:v>
      </x:c>
      <x:c r="I211" s="9" t="n">
        <x:f>G211*D211/10000</x:f>
        <x:v>83.64524200000001</x:v>
      </x:c>
      <x:c r="J211" s="6" t="n">
        <x:v>6</x:v>
      </x:c>
      <x:c r="K211" s="6" t="n">
        <x:v>5</x:v>
      </x:c>
      <x:c r="L211" s="6" t="str">
        <x:v>近12个月</x:v>
      </x:c>
      <x:c r="M211" s="6" t="str">
        <x:v>2026-09-03</x:v>
      </x:c>
      <x:c r="N211" s="6" t="str">
        <x:v>106128503476</x:v>
      </x:c>
      <x:c r="O211" s="6" t="str">
        <x:v>https://cd.lianjia.com/ershoufang/106128503476.html</x:v>
      </x:c>
      <x:c r="P211" s="8" t="n">
        <x:f>1-I211/E211</x:f>
        <x:v>-0.00777400000000017</x:v>
      </x:c>
    </x:row>
    <x:row r="212" ht="22" customHeight="1">
      <x:c r="A212" s="6" t="str">
        <x:v>盐市口</x:v>
      </x:c>
      <x:c r="B212" s="6" t="str">
        <x:v>经典坐标</x:v>
      </x:c>
      <x:c r="C212" s="6" t="str">
        <x:v>2室1厅</x:v>
      </x:c>
      <x:c r="D212" s="6" t="n">
        <x:v>52.18</x:v>
      </x:c>
      <x:c r="E212" s="9" t="n">
        <x:v>85</x:v>
      </x:c>
      <x:c r="F212" s="6" t="n">
        <x:v>16289.76619394404</x:v>
      </x:c>
      <x:c r="G212" s="6"/>
      <x:c r="H212" s="8"/>
      <x:c r="I212" s="9"/>
      <x:c r="J212" s="6" t="n">
        <x:v>0</x:v>
      </x:c>
      <x:c r="K212" s="6" t="n">
        <x:v>0</x:v>
      </x:c>
      <x:c r="L212" s="6" t="str">
        <x:v>无可比</x:v>
      </x:c>
      <x:c r="M212" s="6" t="str"/>
      <x:c r="N212" s="6" t="str">
        <x:v>106122943547</x:v>
      </x:c>
      <x:c r="O212" s="6" t="str">
        <x:v>https://cd.lianjia.com/ershoufang/106122943547.html</x:v>
      </x:c>
      <x:c r="P212" s="8"/>
    </x:row>
    <x:row r="213" ht="22" customHeight="1">
      <x:c r="A213" s="6" t="str">
        <x:v>盐市口</x:v>
      </x:c>
      <x:c r="B213" s="6" t="str">
        <x:v>科甲大厦</x:v>
      </x:c>
      <x:c r="C213" s="6" t="str">
        <x:v>2室1厅</x:v>
      </x:c>
      <x:c r="D213" s="6" t="n">
        <x:v>56.82</x:v>
      </x:c>
      <x:c r="E213" s="9" t="n">
        <x:v>86</x:v>
      </x:c>
      <x:c r="F213" s="6" t="n">
        <x:v>15135.515663498769</x:v>
      </x:c>
      <x:c r="G213" s="6"/>
      <x:c r="H213" s="8"/>
      <x:c r="I213" s="9"/>
      <x:c r="J213" s="6" t="n">
        <x:v>0</x:v>
      </x:c>
      <x:c r="K213" s="6" t="n">
        <x:v>0</x:v>
      </x:c>
      <x:c r="L213" s="6" t="str">
        <x:v>无可比</x:v>
      </x:c>
      <x:c r="M213" s="6" t="str"/>
      <x:c r="N213" s="6" t="str">
        <x:v>106128029138</x:v>
      </x:c>
      <x:c r="O213" s="6" t="str">
        <x:v>https://cd.lianjia.com/ershoufang/106128029138.html</x:v>
      </x:c>
      <x:c r="P213" s="8"/>
    </x:row>
    <x:row r="214" ht="22" customHeight="1">
      <x:c r="A214" s="6" t="str">
        <x:v>盐市口</x:v>
      </x:c>
      <x:c r="B214" s="6" t="str">
        <x:v>京都大厦</x:v>
      </x:c>
      <x:c r="C214" s="6" t="str">
        <x:v>2室2厅</x:v>
      </x:c>
      <x:c r="D214" s="6" t="n">
        <x:v>57.98</x:v>
      </x:c>
      <x:c r="E214" s="9" t="n">
        <x:v>82</x:v>
      </x:c>
      <x:c r="F214" s="6" t="n">
        <x:v>14142.80786478096</x:v>
      </x:c>
      <x:c r="G214" s="6"/>
      <x:c r="H214" s="8"/>
      <x:c r="I214" s="9"/>
      <x:c r="J214" s="6" t="n">
        <x:v>0</x:v>
      </x:c>
      <x:c r="K214" s="6" t="n">
        <x:v>0</x:v>
      </x:c>
      <x:c r="L214" s="6" t="str">
        <x:v>无可比</x:v>
      </x:c>
      <x:c r="M214" s="6" t="str"/>
      <x:c r="N214" s="6" t="str">
        <x:v>106125622203</x:v>
      </x:c>
      <x:c r="O214" s="6" t="str">
        <x:v>https://cd.lianjia.com/ershoufang/106125622203.html</x:v>
      </x:c>
      <x:c r="P214" s="8"/>
    </x:row>
    <x:row r="215" ht="22" customHeight="1">
      <x:c r="A215" s="6" t="str">
        <x:v>盐市口</x:v>
      </x:c>
      <x:c r="B215" s="6" t="str">
        <x:v>萧邦</x:v>
      </x:c>
      <x:c r="C215" s="6" t="str">
        <x:v>2室1厅</x:v>
      </x:c>
      <x:c r="D215" s="6" t="n">
        <x:v>53.4</x:v>
      </x:c>
      <x:c r="E215" s="9" t="n">
        <x:v>88</x:v>
      </x:c>
      <x:c r="F215" s="6" t="n">
        <x:v>16479.400749063672</x:v>
      </x:c>
      <x:c r="G215" s="6" t="n">
        <x:v>13824</x:v>
      </x:c>
      <x:c r="H215" s="8" t="n">
        <x:f>F215/G215-1</x:f>
        <x:v>0.19208628103759207</x:v>
      </x:c>
      <x:c r="I215" s="9" t="n">
        <x:f>G215*D215/10000</x:f>
        <x:v>73.82016</x:v>
      </x:c>
      <x:c r="J215" s="6" t="n">
        <x:v>3</x:v>
      </x:c>
      <x:c r="K215" s="6" t="n">
        <x:v>1</x:v>
      </x:c>
      <x:c r="L215" s="6" t="str">
        <x:v>近12个月</x:v>
      </x:c>
      <x:c r="M215" s="6" t="str">
        <x:v>2026-04-08</x:v>
      </x:c>
      <x:c r="N215" s="6" t="str">
        <x:v>106117349024</x:v>
      </x:c>
      <x:c r="O215" s="6" t="str">
        <x:v>https://cd.lianjia.com/ershoufang/106117349024.html</x:v>
      </x:c>
      <x:c r="P215" s="8" t="n">
        <x:f>1-I215/E215</x:f>
        <x:v>0.16113454545454542</x:v>
      </x:c>
    </x:row>
    <x:row r="216" ht="22" customHeight="1">
      <x:c r="A216" s="6" t="str">
        <x:v>盐市口</x:v>
      </x:c>
      <x:c r="B216" s="6" t="str">
        <x:v>缤舍</x:v>
      </x:c>
      <x:c r="C216" s="6" t="str">
        <x:v>2室1厅</x:v>
      </x:c>
      <x:c r="D216" s="6" t="n">
        <x:v>57.87</x:v>
      </x:c>
      <x:c r="E216" s="9" t="n">
        <x:v>87.9</x:v>
      </x:c>
      <x:c r="F216" s="6" t="n">
        <x:v>15189.217210990151</x:v>
      </x:c>
      <x:c r="G216" s="6" t="n">
        <x:v>14194</x:v>
      </x:c>
      <x:c r="H216" s="8" t="n">
        <x:f>F216/G216-1</x:f>
        <x:v>0.07011534528604701</x:v>
      </x:c>
      <x:c r="I216" s="9" t="n">
        <x:f>G216*D216/10000</x:f>
        <x:v>82.140678</x:v>
      </x:c>
      <x:c r="J216" s="6" t="n">
        <x:v>6</x:v>
      </x:c>
      <x:c r="K216" s="6" t="n">
        <x:v>5</x:v>
      </x:c>
      <x:c r="L216" s="6" t="str">
        <x:v>近12个月</x:v>
      </x:c>
      <x:c r="M216" s="6" t="str">
        <x:v>2026-09-03</x:v>
      </x:c>
      <x:c r="N216" s="6" t="str">
        <x:v>106128372113</x:v>
      </x:c>
      <x:c r="O216" s="6" t="str">
        <x:v>https://cd.lianjia.com/ershoufang/106128372113.html</x:v>
      </x:c>
      <x:c r="P216" s="8" t="n">
        <x:f>1-I216/E216</x:f>
        <x:v>0.06552129692832775</x:v>
      </x:c>
    </x:row>
    <x:row r="217" ht="22" customHeight="1">
      <x:c r="A217" s="6" t="str">
        <x:v>盐市口</x:v>
      </x:c>
      <x:c r="B217" s="6" t="str">
        <x:v>缤舍</x:v>
      </x:c>
      <x:c r="C217" s="6" t="str">
        <x:v>2室1厅</x:v>
      </x:c>
      <x:c r="D217" s="6" t="n">
        <x:v>56.49</x:v>
      </x:c>
      <x:c r="E217" s="9" t="n">
        <x:v>88</x:v>
      </x:c>
      <x:c r="F217" s="6" t="n">
        <x:v>15577.978403257213</x:v>
      </x:c>
      <x:c r="G217" s="6" t="n">
        <x:v>14194</x:v>
      </x:c>
      <x:c r="H217" s="8" t="n">
        <x:f>F217/G217-1</x:f>
        <x:v>0.09750446690553849</x:v>
      </x:c>
      <x:c r="I217" s="9" t="n">
        <x:f>G217*D217/10000</x:f>
        <x:v>80.18190600000001</x:v>
      </x:c>
      <x:c r="J217" s="6" t="n">
        <x:v>6</x:v>
      </x:c>
      <x:c r="K217" s="6" t="n">
        <x:v>5</x:v>
      </x:c>
      <x:c r="L217" s="6" t="str">
        <x:v>近12个月</x:v>
      </x:c>
      <x:c r="M217" s="6" t="str">
        <x:v>2026-09-03</x:v>
      </x:c>
      <x:c r="N217" s="6" t="str">
        <x:v>106129458952</x:v>
      </x:c>
      <x:c r="O217" s="6" t="str">
        <x:v>https://cd.lianjia.com/ershoufang/106129458952.html</x:v>
      </x:c>
      <x:c r="P217" s="8" t="n">
        <x:f>1-I217/E217</x:f>
        <x:v>0.08884197727272714</x:v>
      </x:c>
    </x:row>
    <x:row r="218" ht="22" customHeight="1">
      <x:c r="A218" s="6" t="str">
        <x:v>盐市口</x:v>
      </x:c>
      <x:c r="B218" s="6" t="str">
        <x:v>城市理想</x:v>
      </x:c>
      <x:c r="C218" s="6" t="str">
        <x:v>1室1厅</x:v>
      </x:c>
      <x:c r="D218" s="6" t="n">
        <x:v>55.29</x:v>
      </x:c>
      <x:c r="E218" s="9" t="n">
        <x:v>119</x:v>
      </x:c>
      <x:c r="F218" s="6" t="n">
        <x:v>21522.879363356846</x:v>
      </x:c>
      <x:c r="G218" s="6" t="n">
        <x:v>20742</x:v>
      </x:c>
      <x:c r="H218" s="8" t="n">
        <x:f>F218/G218-1</x:f>
        <x:v>0.03764725500707966</x:v>
      </x:c>
      <x:c r="I218" s="9" t="n">
        <x:f>G218*D218/10000</x:f>
        <x:v>114.68251799999999</x:v>
      </x:c>
      <x:c r="J218" s="6" t="n">
        <x:v>7</x:v>
      </x:c>
      <x:c r="K218" s="6" t="n">
        <x:v>3</x:v>
      </x:c>
      <x:c r="L218" s="6" t="str">
        <x:v>近12个月</x:v>
      </x:c>
      <x:c r="M218" s="6" t="str">
        <x:v>2026-05-23</x:v>
      </x:c>
      <x:c r="N218" s="6" t="str">
        <x:v>106119961836</x:v>
      </x:c>
      <x:c r="O218" s="6" t="str">
        <x:v>https://cd.lianjia.com/ershoufang/106119961836.html</x:v>
      </x:c>
      <x:c r="P218" s="8" t="n">
        <x:f>1-I218/E218</x:f>
        <x:v>0.036281361344537966</x:v>
      </x:c>
    </x:row>
    <x:row r="219" ht="22" customHeight="1">
      <x:c r="A219" s="6" t="str">
        <x:v>盐市口</x:v>
      </x:c>
      <x:c r="B219" s="6" t="str">
        <x:v>财富中心</x:v>
      </x:c>
      <x:c r="C219" s="6" t="str">
        <x:v>1室1厅</x:v>
      </x:c>
      <x:c r="D219" s="6" t="n">
        <x:v>50.84</x:v>
      </x:c>
      <x:c r="E219" s="9" t="n">
        <x:v>120</x:v>
      </x:c>
      <x:c r="F219" s="6" t="n">
        <x:v>23603.46184107002</x:v>
      </x:c>
      <x:c r="G219" s="6" t="n">
        <x:v>22678</x:v>
      </x:c>
      <x:c r="H219" s="8" t="n">
        <x:f>F219/G219-1</x:f>
        <x:v>0.04080879447349939</x:v>
      </x:c>
      <x:c r="I219" s="9" t="n">
        <x:f>G219*D219/10000</x:f>
        <x:v>115.294952</x:v>
      </x:c>
      <x:c r="J219" s="6" t="n">
        <x:v>23</x:v>
      </x:c>
      <x:c r="K219" s="6" t="n">
        <x:v>21</x:v>
      </x:c>
      <x:c r="L219" s="6" t="str">
        <x:v>近12个月</x:v>
      </x:c>
      <x:c r="M219" s="6" t="str">
        <x:v>2026-09-04</x:v>
      </x:c>
      <x:c r="N219" s="6" t="str">
        <x:v>106126627815</x:v>
      </x:c>
      <x:c r="O219" s="6" t="str">
        <x:v>https://cd.lianjia.com/ershoufang/106126627815.html</x:v>
      </x:c>
      <x:c r="P219" s="8" t="n">
        <x:f>1-I219/E219</x:f>
        <x:v>0.03920873333333341</x:v>
      </x:c>
    </x:row>
    <x:row r="220" ht="22" customHeight="1">
      <x:c r="A220" s="6" t="str">
        <x:v>盐市口</x:v>
      </x:c>
      <x:c r="B220" s="6" t="str">
        <x:v>城市理想</x:v>
      </x:c>
      <x:c r="C220" s="6" t="str">
        <x:v>1室1厅</x:v>
      </x:c>
      <x:c r="D220" s="6" t="n">
        <x:v>55.29</x:v>
      </x:c>
      <x:c r="E220" s="9" t="n">
        <x:v>120</x:v>
      </x:c>
      <x:c r="F220" s="6" t="n">
        <x:v>21703.74389582203</x:v>
      </x:c>
      <x:c r="G220" s="6" t="n">
        <x:v>20742</x:v>
      </x:c>
      <x:c r="H220" s="8" t="n">
        <x:f>F220/G220-1</x:f>
        <x:v>0.04636697983907201</x:v>
      </x:c>
      <x:c r="I220" s="9" t="n">
        <x:f>G220*D220/10000</x:f>
        <x:v>114.68251799999999</x:v>
      </x:c>
      <x:c r="J220" s="6" t="n">
        <x:v>7</x:v>
      </x:c>
      <x:c r="K220" s="6" t="n">
        <x:v>3</x:v>
      </x:c>
      <x:c r="L220" s="6" t="str">
        <x:v>近12个月</x:v>
      </x:c>
      <x:c r="M220" s="6" t="str">
        <x:v>2026-05-23</x:v>
      </x:c>
      <x:c r="N220" s="6" t="str">
        <x:v>106124525044</x:v>
      </x:c>
      <x:c r="O220" s="6" t="str">
        <x:v>https://cd.lianjia.com/ershoufang/106124525044.html</x:v>
      </x:c>
      <x:c r="P220" s="8" t="n">
        <x:f>1-I220/E220</x:f>
        <x:v>0.04431235000000011</x:v>
      </x:c>
    </x:row>
    <x:row r="221" ht="22" customHeight="1">
      <x:c r="A221" s="6" t="str">
        <x:v>盐市口</x:v>
      </x:c>
      <x:c r="B221" s="6" t="str">
        <x:v>财富中心</x:v>
      </x:c>
      <x:c r="C221" s="6" t="str">
        <x:v>1室1厅</x:v>
      </x:c>
      <x:c r="D221" s="6" t="n">
        <x:v>50.02</x:v>
      </x:c>
      <x:c r="E221" s="9" t="n">
        <x:v>119</x:v>
      </x:c>
      <x:c r="F221" s="6" t="n">
        <x:v>23790.48380647741</x:v>
      </x:c>
      <x:c r="G221" s="6" t="n">
        <x:v>22678</x:v>
      </x:c>
      <x:c r="H221" s="8" t="n">
        <x:f>F221/G221-1</x:f>
        <x:v>0.049055640112770416</x:v>
      </x:c>
      <x:c r="I221" s="9" t="n">
        <x:f>G221*D221/10000</x:f>
        <x:v>113.435356</x:v>
      </x:c>
      <x:c r="J221" s="6" t="n">
        <x:v>23</x:v>
      </x:c>
      <x:c r="K221" s="6" t="n">
        <x:v>21</x:v>
      </x:c>
      <x:c r="L221" s="6" t="str">
        <x:v>近12个月</x:v>
      </x:c>
      <x:c r="M221" s="6" t="str">
        <x:v>2026-09-04</x:v>
      </x:c>
      <x:c r="N221" s="6" t="str">
        <x:v>106127807726</x:v>
      </x:c>
      <x:c r="O221" s="6" t="str">
        <x:v>https://cd.lianjia.com/ershoufang/106127807726.html</x:v>
      </x:c>
      <x:c r="P221" s="8" t="n">
        <x:f>1-I221/E221</x:f>
        <x:v>0.046761714285714295</x:v>
      </x:c>
    </x:row>
    <x:row r="222" ht="22" customHeight="1">
      <x:c r="A222" s="6" t="str">
        <x:v>盐市口</x:v>
      </x:c>
      <x:c r="B222" s="6" t="str">
        <x:v>财富中心</x:v>
      </x:c>
      <x:c r="C222" s="6" t="str">
        <x:v>1室1厅</x:v>
      </x:c>
      <x:c r="D222" s="6" t="n">
        <x:v>51.33</x:v>
      </x:c>
      <x:c r="E222" s="9" t="n">
        <x:v>113</x:v>
      </x:c>
      <x:c r="F222" s="6" t="n">
        <x:v>22014.416520553284</x:v>
      </x:c>
      <x:c r="G222" s="6" t="n">
        <x:v>22678</x:v>
      </x:c>
      <x:c r="H222" s="8" t="n">
        <x:f>F222/G222-1</x:f>
        <x:v>-0.02926111118470387</x:v>
      </x:c>
      <x:c r="I222" s="9" t="n">
        <x:f>G222*D222/10000</x:f>
        <x:v>116.406174</x:v>
      </x:c>
      <x:c r="J222" s="6" t="n">
        <x:v>23</x:v>
      </x:c>
      <x:c r="K222" s="6" t="n">
        <x:v>21</x:v>
      </x:c>
      <x:c r="L222" s="6" t="str">
        <x:v>近12个月</x:v>
      </x:c>
      <x:c r="M222" s="6" t="str">
        <x:v>2026-09-04</x:v>
      </x:c>
      <x:c r="N222" s="6" t="str">
        <x:v>106125429321</x:v>
      </x:c>
      <x:c r="O222" s="6" t="str">
        <x:v>https://cd.lianjia.com/ershoufang/106125429321.html</x:v>
      </x:c>
      <x:c r="P222" s="8" t="n">
        <x:f>1-I222/E222</x:f>
        <x:v>-0.030143132743362777</x:v>
      </x:c>
    </x:row>
    <x:row r="223" ht="22" customHeight="1">
      <x:c r="A223" s="6" t="str">
        <x:v>盐市口</x:v>
      </x:c>
      <x:c r="B223" s="6" t="str">
        <x:v>都市驿站</x:v>
      </x:c>
      <x:c r="C223" s="6" t="str">
        <x:v>1室1厅</x:v>
      </x:c>
      <x:c r="D223" s="6" t="n">
        <x:v>51.64</x:v>
      </x:c>
      <x:c r="E223" s="9" t="n">
        <x:v>98</x:v>
      </x:c>
      <x:c r="F223" s="6" t="n">
        <x:v>18977.53679318358</x:v>
      </x:c>
      <x:c r="G223" s="6" t="n">
        <x:v>18068</x:v>
      </x:c>
      <x:c r="H223" s="8" t="n">
        <x:f>F223/G223-1</x:f>
        <x:v>0.050339649833051725</x:v>
      </x:c>
      <x:c r="I223" s="9" t="n">
        <x:f>G223*D223/10000</x:f>
        <x:v>93.303152</x:v>
      </x:c>
      <x:c r="J223" s="6" t="n">
        <x:v>22</x:v>
      </x:c>
      <x:c r="K223" s="6" t="n">
        <x:v>10</x:v>
      </x:c>
      <x:c r="L223" s="6" t="str">
        <x:v>近12个月</x:v>
      </x:c>
      <x:c r="M223" s="6" t="str">
        <x:v>2026-09-13</x:v>
      </x:c>
      <x:c r="N223" s="6" t="str">
        <x:v>106126873919</x:v>
      </x:c>
      <x:c r="O223" s="6" t="str">
        <x:v>https://cd.lianjia.com/ershoufang/106126873919.html</x:v>
      </x:c>
      <x:c r="P223" s="8" t="n">
        <x:f>1-I223/E223</x:f>
        <x:v>0.04792702040816332</x:v>
      </x:c>
    </x:row>
    <x:row r="224" ht="22" customHeight="1">
      <x:c r="A224" s="6" t="str">
        <x:v>西南财大</x:v>
      </x:c>
      <x:c r="B224" s="6" t="str">
        <x:v>水木光华</x:v>
      </x:c>
      <x:c r="C224" s="6" t="str">
        <x:v>1室0厅</x:v>
      </x:c>
      <x:c r="D224" s="6" t="n">
        <x:v>45.91</x:v>
      </x:c>
      <x:c r="E224" s="9" t="n">
        <x:v>54</x:v>
      </x:c>
      <x:c r="F224" s="6" t="n">
        <x:v>11762.143323894577</x:v>
      </x:c>
      <x:c r="G224" s="6" t="n">
        <x:v>11283</x:v>
      </x:c>
      <x:c r="H224" s="8" t="n">
        <x:f>F224/G224-1</x:f>
        <x:v>0.042465950890239856</x:v>
      </x:c>
      <x:c r="I224" s="9" t="n">
        <x:f>G224*D224/10000</x:f>
        <x:v>51.800253</x:v>
      </x:c>
      <x:c r="J224" s="6" t="n">
        <x:v>5</x:v>
      </x:c>
      <x:c r="K224" s="6" t="n">
        <x:v>0</x:v>
      </x:c>
      <x:c r="L224" s="6" t="str">
        <x:v>超过12个月</x:v>
      </x:c>
      <x:c r="M224" s="6" t="str">
        <x:v>2025-06-14</x:v>
      </x:c>
      <x:c r="N224" s="6" t="str">
        <x:v>106127922625</x:v>
      </x:c>
      <x:c r="O224" s="6" t="str">
        <x:v>https://cd.lianjia.com/ershoufang/106127922625.html</x:v>
      </x:c>
      <x:c r="P224" s="8" t="n">
        <x:f>1-I224/E224</x:f>
        <x:v>0.040736055555555595</x:v>
      </x:c>
    </x:row>
    <x:row r="225" ht="22" customHeight="1">
      <x:c r="A225" s="6" t="str">
        <x:v>西南财大</x:v>
      </x:c>
      <x:c r="B225" s="6" t="str">
        <x:v>金沙时代城</x:v>
      </x:c>
      <x:c r="C225" s="6" t="str">
        <x:v>1室0厅</x:v>
      </x:c>
      <x:c r="D225" s="6" t="n">
        <x:v>46.5</x:v>
      </x:c>
      <x:c r="E225" s="9" t="n">
        <x:v>35</x:v>
      </x:c>
      <x:c r="F225" s="6" t="n">
        <x:v>7526.881720430108</x:v>
      </x:c>
      <x:c r="G225" s="6" t="n">
        <x:v>6450.5</x:v>
      </x:c>
      <x:c r="H225" s="8" t="n">
        <x:f>F225/G225-1</x:f>
        <x:v>0.16686795138828114</x:v>
      </x:c>
      <x:c r="I225" s="9" t="n">
        <x:f>G225*D225/10000</x:f>
        <x:v>29.994825</x:v>
      </x:c>
      <x:c r="J225" s="6" t="n">
        <x:v>2</x:v>
      </x:c>
      <x:c r="K225" s="6" t="n">
        <x:v>0</x:v>
      </x:c>
      <x:c r="L225" s="6" t="str">
        <x:v>超过12个月</x:v>
      </x:c>
      <x:c r="M225" s="6" t="str">
        <x:v>2025-09-07</x:v>
      </x:c>
      <x:c r="N225" s="6" t="str">
        <x:v>106126871807</x:v>
      </x:c>
      <x:c r="O225" s="6" t="str">
        <x:v>https://cd.lianjia.com/ershoufang/106126871807.html</x:v>
      </x:c>
      <x:c r="P225" s="8" t="n">
        <x:f>1-I225/E225</x:f>
        <x:v>0.14300500000000005</x:v>
      </x:c>
    </x:row>
    <x:row r="226" ht="22" customHeight="1">
      <x:c r="A226" s="6" t="str">
        <x:v>西南财大</x:v>
      </x:c>
      <x:c r="B226" s="6" t="str">
        <x:v>仁和时代春天广场</x:v>
      </x:c>
      <x:c r="C226" s="6" t="str">
        <x:v>1室1厅</x:v>
      </x:c>
      <x:c r="D226" s="6" t="n">
        <x:v>49.31</x:v>
      </x:c>
      <x:c r="E226" s="9" t="n">
        <x:v>48</x:v>
      </x:c>
      <x:c r="F226" s="6" t="n">
        <x:v>9734.333806530116</x:v>
      </x:c>
      <x:c r="G226" s="6" t="n">
        <x:v>8583</x:v>
      </x:c>
      <x:c r="H226" s="8" t="n">
        <x:f>F226/G226-1</x:f>
        <x:v>0.13414118682629805</x:v>
      </x:c>
      <x:c r="I226" s="9" t="n">
        <x:f>G226*D226/10000</x:f>
        <x:v>42.322773000000005</x:v>
      </x:c>
      <x:c r="J226" s="6" t="n">
        <x:v>2</x:v>
      </x:c>
      <x:c r="K226" s="6" t="n">
        <x:v>0</x:v>
      </x:c>
      <x:c r="L226" s="6" t="str">
        <x:v>超过12个月</x:v>
      </x:c>
      <x:c r="M226" s="6" t="str">
        <x:v>2025-06-01</x:v>
      </x:c>
      <x:c r="N226" s="6" t="str">
        <x:v>106120833590</x:v>
      </x:c>
      <x:c r="O226" s="6" t="str">
        <x:v>https://cd.lianjia.com/ershoufang/106120833590.html</x:v>
      </x:c>
      <x:c r="P226" s="8" t="n">
        <x:f>1-I226/E226</x:f>
        <x:v>0.11827556249999993</x:v>
      </x:c>
    </x:row>
    <x:row r="227" ht="22" customHeight="1">
      <x:c r="A227" s="6" t="str">
        <x:v>西南财大</x:v>
      </x:c>
      <x:c r="B227" s="6" t="str">
        <x:v>金沙时代城</x:v>
      </x:c>
      <x:c r="C227" s="6" t="str">
        <x:v>1室1厅</x:v>
      </x:c>
      <x:c r="D227" s="6" t="n">
        <x:v>46.5</x:v>
      </x:c>
      <x:c r="E227" s="9" t="n">
        <x:v>38</x:v>
      </x:c>
      <x:c r="F227" s="6" t="n">
        <x:v>8172.043010752688</x:v>
      </x:c>
      <x:c r="G227" s="6" t="n">
        <x:v>6667</x:v>
      </x:c>
      <x:c r="H227" s="8" t="n">
        <x:f>F227/G227-1</x:f>
        <x:v>0.2257451643546855</x:v>
      </x:c>
      <x:c r="I227" s="9" t="n">
        <x:f>G227*D227/10000</x:f>
        <x:v>31.00155</x:v>
      </x:c>
      <x:c r="J227" s="6" t="n">
        <x:v>1</x:v>
      </x:c>
      <x:c r="K227" s="6" t="n">
        <x:v>1</x:v>
      </x:c>
      <x:c r="L227" s="6" t="str">
        <x:v>近12个月</x:v>
      </x:c>
      <x:c r="M227" s="6" t="str">
        <x:v>2025-11-18</x:v>
      </x:c>
      <x:c r="N227" s="6" t="str">
        <x:v>106129423483</x:v>
      </x:c>
      <x:c r="O227" s="6" t="str">
        <x:v>https://cd.lianjia.com/ershoufang/106129423483.html</x:v>
      </x:c>
      <x:c r="P227" s="8" t="n">
        <x:f>1-I227/E227</x:f>
        <x:v>0.18416973684210525</x:v>
      </x:c>
    </x:row>
    <x:row r="228" ht="22" customHeight="1">
      <x:c r="A228" s="6" t="str">
        <x:v>西南财大</x:v>
      </x:c>
      <x:c r="B228" s="6" t="str">
        <x:v>中华家园东区</x:v>
      </x:c>
      <x:c r="C228" s="6" t="str">
        <x:v>1室0厅</x:v>
      </x:c>
      <x:c r="D228" s="6" t="n">
        <x:v>41.83</x:v>
      </x:c>
      <x:c r="E228" s="9" t="n">
        <x:v>45</x:v>
      </x:c>
      <x:c r="F228" s="6" t="n">
        <x:v>10757.829309108296</x:v>
      </x:c>
      <x:c r="G228" s="6" t="n">
        <x:v>10800</x:v>
      </x:c>
      <x:c r="H228" s="8" t="n">
        <x:f>F228/G228-1</x:f>
        <x:v>-0.0039046936010836975</x:v>
      </x:c>
      <x:c r="I228" s="9" t="n">
        <x:f>G228*D228/10000</x:f>
        <x:v>45.1764</x:v>
      </x:c>
      <x:c r="J228" s="6" t="n">
        <x:v>3</x:v>
      </x:c>
      <x:c r="K228" s="6" t="n">
        <x:v>1</x:v>
      </x:c>
      <x:c r="L228" s="6" t="str">
        <x:v>近12个月</x:v>
      </x:c>
      <x:c r="M228" s="6" t="str">
        <x:v>2025-11-05</x:v>
      </x:c>
      <x:c r="N228" s="6" t="str">
        <x:v>106129403170</x:v>
      </x:c>
      <x:c r="O228" s="6" t="str">
        <x:v>https://cd.lianjia.com/ershoufang/106129403170.html</x:v>
      </x:c>
      <x:c r="P228" s="8" t="n">
        <x:f>1-I228/E228</x:f>
        <x:v>-0.0039199999999999235</x:v>
      </x:c>
    </x:row>
    <x:row r="229" ht="22" customHeight="1">
      <x:c r="A229" s="6" t="str">
        <x:v>西南财大</x:v>
      </x:c>
      <x:c r="B229" s="6" t="str">
        <x:v>水木光华</x:v>
      </x:c>
      <x:c r="C229" s="6" t="str">
        <x:v>1室1厅</x:v>
      </x:c>
      <x:c r="D229" s="6" t="n">
        <x:v>38.05</x:v>
      </x:c>
      <x:c r="E229" s="9" t="n">
        <x:v>40</x:v>
      </x:c>
      <x:c r="F229" s="6" t="n">
        <x:v>10512.483574244416</x:v>
      </x:c>
      <x:c r="G229" s="6" t="n">
        <x:v>15162</x:v>
      </x:c>
      <x:c r="H229" s="8" t="n">
        <x:f>F229/G229-1</x:f>
        <x:v>-0.3066558782321319</x:v>
      </x:c>
      <x:c r="I229" s="9" t="n">
        <x:f>G229*D229/10000</x:f>
        <x:v>57.69141</x:v>
      </x:c>
      <x:c r="J229" s="6" t="n">
        <x:v>2</x:v>
      </x:c>
      <x:c r="K229" s="6" t="n">
        <x:v>0</x:v>
      </x:c>
      <x:c r="L229" s="6" t="str">
        <x:v>超过12个月</x:v>
      </x:c>
      <x:c r="M229" s="6" t="str">
        <x:v>2025-03-13</x:v>
      </x:c>
      <x:c r="N229" s="6" t="str">
        <x:v>106129767489</x:v>
      </x:c>
      <x:c r="O229" s="6" t="str">
        <x:v>https://cd.lianjia.com/ershoufang/106129767489.html</x:v>
      </x:c>
      <x:c r="P229" s="8" t="n">
        <x:f>1-I229/E229</x:f>
        <x:v>-0.44228524999999985</x:v>
      </x:c>
    </x:row>
    <x:row r="230" ht="22" customHeight="1">
      <x:c r="A230" s="6" t="str">
        <x:v>西南财大</x:v>
      </x:c>
      <x:c r="B230" s="6" t="str">
        <x:v>西财骏苑</x:v>
      </x:c>
      <x:c r="C230" s="6" t="str">
        <x:v>1室0厅</x:v>
      </x:c>
      <x:c r="D230" s="6" t="n">
        <x:v>42.09</x:v>
      </x:c>
      <x:c r="E230" s="9" t="n">
        <x:v>52.7</x:v>
      </x:c>
      <x:c r="F230" s="6" t="n">
        <x:v>12520.788785934901</x:v>
      </x:c>
      <x:c r="G230" s="6"/>
      <x:c r="H230" s="8"/>
      <x:c r="I230" s="9"/>
      <x:c r="J230" s="6" t="n">
        <x:v>0</x:v>
      </x:c>
      <x:c r="K230" s="6" t="n">
        <x:v>0</x:v>
      </x:c>
      <x:c r="L230" s="6" t="str">
        <x:v>无可比</x:v>
      </x:c>
      <x:c r="M230" s="6" t="str"/>
      <x:c r="N230" s="6" t="str">
        <x:v>106116316544</x:v>
      </x:c>
      <x:c r="O230" s="6" t="str">
        <x:v>https://cd.lianjia.com/ershoufang/106116316544.html</x:v>
      </x:c>
      <x:c r="P230" s="8"/>
    </x:row>
    <x:row r="231" ht="22" customHeight="1">
      <x:c r="A231" s="6" t="str">
        <x:v>西南财大</x:v>
      </x:c>
      <x:c r="B231" s="6" t="str">
        <x:v>水木光华</x:v>
      </x:c>
      <x:c r="C231" s="6" t="str">
        <x:v>1室1厅</x:v>
      </x:c>
      <x:c r="D231" s="6" t="n">
        <x:v>38.05</x:v>
      </x:c>
      <x:c r="E231" s="9" t="n">
        <x:v>60</x:v>
      </x:c>
      <x:c r="F231" s="6" t="n">
        <x:v>15768.725361366623</x:v>
      </x:c>
      <x:c r="G231" s="6" t="n">
        <x:v>15162</x:v>
      </x:c>
      <x:c r="H231" s="8" t="n">
        <x:f>F231/G231-1</x:f>
        <x:v>0.04001618265180218</x:v>
      </x:c>
      <x:c r="I231" s="9" t="n">
        <x:f>G231*D231/10000</x:f>
        <x:v>57.69141</x:v>
      </x:c>
      <x:c r="J231" s="6" t="n">
        <x:v>2</x:v>
      </x:c>
      <x:c r="K231" s="6" t="n">
        <x:v>0</x:v>
      </x:c>
      <x:c r="L231" s="6" t="str">
        <x:v>超过12个月</x:v>
      </x:c>
      <x:c r="M231" s="6" t="str">
        <x:v>2025-03-13</x:v>
      </x:c>
      <x:c r="N231" s="6" t="str">
        <x:v>106117077712</x:v>
      </x:c>
      <x:c r="O231" s="6" t="str">
        <x:v>https://cd.lianjia.com/ershoufang/106117077712.html</x:v>
      </x:c>
      <x:c r="P231" s="8" t="n">
        <x:f>1-I231/E231</x:f>
        <x:v>0.038476500000000025</x:v>
      </x:c>
    </x:row>
    <x:row r="232" ht="22" customHeight="1">
      <x:c r="A232" s="6" t="str">
        <x:v>西南财大</x:v>
      </x:c>
      <x:c r="B232" s="6" t="str">
        <x:v>大陆西城秀筑</x:v>
      </x:c>
      <x:c r="C232" s="6" t="str">
        <x:v>1室1厅</x:v>
      </x:c>
      <x:c r="D232" s="6" t="n">
        <x:v>43.78</x:v>
      </x:c>
      <x:c r="E232" s="9" t="n">
        <x:v>59.8</x:v>
      </x:c>
      <x:c r="F232" s="6" t="n">
        <x:v>13659.205116491548</x:v>
      </x:c>
      <x:c r="G232" s="6"/>
      <x:c r="H232" s="8"/>
      <x:c r="I232" s="9"/>
      <x:c r="J232" s="6" t="n">
        <x:v>0</x:v>
      </x:c>
      <x:c r="K232" s="6" t="n">
        <x:v>0</x:v>
      </x:c>
      <x:c r="L232" s="6" t="str">
        <x:v>无可比</x:v>
      </x:c>
      <x:c r="M232" s="6" t="str"/>
      <x:c r="N232" s="6" t="str">
        <x:v>106116495196</x:v>
      </x:c>
      <x:c r="O232" s="6" t="str">
        <x:v>https://cd.lianjia.com/ershoufang/106116495196.html</x:v>
      </x:c>
      <x:c r="P232" s="8"/>
    </x:row>
    <x:row r="233" ht="22" customHeight="1">
      <x:c r="A233" s="6" t="str">
        <x:v>西南财大</x:v>
      </x:c>
      <x:c r="B233" s="6" t="str">
        <x:v>水木光华</x:v>
      </x:c>
      <x:c r="C233" s="6" t="str">
        <x:v>1室0厅</x:v>
      </x:c>
      <x:c r="D233" s="6" t="n">
        <x:v>38.05</x:v>
      </x:c>
      <x:c r="E233" s="9" t="n">
        <x:v>49</x:v>
      </x:c>
      <x:c r="F233" s="6" t="n">
        <x:v>12877.79237844941</x:v>
      </x:c>
      <x:c r="G233" s="6" t="n">
        <x:v>10603</x:v>
      </x:c>
      <x:c r="H233" s="8" t="n">
        <x:f>F233/G233-1</x:f>
        <x:v>0.21454233504191356</x:v>
      </x:c>
      <x:c r="I233" s="9" t="n">
        <x:f>G233*D233/10000</x:f>
        <x:v>40.344415</x:v>
      </x:c>
      <x:c r="J233" s="6" t="n">
        <x:v>3</x:v>
      </x:c>
      <x:c r="K233" s="6" t="n">
        <x:v>0</x:v>
      </x:c>
      <x:c r="L233" s="6" t="str">
        <x:v>超过12个月</x:v>
      </x:c>
      <x:c r="M233" s="6" t="str">
        <x:v>2025-09-13</x:v>
      </x:c>
      <x:c r="N233" s="6" t="str">
        <x:v>106127414035</x:v>
      </x:c>
      <x:c r="O233" s="6" t="str">
        <x:v>https://cd.lianjia.com/ershoufang/106127414035.html</x:v>
      </x:c>
      <x:c r="P233" s="8" t="n">
        <x:f>1-I233/E233</x:f>
        <x:v>0.17664459183673475</x:v>
      </x:c>
    </x:row>
    <x:row r="234" ht="22" customHeight="1">
      <x:c r="A234" s="6" t="str">
        <x:v>西南财大</x:v>
      </x:c>
      <x:c r="B234" s="6" t="str">
        <x:v>大陆西城秀筑</x:v>
      </x:c>
      <x:c r="C234" s="6" t="str">
        <x:v>1室1厅</x:v>
      </x:c>
      <x:c r="D234" s="6" t="n">
        <x:v>42.67</x:v>
      </x:c>
      <x:c r="E234" s="9" t="n">
        <x:v>49</x:v>
      </x:c>
      <x:c r="F234" s="6" t="n">
        <x:v>11483.47785329271</x:v>
      </x:c>
      <x:c r="G234" s="6"/>
      <x:c r="H234" s="8"/>
      <x:c r="I234" s="9"/>
      <x:c r="J234" s="6" t="n">
        <x:v>0</x:v>
      </x:c>
      <x:c r="K234" s="6" t="n">
        <x:v>0</x:v>
      </x:c>
      <x:c r="L234" s="6" t="str">
        <x:v>无可比</x:v>
      </x:c>
      <x:c r="M234" s="6" t="str"/>
      <x:c r="N234" s="6" t="str">
        <x:v>106123255553</x:v>
      </x:c>
      <x:c r="O234" s="6" t="str">
        <x:v>https://cd.lianjia.com/ershoufang/106123255553.html</x:v>
      </x:c>
      <x:c r="P234" s="8"/>
    </x:row>
    <x:row r="235" ht="22" customHeight="1">
      <x:c r="A235" s="6" t="str">
        <x:v>西南财大</x:v>
      </x:c>
      <x:c r="B235" s="6" t="str">
        <x:v>水木光华</x:v>
      </x:c>
      <x:c r="C235" s="6" t="str">
        <x:v>1室1厅</x:v>
      </x:c>
      <x:c r="D235" s="6" t="n">
        <x:v>38.05</x:v>
      </x:c>
      <x:c r="E235" s="9" t="n">
        <x:v>59</x:v>
      </x:c>
      <x:c r="F235" s="6" t="n">
        <x:v>15505.913272010514</x:v>
      </x:c>
      <x:c r="G235" s="6" t="n">
        <x:v>15162</x:v>
      </x:c>
      <x:c r="H235" s="8" t="n">
        <x:f>F235/G235-1</x:f>
        <x:v>0.022682579607605335</x:v>
      </x:c>
      <x:c r="I235" s="9" t="n">
        <x:f>G235*D235/10000</x:f>
        <x:v>57.69141</x:v>
      </x:c>
      <x:c r="J235" s="6" t="n">
        <x:v>2</x:v>
      </x:c>
      <x:c r="K235" s="6" t="n">
        <x:v>0</x:v>
      </x:c>
      <x:c r="L235" s="6" t="str">
        <x:v>超过12个月</x:v>
      </x:c>
      <x:c r="M235" s="6" t="str">
        <x:v>2025-03-13</x:v>
      </x:c>
      <x:c r="N235" s="6" t="str">
        <x:v>106129294995</x:v>
      </x:c>
      <x:c r="O235" s="6" t="str">
        <x:v>https://cd.lianjia.com/ershoufang/106129294995.html</x:v>
      </x:c>
      <x:c r="P235" s="8" t="n">
        <x:f>1-I235/E235</x:f>
        <x:v>0.022179491525423756</x:v>
      </x:c>
    </x:row>
    <x:row r="236" ht="22" customHeight="1">
      <x:c r="A236" s="6" t="str">
        <x:v>西南财大</x:v>
      </x:c>
      <x:c r="B236" s="6" t="str">
        <x:v>水木光华</x:v>
      </x:c>
      <x:c r="C236" s="6" t="str">
        <x:v>2室1厅</x:v>
      </x:c>
      <x:c r="D236" s="6" t="n">
        <x:v>45.91</x:v>
      </x:c>
      <x:c r="E236" s="9" t="n">
        <x:v>65</x:v>
      </x:c>
      <x:c r="F236" s="6" t="n">
        <x:v>14158.135482465696</x:v>
      </x:c>
      <x:c r="G236" s="6" t="n">
        <x:v>12525</x:v>
      </x:c>
      <x:c r="H236" s="8" t="n">
        <x:f>F236/G236-1</x:f>
        <x:v>0.13039005848029506</x:v>
      </x:c>
      <x:c r="I236" s="9" t="n">
        <x:f>G236*D236/10000</x:f>
        <x:v>57.502275</x:v>
      </x:c>
      <x:c r="J236" s="6" t="n">
        <x:v>2</x:v>
      </x:c>
      <x:c r="K236" s="6" t="n">
        <x:v>1</x:v>
      </x:c>
      <x:c r="L236" s="6" t="str">
        <x:v>近12个月</x:v>
      </x:c>
      <x:c r="M236" s="6" t="str">
        <x:v>2025-11-26</x:v>
      </x:c>
      <x:c r="N236" s="6" t="str">
        <x:v>106129728818</x:v>
      </x:c>
      <x:c r="O236" s="6" t="str">
        <x:v>https://cd.lianjia.com/ershoufang/106129728818.html</x:v>
      </x:c>
      <x:c r="P236" s="8" t="n">
        <x:f>1-I236/E236</x:f>
        <x:v>0.11534961538461541</x:v>
      </x:c>
    </x:row>
    <x:row r="237" ht="22" customHeight="1">
      <x:c r="A237" s="6" t="str">
        <x:v>西南财大</x:v>
      </x:c>
      <x:c r="B237" s="6" t="str">
        <x:v>水木光华</x:v>
      </x:c>
      <x:c r="C237" s="6" t="str">
        <x:v>2室1厅</x:v>
      </x:c>
      <x:c r="D237" s="6" t="n">
        <x:v>41.27</x:v>
      </x:c>
      <x:c r="E237" s="9" t="n">
        <x:v>86</x:v>
      </x:c>
      <x:c r="F237" s="6" t="n">
        <x:v>20838.381390840805</x:v>
      </x:c>
      <x:c r="G237" s="6" t="n">
        <x:v>12525</x:v>
      </x:c>
      <x:c r="H237" s="8" t="n">
        <x:f>F237/G237-1</x:f>
        <x:v>0.6637430252168308</x:v>
      </x:c>
      <x:c r="I237" s="9" t="n">
        <x:f>G237*D237/10000</x:f>
        <x:v>51.690675000000006</x:v>
      </x:c>
      <x:c r="J237" s="6" t="n">
        <x:v>1</x:v>
      </x:c>
      <x:c r="K237" s="6" t="n">
        <x:v>1</x:v>
      </x:c>
      <x:c r="L237" s="6" t="str">
        <x:v>近12个月</x:v>
      </x:c>
      <x:c r="M237" s="6" t="str">
        <x:v>2025-11-26</x:v>
      </x:c>
      <x:c r="N237" s="6" t="str">
        <x:v>106129740963</x:v>
      </x:c>
      <x:c r="O237" s="6" t="str">
        <x:v>https://cd.lianjia.com/ershoufang/106129740963.html</x:v>
      </x:c>
      <x:c r="P237" s="8" t="n">
        <x:f>1-I237/E237</x:f>
        <x:v>0.3989456395348836</x:v>
      </x:c>
    </x:row>
    <x:row r="238" ht="22" customHeight="1">
      <x:c r="A238" s="6" t="str">
        <x:v>川大</x:v>
      </x:c>
      <x:c r="B238" s="6" t="str">
        <x:v>好望角</x:v>
      </x:c>
      <x:c r="C238" s="6" t="str">
        <x:v>1室0厅</x:v>
      </x:c>
      <x:c r="D238" s="6" t="n">
        <x:v>32.99</x:v>
      </x:c>
      <x:c r="E238" s="9" t="n">
        <x:v>43</x:v>
      </x:c>
      <x:c r="F238" s="6" t="n">
        <x:v>13034.252803879963</x:v>
      </x:c>
      <x:c r="G238" s="6" t="n">
        <x:v>10894</x:v>
      </x:c>
      <x:c r="H238" s="8" t="n">
        <x:f>F238/G238-1</x:f>
        <x:v>0.1964616122526126</x:v>
      </x:c>
      <x:c r="I238" s="9" t="n">
        <x:f>G238*D238/10000</x:f>
        <x:v>35.939306</x:v>
      </x:c>
      <x:c r="J238" s="6" t="n">
        <x:v>11</x:v>
      </x:c>
      <x:c r="K238" s="6" t="n">
        <x:v>4</x:v>
      </x:c>
      <x:c r="L238" s="6" t="str">
        <x:v>近12个月</x:v>
      </x:c>
      <x:c r="M238" s="6" t="str">
        <x:v>2026-08-24</x:v>
      </x:c>
      <x:c r="N238" s="6" t="str">
        <x:v>106126842554</x:v>
      </x:c>
      <x:c r="O238" s="6" t="str">
        <x:v>https://cd.lianjia.com/ershoufang/106126842554.html</x:v>
      </x:c>
      <x:c r="P238" s="8" t="n">
        <x:f>1-I238/E238</x:f>
        <x:v>0.1642021860465116</x:v>
      </x:c>
    </x:row>
    <x:row r="239" ht="22" customHeight="1">
      <x:c r="A239" s="6" t="str">
        <x:v>川大</x:v>
      </x:c>
      <x:c r="B239" s="6" t="str">
        <x:v>好望角</x:v>
      </x:c>
      <x:c r="C239" s="6" t="str">
        <x:v>1室1厅</x:v>
      </x:c>
      <x:c r="D239" s="6" t="n">
        <x:v>32.99</x:v>
      </x:c>
      <x:c r="E239" s="9" t="n">
        <x:v>40</x:v>
      </x:c>
      <x:c r="F239" s="6" t="n">
        <x:v>12124.886329190664</x:v>
      </x:c>
      <x:c r="G239" s="6" t="n">
        <x:v>11766</x:v>
      </x:c>
      <x:c r="H239" s="8" t="n">
        <x:f>F239/G239-1</x:f>
        <x:v>0.030501982763102564</x:v>
      </x:c>
      <x:c r="I239" s="9" t="n">
        <x:f>G239*D239/10000</x:f>
        <x:v>38.816034</x:v>
      </x:c>
      <x:c r="J239" s="6" t="n">
        <x:v>3</x:v>
      </x:c>
      <x:c r="K239" s="6" t="n">
        <x:v>1</x:v>
      </x:c>
      <x:c r="L239" s="6" t="str">
        <x:v>近12个月</x:v>
      </x:c>
      <x:c r="M239" s="6" t="str">
        <x:v>2026-01-11</x:v>
      </x:c>
      <x:c r="N239" s="6" t="str">
        <x:v>106129748001</x:v>
      </x:c>
      <x:c r="O239" s="6" t="str">
        <x:v>https://cd.lianjia.com/ershoufang/106129748001.html</x:v>
      </x:c>
      <x:c r="P239" s="8" t="n">
        <x:f>1-I239/E239</x:f>
        <x:v>0.029599149999999907</x:v>
      </x:c>
    </x:row>
    <x:row r="240" ht="22" customHeight="1">
      <x:c r="A240" s="6" t="str">
        <x:v>川大</x:v>
      </x:c>
      <x:c r="B240" s="6" t="str">
        <x:v>樱花假日</x:v>
      </x:c>
      <x:c r="C240" s="6" t="str">
        <x:v>1室0厅</x:v>
      </x:c>
      <x:c r="D240" s="6" t="n">
        <x:v>27.96</x:v>
      </x:c>
      <x:c r="E240" s="9" t="n">
        <x:v>43</x:v>
      </x:c>
      <x:c r="F240" s="6" t="n">
        <x:v>15379.113018597996</x:v>
      </x:c>
      <x:c r="G240" s="6" t="n">
        <x:v>15101</x:v>
      </x:c>
      <x:c r="H240" s="8" t="n">
        <x:f>F240/G240-1</x:f>
        <x:v>0.01841686104218243</x:v>
      </x:c>
      <x:c r="I240" s="9" t="n">
        <x:f>G240*D240/10000</x:f>
        <x:v>42.222396</x:v>
      </x:c>
      <x:c r="J240" s="6" t="n">
        <x:v>3</x:v>
      </x:c>
      <x:c r="K240" s="6" t="n">
        <x:v>3</x:v>
      </x:c>
      <x:c r="L240" s="6" t="str">
        <x:v>近12个月</x:v>
      </x:c>
      <x:c r="M240" s="6" t="str">
        <x:v>2026-01-17</x:v>
      </x:c>
      <x:c r="N240" s="6" t="str">
        <x:v>106129252223</x:v>
      </x:c>
      <x:c r="O240" s="6" t="str">
        <x:v>https://cd.lianjia.com/ershoufang/106129252223.html</x:v>
      </x:c>
      <x:c r="P240" s="8" t="n">
        <x:f>1-I240/E240</x:f>
        <x:v>0.018083813953488348</x:v>
      </x:c>
    </x:row>
    <x:row r="241" ht="22" customHeight="1">
      <x:c r="A241" s="6" t="str">
        <x:v>川大</x:v>
      </x:c>
      <x:c r="B241" s="6" t="str">
        <x:v>樱花假日</x:v>
      </x:c>
      <x:c r="C241" s="6" t="str">
        <x:v>2室1厅</x:v>
      </x:c>
      <x:c r="D241" s="6" t="n">
        <x:v>59</x:v>
      </x:c>
      <x:c r="E241" s="9" t="n">
        <x:v>98</x:v>
      </x:c>
      <x:c r="F241" s="6" t="n">
        <x:v>16610.169491525423</x:v>
      </x:c>
      <x:c r="G241" s="6" t="n">
        <x:v>12947</x:v>
      </x:c>
      <x:c r="H241" s="8" t="n">
        <x:f>F241/G241-1</x:f>
        <x:v>0.28293577597323116</x:v>
      </x:c>
      <x:c r="I241" s="9" t="n">
        <x:f>G241*D241/10000</x:f>
        <x:v>76.3873</x:v>
      </x:c>
      <x:c r="J241" s="6" t="n">
        <x:v>2</x:v>
      </x:c>
      <x:c r="K241" s="6" t="n">
        <x:v>1</x:v>
      </x:c>
      <x:c r="L241" s="6" t="str">
        <x:v>近12个月</x:v>
      </x:c>
      <x:c r="M241" s="6" t="str">
        <x:v>2025-12-30</x:v>
      </x:c>
      <x:c r="N241" s="6" t="str">
        <x:v>106129294270</x:v>
      </x:c>
      <x:c r="O241" s="6" t="str">
        <x:v>https://cd.lianjia.com/ershoufang/106129294270.html</x:v>
      </x:c>
      <x:c r="P241" s="8" t="n">
        <x:f>1-I241/E241</x:f>
        <x:v>0.22053775510204088</x:v>
      </x:c>
    </x:row>
    <x:row r="242" ht="22" customHeight="1">
      <x:c r="A242" s="6" t="str">
        <x:v>川大</x:v>
      </x:c>
      <x:c r="B242" s="6" t="str">
        <x:v>和信派都</x:v>
      </x:c>
      <x:c r="C242" s="6" t="str">
        <x:v>1室1厅</x:v>
      </x:c>
      <x:c r="D242" s="6" t="n">
        <x:v>51.28</x:v>
      </x:c>
      <x:c r="E242" s="9" t="n">
        <x:v>92</x:v>
      </x:c>
      <x:c r="F242" s="6" t="n">
        <x:v>17940.717628705148</x:v>
      </x:c>
      <x:c r="G242" s="6" t="n">
        <x:v>14892</x:v>
      </x:c>
      <x:c r="H242" s="8" t="n">
        <x:f>F242/G242-1</x:f>
        <x:v>0.20472183915559672</x:v>
      </x:c>
      <x:c r="I242" s="9" t="n">
        <x:f>G242*D242/10000</x:f>
        <x:v>76.366176</x:v>
      </x:c>
      <x:c r="J242" s="6" t="n">
        <x:v>4</x:v>
      </x:c>
      <x:c r="K242" s="6" t="n">
        <x:v>1</x:v>
      </x:c>
      <x:c r="L242" s="6" t="str">
        <x:v>近12个月</x:v>
      </x:c>
      <x:c r="M242" s="6" t="str">
        <x:v>2026-06-28</x:v>
      </x:c>
      <x:c r="N242" s="6" t="str">
        <x:v>106119083725</x:v>
      </x:c>
      <x:c r="O242" s="6" t="str">
        <x:v>https://cd.lianjia.com/ershoufang/106119083725.html</x:v>
      </x:c>
      <x:c r="P242" s="8" t="n">
        <x:f>1-I242/E242</x:f>
        <x:v>0.16993286956521747</x:v>
      </x:c>
    </x:row>
    <x:row r="243" ht="22" customHeight="1">
      <x:c r="A243" s="6" t="str">
        <x:v>川音</x:v>
      </x:c>
      <x:c r="B243" s="6" t="str">
        <x:v>摩卡筑</x:v>
      </x:c>
      <x:c r="C243" s="6" t="str">
        <x:v>1室1厅</x:v>
      </x:c>
      <x:c r="D243" s="6" t="n">
        <x:v>32.15</x:v>
      </x:c>
      <x:c r="E243" s="9" t="n">
        <x:v>62</x:v>
      </x:c>
      <x:c r="F243" s="6" t="n">
        <x:v>19284.6034214619</x:v>
      </x:c>
      <x:c r="G243" s="6"/>
      <x:c r="H243" s="8"/>
      <x:c r="I243" s="9"/>
      <x:c r="J243" s="6" t="n">
        <x:v>0</x:v>
      </x:c>
      <x:c r="K243" s="6" t="n">
        <x:v>0</x:v>
      </x:c>
      <x:c r="L243" s="6" t="str">
        <x:v>无可比</x:v>
      </x:c>
      <x:c r="M243" s="6" t="str"/>
      <x:c r="N243" s="6" t="str">
        <x:v>106124708254</x:v>
      </x:c>
      <x:c r="O243" s="6" t="str">
        <x:v>https://cd.lianjia.com/ershoufang/106124708254.html</x:v>
      </x:c>
      <x:c r="P243" s="8"/>
    </x:row>
    <x:row r="244" ht="22" customHeight="1">
      <x:c r="A244" s="6" t="str">
        <x:v>川音</x:v>
      </x:c>
      <x:c r="B244" s="6" t="str">
        <x:v>摩卡筑</x:v>
      </x:c>
      <x:c r="C244" s="6" t="str">
        <x:v>1室1厅</x:v>
      </x:c>
      <x:c r="D244" s="6" t="n">
        <x:v>32.09</x:v>
      </x:c>
      <x:c r="E244" s="9" t="n">
        <x:v>69</x:v>
      </x:c>
      <x:c r="F244" s="6" t="n">
        <x:v>21502.025553131814</x:v>
      </x:c>
      <x:c r="G244" s="6"/>
      <x:c r="H244" s="8"/>
      <x:c r="I244" s="9"/>
      <x:c r="J244" s="6" t="n">
        <x:v>0</x:v>
      </x:c>
      <x:c r="K244" s="6" t="n">
        <x:v>0</x:v>
      </x:c>
      <x:c r="L244" s="6" t="str">
        <x:v>无可比</x:v>
      </x:c>
      <x:c r="M244" s="6" t="str"/>
      <x:c r="N244" s="6" t="str">
        <x:v>106129086523</x:v>
      </x:c>
      <x:c r="O244" s="6" t="str">
        <x:v>https://cd.lianjia.com/ershoufang/106129086523.html</x:v>
      </x:c>
      <x:c r="P244" s="8"/>
    </x:row>
    <x:row r="245" ht="22" customHeight="1">
      <x:c r="A245" s="6" t="str">
        <x:v>川音</x:v>
      </x:c>
      <x:c r="B245" s="6" t="str">
        <x:v>锦宏骏苑北区</x:v>
      </x:c>
      <x:c r="C245" s="6" t="str">
        <x:v>1室1厅</x:v>
      </x:c>
      <x:c r="D245" s="6" t="n">
        <x:v>44.3</x:v>
      </x:c>
      <x:c r="E245" s="9" t="n">
        <x:v>83</x:v>
      </x:c>
      <x:c r="F245" s="6" t="n">
        <x:v>18735.891647855533</x:v>
      </x:c>
      <x:c r="G245" s="6"/>
      <x:c r="H245" s="8"/>
      <x:c r="I245" s="9"/>
      <x:c r="J245" s="6" t="n">
        <x:v>0</x:v>
      </x:c>
      <x:c r="K245" s="6" t="n">
        <x:v>0</x:v>
      </x:c>
      <x:c r="L245" s="6" t="str">
        <x:v>无可比</x:v>
      </x:c>
      <x:c r="M245" s="6" t="str"/>
      <x:c r="N245" s="6" t="str">
        <x:v>106114356907</x:v>
      </x:c>
      <x:c r="O245" s="6" t="str">
        <x:v>https://cd.lianjia.com/ershoufang/106114356907.html</x:v>
      </x:c>
      <x:c r="P245" s="8"/>
    </x:row>
    <x:row r="246" ht="22" customHeight="1">
      <x:c r="A246" s="6" t="str">
        <x:v>川音</x:v>
      </x:c>
      <x:c r="B246" s="6" t="str">
        <x:v>林荫嘉园</x:v>
      </x:c>
      <x:c r="C246" s="6" t="str">
        <x:v>1室1厅</x:v>
      </x:c>
      <x:c r="D246" s="6" t="n">
        <x:v>47.26</x:v>
      </x:c>
      <x:c r="E246" s="9" t="n">
        <x:v>96</x:v>
      </x:c>
      <x:c r="F246" s="6" t="n">
        <x:v>20313.16123571731</x:v>
      </x:c>
      <x:c r="G246" s="6" t="n">
        <x:v>14373.5</x:v>
      </x:c>
      <x:c r="H246" s="8" t="n">
        <x:f>F246/G246-1</x:f>
        <x:v>0.4132369454702969</x:v>
      </x:c>
      <x:c r="I246" s="9" t="n">
        <x:f>G246*D246/10000</x:f>
        <x:v>67.929161</x:v>
      </x:c>
      <x:c r="J246" s="6" t="n">
        <x:v>2</x:v>
      </x:c>
      <x:c r="K246" s="6" t="n">
        <x:v>0</x:v>
      </x:c>
      <x:c r="L246" s="6" t="str">
        <x:v>超过12个月</x:v>
      </x:c>
      <x:c r="M246" s="6" t="str">
        <x:v>2025-09-08</x:v>
      </x:c>
      <x:c r="N246" s="6" t="str">
        <x:v>106127349612</x:v>
      </x:c>
      <x:c r="O246" s="6" t="str">
        <x:v>https://cd.lianjia.com/ershoufang/106127349612.html</x:v>
      </x:c>
      <x:c r="P246" s="8" t="n">
        <x:f>1-I246/E246</x:f>
        <x:v>0.29240457291666677</x:v>
      </x:c>
    </x:row>
    <x:row r="247" ht="22" customHeight="1">
      <x:c r="A247" s="6" t="str">
        <x:v>川音</x:v>
      </x:c>
      <x:c r="B247" s="6" t="str">
        <x:v>摩卡筑</x:v>
      </x:c>
      <x:c r="C247" s="6" t="str">
        <x:v>1室1厅</x:v>
      </x:c>
      <x:c r="D247" s="6" t="n">
        <x:v>47.83</x:v>
      </x:c>
      <x:c r="E247" s="9" t="n">
        <x:v>92</x:v>
      </x:c>
      <x:c r="F247" s="6" t="n">
        <x:v>19234.78988082793</x:v>
      </x:c>
      <x:c r="G247" s="6" t="n">
        <x:v>17341</x:v>
      </x:c>
      <x:c r="H247" s="8" t="n">
        <x:f>F247/G247-1</x:f>
        <x:v>0.10920880461495486</x:v>
      </x:c>
      <x:c r="I247" s="9" t="n">
        <x:f>G247*D247/10000</x:f>
        <x:v>82.942003</x:v>
      </x:c>
      <x:c r="J247" s="6" t="n">
        <x:v>1</x:v>
      </x:c>
      <x:c r="K247" s="6" t="n">
        <x:v>0</x:v>
      </x:c>
      <x:c r="L247" s="6" t="str">
        <x:v>超过12个月</x:v>
      </x:c>
      <x:c r="M247" s="6" t="str">
        <x:v>2025-07-20</x:v>
      </x:c>
      <x:c r="N247" s="6" t="str">
        <x:v>106118734500</x:v>
      </x:c>
      <x:c r="O247" s="6" t="str">
        <x:v>https://cd.lianjia.com/ershoufang/106118734500.html</x:v>
      </x:c>
      <x:c r="P247" s="8" t="n">
        <x:f>1-I247/E247</x:f>
        <x:v>0.09845648913043481</x:v>
      </x:c>
    </x:row>
    <x:row r="248" ht="22" customHeight="1">
      <x:c r="A248" s="6" t="str">
        <x:v>川音</x:v>
      </x:c>
      <x:c r="B248" s="6" t="str">
        <x:v>摩卡筑</x:v>
      </x:c>
      <x:c r="C248" s="6" t="str">
        <x:v>1室0厅</x:v>
      </x:c>
      <x:c r="D248" s="6" t="n">
        <x:v>38.23</x:v>
      </x:c>
      <x:c r="E248" s="9" t="n">
        <x:v>88</x:v>
      </x:c>
      <x:c r="F248" s="6" t="n">
        <x:v>23018.571802249546</x:v>
      </x:c>
      <x:c r="G248" s="6"/>
      <x:c r="H248" s="8"/>
      <x:c r="I248" s="9"/>
      <x:c r="J248" s="6" t="n">
        <x:v>0</x:v>
      </x:c>
      <x:c r="K248" s="6" t="n">
        <x:v>0</x:v>
      </x:c>
      <x:c r="L248" s="6" t="str">
        <x:v>无可比</x:v>
      </x:c>
      <x:c r="M248" s="6" t="str"/>
      <x:c r="N248" s="6" t="str">
        <x:v>106128841061</x:v>
      </x:c>
      <x:c r="O248" s="6" t="str">
        <x:v>https://cd.lianjia.com/ershoufang/106128841061.html</x:v>
      </x:c>
      <x:c r="P248" s="8"/>
    </x:row>
    <x:row r="249" ht="22" customHeight="1">
      <x:c r="A249" s="6" t="str">
        <x:v>川音</x:v>
      </x:c>
      <x:c r="B249" s="6" t="str">
        <x:v>正黄上岭</x:v>
      </x:c>
      <x:c r="C249" s="6" t="str">
        <x:v>1室1厅</x:v>
      </x:c>
      <x:c r="D249" s="6" t="n">
        <x:v>43.7</x:v>
      </x:c>
      <x:c r="E249" s="9" t="n">
        <x:v>76</x:v>
      </x:c>
      <x:c r="F249" s="6" t="n">
        <x:v>17391.304347826084</x:v>
      </x:c>
      <x:c r="G249" s="6" t="n">
        <x:v>16354</x:v>
      </x:c>
      <x:c r="H249" s="8" t="n">
        <x:f>F249/G249-1</x:f>
        <x:v>0.06342817340259788</x:v>
      </x:c>
      <x:c r="I249" s="9" t="n">
        <x:f>G249*D249/10000</x:f>
        <x:v>71.46698</x:v>
      </x:c>
      <x:c r="J249" s="6" t="n">
        <x:v>3</x:v>
      </x:c>
      <x:c r="K249" s="6" t="n">
        <x:v>1</x:v>
      </x:c>
      <x:c r="L249" s="6" t="str">
        <x:v>近12个月</x:v>
      </x:c>
      <x:c r="M249" s="6" t="str">
        <x:v>2026-04-27</x:v>
      </x:c>
      <x:c r="N249" s="6" t="str">
        <x:v>106128450619</x:v>
      </x:c>
      <x:c r="O249" s="6" t="str">
        <x:v>https://cd.lianjia.com/ershoufang/106128450619.html</x:v>
      </x:c>
      <x:c r="P249" s="8" t="n">
        <x:f>1-I249/E249</x:f>
        <x:v>0.05964499999999995</x:v>
      </x:c>
    </x:row>
    <x:row r="250" ht="22" customHeight="1">
      <x:c r="A250" s="6" t="str">
        <x:v>川音</x:v>
      </x:c>
      <x:c r="B250" s="6" t="str">
        <x:v>锦宏骏苑南区</x:v>
      </x:c>
      <x:c r="C250" s="6" t="str">
        <x:v>1室0厅</x:v>
      </x:c>
      <x:c r="D250" s="6" t="n">
        <x:v>43.58</x:v>
      </x:c>
      <x:c r="E250" s="9" t="n">
        <x:v>68</x:v>
      </x:c>
      <x:c r="F250" s="6" t="n">
        <x:v>15603.48783845801</x:v>
      </x:c>
      <x:c r="G250" s="6"/>
      <x:c r="H250" s="8"/>
      <x:c r="I250" s="9"/>
      <x:c r="J250" s="6" t="n">
        <x:v>0</x:v>
      </x:c>
      <x:c r="K250" s="6" t="n">
        <x:v>0</x:v>
      </x:c>
      <x:c r="L250" s="6" t="str">
        <x:v>无可比</x:v>
      </x:c>
      <x:c r="M250" s="6" t="str"/>
      <x:c r="N250" s="6" t="str">
        <x:v>106129471420</x:v>
      </x:c>
      <x:c r="O250" s="6" t="str">
        <x:v>https://cd.lianjia.com/ershoufang/106129471420.html</x:v>
      </x:c>
      <x:c r="P250" s="8"/>
    </x:row>
    <x:row r="251" ht="22" customHeight="1">
      <x:c r="A251" s="6" t="str">
        <x:v>川音</x:v>
      </x:c>
      <x:c r="B251" s="6" t="str">
        <x:v>时代100</x:v>
      </x:c>
      <x:c r="C251" s="6" t="str">
        <x:v>1室1厅</x:v>
      </x:c>
      <x:c r="D251" s="6" t="n">
        <x:v>42.11</x:v>
      </x:c>
      <x:c r="E251" s="9" t="n">
        <x:v>75</x:v>
      </x:c>
      <x:c r="F251" s="6" t="n">
        <x:v>17810.496319164093</x:v>
      </x:c>
      <x:c r="G251" s="6" t="n">
        <x:v>13618</x:v>
      </x:c>
      <x:c r="H251" s="8" t="n">
        <x:f>F251/G251-1</x:f>
        <x:v>0.30786432069056335</x:v>
      </x:c>
      <x:c r="I251" s="9" t="n">
        <x:f>G251*D251/10000</x:f>
        <x:v>57.345397999999996</x:v>
      </x:c>
      <x:c r="J251" s="6" t="n">
        <x:v>2</x:v>
      </x:c>
      <x:c r="K251" s="6" t="n">
        <x:v>0</x:v>
      </x:c>
      <x:c r="L251" s="6" t="str">
        <x:v>超过12个月</x:v>
      </x:c>
      <x:c r="M251" s="6" t="str">
        <x:v>2025-08-10</x:v>
      </x:c>
      <x:c r="N251" s="6" t="str">
        <x:v>106124676347</x:v>
      </x:c>
      <x:c r="O251" s="6" t="str">
        <x:v>https://cd.lianjia.com/ershoufang/106124676347.html</x:v>
      </x:c>
      <x:c r="P251" s="8" t="n">
        <x:f>1-I251/E251</x:f>
        <x:v>0.2353946933333334</x:v>
      </x:c>
    </x:row>
    <x:row r="252" ht="22" customHeight="1">
      <x:c r="A252" s="6" t="str">
        <x:v>川音</x:v>
      </x:c>
      <x:c r="B252" s="6" t="str">
        <x:v>锦宏骏苑北区</x:v>
      </x:c>
      <x:c r="C252" s="6" t="str">
        <x:v>1室0厅</x:v>
      </x:c>
      <x:c r="D252" s="6" t="n">
        <x:v>44.3</x:v>
      </x:c>
      <x:c r="E252" s="9" t="n">
        <x:v>75</x:v>
      </x:c>
      <x:c r="F252" s="6" t="n">
        <x:v>16930.022573363432</x:v>
      </x:c>
      <x:c r="G252" s="6"/>
      <x:c r="H252" s="8"/>
      <x:c r="I252" s="9"/>
      <x:c r="J252" s="6" t="n">
        <x:v>0</x:v>
      </x:c>
      <x:c r="K252" s="6" t="n">
        <x:v>0</x:v>
      </x:c>
      <x:c r="L252" s="6" t="str">
        <x:v>无可比</x:v>
      </x:c>
      <x:c r="M252" s="6" t="str"/>
      <x:c r="N252" s="6" t="str">
        <x:v>106127402839</x:v>
      </x:c>
      <x:c r="O252" s="6" t="str">
        <x:v>https://cd.lianjia.com/ershoufang/106127402839.html</x:v>
      </x:c>
      <x:c r="P252" s="8"/>
    </x:row>
    <x:row r="253" ht="22" customHeight="1">
      <x:c r="A253" s="6" t="str">
        <x:v>合江亭</x:v>
      </x:c>
      <x:c r="B253" s="6" t="str">
        <x:v>美丽合江</x:v>
      </x:c>
      <x:c r="C253" s="6" t="str">
        <x:v>1室1厅</x:v>
      </x:c>
      <x:c r="D253" s="6" t="n">
        <x:v>52.38</x:v>
      </x:c>
      <x:c r="E253" s="9" t="n">
        <x:v>120</x:v>
      </x:c>
      <x:c r="F253" s="6" t="n">
        <x:v>22909.50744558992</x:v>
      </x:c>
      <x:c r="G253" s="6" t="n">
        <x:v>19357.5</x:v>
      </x:c>
      <x:c r="H253" s="8" t="n">
        <x:f>F253/G253-1</x:f>
        <x:v>0.18349515410512307</x:v>
      </x:c>
      <x:c r="I253" s="9" t="n">
        <x:f>G253*D253/10000</x:f>
        <x:v>101.394585</x:v>
      </x:c>
      <x:c r="J253" s="6" t="n">
        <x:v>5</x:v>
      </x:c>
      <x:c r="K253" s="6" t="n">
        <x:v>2</x:v>
      </x:c>
      <x:c r="L253" s="6" t="str">
        <x:v>近12个月</x:v>
      </x:c>
      <x:c r="M253" s="6" t="str">
        <x:v>2026-06-23</x:v>
      </x:c>
      <x:c r="N253" s="6" t="str">
        <x:v>106127223868</x:v>
      </x:c>
      <x:c r="O253" s="6" t="str">
        <x:v>https://cd.lianjia.com/ershoufang/106127223868.html</x:v>
      </x:c>
      <x:c r="P253" s="8" t="n">
        <x:f>1-I253/E253</x:f>
        <x:v>0.1550451249999999</x:v>
      </x:c>
    </x:row>
    <x:row r="254" ht="22" customHeight="1">
      <x:c r="A254" s="6" t="str">
        <x:v>合江亭</x:v>
      </x:c>
      <x:c r="B254" s="6" t="str">
        <x:v>锦上花</x:v>
      </x:c>
      <x:c r="C254" s="6" t="str">
        <x:v>1室1厅</x:v>
      </x:c>
      <x:c r="D254" s="6" t="n">
        <x:v>57.23</x:v>
      </x:c>
      <x:c r="E254" s="9" t="n">
        <x:v>120</x:v>
      </x:c>
      <x:c r="F254" s="6" t="n">
        <x:v>20968.023763760266</x:v>
      </x:c>
      <x:c r="G254" s="6" t="n">
        <x:v>14750</x:v>
      </x:c>
      <x:c r="H254" s="8" t="n">
        <x:f>F254/G254-1</x:f>
        <x:v>0.4215609331362893</x:v>
      </x:c>
      <x:c r="I254" s="9" t="n">
        <x:f>G254*D254/10000</x:f>
        <x:v>84.41425</x:v>
      </x:c>
      <x:c r="J254" s="6" t="n">
        <x:v>1</x:v>
      </x:c>
      <x:c r="K254" s="6" t="n">
        <x:v>0</x:v>
      </x:c>
      <x:c r="L254" s="6" t="str">
        <x:v>超过12个月</x:v>
      </x:c>
      <x:c r="M254" s="6" t="str">
        <x:v>2025-03-16</x:v>
      </x:c>
      <x:c r="N254" s="6" t="str">
        <x:v>106119050378</x:v>
      </x:c>
      <x:c r="O254" s="6" t="str">
        <x:v>https://cd.lianjia.com/ershoufang/106119050378.html</x:v>
      </x:c>
      <x:c r="P254" s="8" t="n">
        <x:f>1-I254/E254</x:f>
        <x:v>0.2965479166666667</x:v>
      </x:c>
    </x:row>
    <x:row r="255" ht="22" customHeight="1">
      <x:c r="A255" s="6" t="str">
        <x:v>合江亭</x:v>
      </x:c>
      <x:c r="B255" s="6" t="str">
        <x:v>蓝光郁金香花园广场</x:v>
      </x:c>
      <x:c r="C255" s="6" t="str">
        <x:v>1室1厅</x:v>
      </x:c>
      <x:c r="D255" s="6" t="n">
        <x:v>58.51</x:v>
      </x:c>
      <x:c r="E255" s="9" t="n">
        <x:v>107</x:v>
      </x:c>
      <x:c r="F255" s="6" t="n">
        <x:v>18287.47222696975</x:v>
      </x:c>
      <x:c r="G255" s="6"/>
      <x:c r="H255" s="8"/>
      <x:c r="I255" s="9"/>
      <x:c r="J255" s="6" t="n">
        <x:v>0</x:v>
      </x:c>
      <x:c r="K255" s="6" t="n">
        <x:v>0</x:v>
      </x:c>
      <x:c r="L255" s="6" t="str">
        <x:v>无可比</x:v>
      </x:c>
      <x:c r="M255" s="6" t="str"/>
      <x:c r="N255" s="6" t="str">
        <x:v>106121939543</x:v>
      </x:c>
      <x:c r="O255" s="6" t="str">
        <x:v>https://cd.lianjia.com/ershoufang/106121939543.html</x:v>
      </x:c>
      <x:c r="P255" s="8"/>
    </x:row>
    <x:row r="256" ht="22" customHeight="1">
      <x:c r="A256" s="6" t="str">
        <x:v>合江亭</x:v>
      </x:c>
      <x:c r="B256" s="6" t="str">
        <x:v>美丽合江</x:v>
      </x:c>
      <x:c r="C256" s="6" t="str">
        <x:v>1室1厅</x:v>
      </x:c>
      <x:c r="D256" s="6" t="n">
        <x:v>53.95</x:v>
      </x:c>
      <x:c r="E256" s="9" t="n">
        <x:v>110</x:v>
      </x:c>
      <x:c r="F256" s="6" t="n">
        <x:v>20389.249304911955</x:v>
      </x:c>
      <x:c r="G256" s="6" t="n">
        <x:v>19357.5</x:v>
      </x:c>
      <x:c r="H256" s="8" t="n">
        <x:f>F256/G256-1</x:f>
        <x:v>0.05329971870912842</x:v>
      </x:c>
      <x:c r="I256" s="9" t="n">
        <x:f>G256*D256/10000</x:f>
        <x:v>104.4337125</x:v>
      </x:c>
      <x:c r="J256" s="6" t="n">
        <x:v>5</x:v>
      </x:c>
      <x:c r="K256" s="6" t="n">
        <x:v>2</x:v>
      </x:c>
      <x:c r="L256" s="6" t="str">
        <x:v>近12个月</x:v>
      </x:c>
      <x:c r="M256" s="6" t="str">
        <x:v>2026-06-23</x:v>
      </x:c>
      <x:c r="N256" s="6" t="str">
        <x:v>106109037715</x:v>
      </x:c>
      <x:c r="O256" s="6" t="str">
        <x:v>https://cd.lianjia.com/ershoufang/106109037715.html</x:v>
      </x:c>
      <x:c r="P256" s="8" t="n">
        <x:f>1-I256/E256</x:f>
        <x:v>0.05060261363636365</x:v>
      </x:c>
    </x:row>
    <x:row r="257" ht="22" customHeight="1">
      <x:c r="A257" s="6" t="str">
        <x:v>合江亭</x:v>
      </x:c>
      <x:c r="B257" s="6" t="str">
        <x:v>流星花园</x:v>
      </x:c>
      <x:c r="C257" s="6" t="str">
        <x:v>1室1厅</x:v>
      </x:c>
      <x:c r="D257" s="6" t="n">
        <x:v>50.19</x:v>
      </x:c>
      <x:c r="E257" s="9" t="n">
        <x:v>115</x:v>
      </x:c>
      <x:c r="F257" s="6" t="n">
        <x:v>22912.93086272166</x:v>
      </x:c>
      <x:c r="G257" s="6"/>
      <x:c r="H257" s="8"/>
      <x:c r="I257" s="9"/>
      <x:c r="J257" s="6" t="n">
        <x:v>0</x:v>
      </x:c>
      <x:c r="K257" s="6" t="n">
        <x:v>0</x:v>
      </x:c>
      <x:c r="L257" s="6" t="str">
        <x:v>无可比</x:v>
      </x:c>
      <x:c r="M257" s="6" t="str"/>
      <x:c r="N257" s="6" t="str">
        <x:v>106121741137</x:v>
      </x:c>
      <x:c r="O257" s="6" t="str">
        <x:v>https://cd.lianjia.com/ershoufang/106121741137.html</x:v>
      </x:c>
      <x:c r="P257" s="8"/>
    </x:row>
    <x:row r="258" ht="22" customHeight="1">
      <x:c r="A258" s="6" t="str">
        <x:v>合江亭</x:v>
      </x:c>
      <x:c r="B258" s="6" t="str">
        <x:v>蓝光郁金香花园广场</x:v>
      </x:c>
      <x:c r="C258" s="6" t="str">
        <x:v>1室1厅</x:v>
      </x:c>
      <x:c r="D258" s="6" t="n">
        <x:v>59.02</x:v>
      </x:c>
      <x:c r="E258" s="9" t="n">
        <x:v>110</x:v>
      </x:c>
      <x:c r="F258" s="6" t="n">
        <x:v>18637.749915282955</x:v>
      </x:c>
      <x:c r="G258" s="6"/>
      <x:c r="H258" s="8"/>
      <x:c r="I258" s="9"/>
      <x:c r="J258" s="6" t="n">
        <x:v>0</x:v>
      </x:c>
      <x:c r="K258" s="6" t="n">
        <x:v>0</x:v>
      </x:c>
      <x:c r="L258" s="6" t="str">
        <x:v>无可比</x:v>
      </x:c>
      <x:c r="M258" s="6" t="str"/>
      <x:c r="N258" s="6" t="str">
        <x:v>106129219894</x:v>
      </x:c>
      <x:c r="O258" s="6" t="str">
        <x:v>https://cd.lianjia.com/ershoufang/106129219894.html</x:v>
      </x:c>
      <x:c r="P258" s="8"/>
    </x:row>
    <x:row r="259" ht="22" customHeight="1">
      <x:c r="A259" s="6" t="str">
        <x:v>合江亭</x:v>
      </x:c>
      <x:c r="B259" s="6" t="str">
        <x:v>锦江印象</x:v>
      </x:c>
      <x:c r="C259" s="6" t="str">
        <x:v>1室1厅</x:v>
      </x:c>
      <x:c r="D259" s="6" t="n">
        <x:v>52.04</x:v>
      </x:c>
      <x:c r="E259" s="9" t="n">
        <x:v>109</x:v>
      </x:c>
      <x:c r="F259" s="6" t="n">
        <x:v>20945.42659492698</x:v>
      </x:c>
      <x:c r="G259" s="6" t="n">
        <x:v>22077.5</x:v>
      </x:c>
      <x:c r="H259" s="8" t="n">
        <x:f>F259/G259-1</x:f>
        <x:v>-0.0512772462947807</x:v>
      </x:c>
      <x:c r="I259" s="9" t="n">
        <x:f>G259*D259/10000</x:f>
        <x:v>114.89131</x:v>
      </x:c>
      <x:c r="J259" s="6" t="n">
        <x:v>12</x:v>
      </x:c>
      <x:c r="K259" s="6" t="n">
        <x:v>2</x:v>
      </x:c>
      <x:c r="L259" s="6" t="str">
        <x:v>近12个月</x:v>
      </x:c>
      <x:c r="M259" s="6" t="str">
        <x:v>2026-04-09</x:v>
      </x:c>
      <x:c r="N259" s="6" t="str">
        <x:v>106115611668</x:v>
      </x:c>
      <x:c r="O259" s="6" t="str">
        <x:v>https://cd.lianjia.com/ershoufang/106115611668.html</x:v>
      </x:c>
      <x:c r="P259" s="8" t="n">
        <x:f>1-I259/E259</x:f>
        <x:v>-0.05404871559633029</x:v>
      </x:c>
    </x:row>
    <x:row r="260" ht="22" customHeight="1">
      <x:c r="A260" s="6" t="str">
        <x:v>合江亭</x:v>
      </x:c>
      <x:c r="B260" s="6" t="str">
        <x:v>蓝光郁金香花园广场</x:v>
      </x:c>
      <x:c r="C260" s="6" t="str">
        <x:v>1室1厅</x:v>
      </x:c>
      <x:c r="D260" s="6" t="n">
        <x:v>59.02</x:v>
      </x:c>
      <x:c r="E260" s="9" t="n">
        <x:v>99</x:v>
      </x:c>
      <x:c r="F260" s="6" t="n">
        <x:v>16773.97492375466</x:v>
      </x:c>
      <x:c r="G260" s="6"/>
      <x:c r="H260" s="8"/>
      <x:c r="I260" s="9"/>
      <x:c r="J260" s="6" t="n">
        <x:v>0</x:v>
      </x:c>
      <x:c r="K260" s="6" t="n">
        <x:v>0</x:v>
      </x:c>
      <x:c r="L260" s="6" t="str">
        <x:v>无可比</x:v>
      </x:c>
      <x:c r="M260" s="6" t="str"/>
      <x:c r="N260" s="6" t="str">
        <x:v>106126744533</x:v>
      </x:c>
      <x:c r="O260" s="6" t="str">
        <x:v>https://cd.lianjia.com/ershoufang/106126744533.html</x:v>
      </x:c>
      <x:c r="P260" s="8"/>
    </x:row>
    <x:row r="261" ht="22" customHeight="1">
      <x:c r="A261" s="6" t="str">
        <x:v>合江亭</x:v>
      </x:c>
      <x:c r="B261" s="6" t="str">
        <x:v>蓝光郁金香花园广场</x:v>
      </x:c>
      <x:c r="C261" s="6" t="str">
        <x:v>1室1厅</x:v>
      </x:c>
      <x:c r="D261" s="6" t="n">
        <x:v>58.91</x:v>
      </x:c>
      <x:c r="E261" s="9" t="n">
        <x:v>105</x:v>
      </x:c>
      <x:c r="F261" s="6" t="n">
        <x:v>17823.799015447294</x:v>
      </x:c>
      <x:c r="G261" s="6"/>
      <x:c r="H261" s="8"/>
      <x:c r="I261" s="9"/>
      <x:c r="J261" s="6" t="n">
        <x:v>0</x:v>
      </x:c>
      <x:c r="K261" s="6" t="n">
        <x:v>0</x:v>
      </x:c>
      <x:c r="L261" s="6" t="str">
        <x:v>无可比</x:v>
      </x:c>
      <x:c r="M261" s="6" t="str"/>
      <x:c r="N261" s="6" t="str">
        <x:v>106125537640</x:v>
      </x:c>
      <x:c r="O261" s="6" t="str">
        <x:v>https://cd.lianjia.com/ershoufang/106125537640.html</x:v>
      </x:c>
      <x:c r="P261" s="8"/>
    </x:row>
    <x:row r="262" ht="22" customHeight="1">
      <x:c r="A262" s="6" t="str">
        <x:v>合江亭</x:v>
      </x:c>
      <x:c r="B262" s="6" t="str">
        <x:v>锦上花</x:v>
      </x:c>
      <x:c r="C262" s="6" t="str">
        <x:v>1室1厅</x:v>
      </x:c>
      <x:c r="D262" s="6" t="n">
        <x:v>53.38</x:v>
      </x:c>
      <x:c r="E262" s="9" t="n">
        <x:v>116</x:v>
      </x:c>
      <x:c r="F262" s="6" t="n">
        <x:v>21730.985387785688</x:v>
      </x:c>
      <x:c r="G262" s="6" t="n">
        <x:v>16807.5</x:v>
      </x:c>
      <x:c r="H262" s="8" t="n">
        <x:f>F262/G262-1</x:f>
        <x:v>0.2929338323835007</x:v>
      </x:c>
      <x:c r="I262" s="9" t="n">
        <x:f>G262*D262/10000</x:f>
        <x:v>89.71843500000001</x:v>
      </x:c>
      <x:c r="J262" s="6" t="n">
        <x:v>3</x:v>
      </x:c>
      <x:c r="K262" s="6" t="n">
        <x:v>2</x:v>
      </x:c>
      <x:c r="L262" s="6" t="str">
        <x:v>近12个月</x:v>
      </x:c>
      <x:c r="M262" s="6" t="str">
        <x:v>2026-06-20</x:v>
      </x:c>
      <x:c r="N262" s="6" t="str">
        <x:v>106129461186</x:v>
      </x:c>
      <x:c r="O262" s="6" t="str">
        <x:v>https://cd.lianjia.com/ershoufang/106129461186.html</x:v>
      </x:c>
      <x:c r="P262" s="8" t="n">
        <x:f>1-I262/E262</x:f>
        <x:v>0.2265652155172413</x:v>
      </x:c>
    </x:row>
    <x:row r="263" ht="22" customHeight="1">
      <x:c r="A263" s="6" t="str">
        <x:v>合江亭</x:v>
      </x:c>
      <x:c r="B263" s="6" t="str">
        <x:v>上东吉座</x:v>
      </x:c>
      <x:c r="C263" s="6" t="str">
        <x:v>1室1厅</x:v>
      </x:c>
      <x:c r="D263" s="6" t="n">
        <x:v>50.57</x:v>
      </x:c>
      <x:c r="E263" s="9" t="n">
        <x:v>93</x:v>
      </x:c>
      <x:c r="F263" s="6" t="n">
        <x:v>18390.350009887286</x:v>
      </x:c>
      <x:c r="G263" s="6"/>
      <x:c r="H263" s="8"/>
      <x:c r="I263" s="9"/>
      <x:c r="J263" s="6" t="n">
        <x:v>0</x:v>
      </x:c>
      <x:c r="K263" s="6" t="n">
        <x:v>0</x:v>
      </x:c>
      <x:c r="L263" s="6" t="str">
        <x:v>无可比</x:v>
      </x:c>
      <x:c r="M263" s="6" t="str"/>
      <x:c r="N263" s="6" t="str">
        <x:v>106120793853</x:v>
      </x:c>
      <x:c r="O263" s="6" t="str">
        <x:v>https://cd.lianjia.com/ershoufang/106120793853.html</x:v>
      </x:c>
      <x:c r="P263" s="8"/>
    </x:row>
    <x:row r="264" ht="22" customHeight="1">
      <x:c r="A264" s="6" t="str">
        <x:v>合江亭</x:v>
      </x:c>
      <x:c r="B264" s="6" t="str">
        <x:v>蓝光郁金香花园广场</x:v>
      </x:c>
      <x:c r="C264" s="6" t="str">
        <x:v>1室1厅</x:v>
      </x:c>
      <x:c r="D264" s="6" t="n">
        <x:v>58.91</x:v>
      </x:c>
      <x:c r="E264" s="9" t="n">
        <x:v>103</x:v>
      </x:c>
      <x:c r="F264" s="6" t="n">
        <x:v>17484.298081819725</x:v>
      </x:c>
      <x:c r="G264" s="6"/>
      <x:c r="H264" s="8"/>
      <x:c r="I264" s="9"/>
      <x:c r="J264" s="6" t="n">
        <x:v>0</x:v>
      </x:c>
      <x:c r="K264" s="6" t="n">
        <x:v>0</x:v>
      </x:c>
      <x:c r="L264" s="6" t="str">
        <x:v>无可比</x:v>
      </x:c>
      <x:c r="M264" s="6" t="str"/>
      <x:c r="N264" s="6" t="str">
        <x:v>106129693440</x:v>
      </x:c>
      <x:c r="O264" s="6" t="str">
        <x:v>https://cd.lianjia.com/ershoufang/106129693440.html</x:v>
      </x:c>
      <x:c r="P264" s="8"/>
    </x:row>
    <x:row r="265" ht="22" customHeight="1">
      <x:c r="A265" s="6" t="str">
        <x:v>合江亭</x:v>
      </x:c>
      <x:c r="B265" s="6" t="str">
        <x:v>喜年广场</x:v>
      </x:c>
      <x:c r="C265" s="6" t="str">
        <x:v>1室0厅</x:v>
      </x:c>
      <x:c r="D265" s="6" t="n">
        <x:v>46.81</x:v>
      </x:c>
      <x:c r="E265" s="9" t="n">
        <x:v>86</x:v>
      </x:c>
      <x:c r="F265" s="6" t="n">
        <x:v>18372.142704550308</x:v>
      </x:c>
      <x:c r="G265" s="6" t="n">
        <x:v>22511</x:v>
      </x:c>
      <x:c r="H265" s="8" t="n">
        <x:f>F265/G265-1</x:f>
        <x:v>-0.18385932634932667</x:v>
      </x:c>
      <x:c r="I265" s="9" t="n">
        <x:f>G265*D265/10000</x:f>
        <x:v>105.37399100000002</x:v>
      </x:c>
      <x:c r="J265" s="6" t="n">
        <x:v>8</x:v>
      </x:c>
      <x:c r="K265" s="6" t="n">
        <x:v>7</x:v>
      </x:c>
      <x:c r="L265" s="6" t="str">
        <x:v>近12个月</x:v>
      </x:c>
      <x:c r="M265" s="6" t="str">
        <x:v>2026-07-19</x:v>
      </x:c>
      <x:c r="N265" s="6" t="str">
        <x:v>106127808775</x:v>
      </x:c>
      <x:c r="O265" s="6" t="str">
        <x:v>https://cd.lianjia.com/ershoufang/106127808775.html</x:v>
      </x:c>
      <x:c r="P265" s="8" t="n">
        <x:f>1-I265/E265</x:f>
        <x:v>-0.2252789651162792</x:v>
      </x:c>
    </x:row>
    <x:row r="266" ht="22" customHeight="1">
      <x:c r="A266" s="6" t="str">
        <x:v>合江亭</x:v>
      </x:c>
      <x:c r="B266" s="6" t="str">
        <x:v>锦上花</x:v>
      </x:c>
      <x:c r="C266" s="6" t="str">
        <x:v>1室1厅</x:v>
      </x:c>
      <x:c r="D266" s="6" t="n">
        <x:v>48.17</x:v>
      </x:c>
      <x:c r="E266" s="9" t="n">
        <x:v>89.8</x:v>
      </x:c>
      <x:c r="F266" s="6" t="n">
        <x:v>18642.308490761883</x:v>
      </x:c>
      <x:c r="G266" s="6" t="n">
        <x:v>17231</x:v>
      </x:c>
      <x:c r="H266" s="8" t="n">
        <x:f>F266/G266-1</x:f>
        <x:v>0.08190519939422458</x:v>
      </x:c>
      <x:c r="I266" s="9" t="n">
        <x:f>G266*D266/10000</x:f>
        <x:v>83.001727</x:v>
      </x:c>
      <x:c r="J266" s="6" t="n">
        <x:v>5</x:v>
      </x:c>
      <x:c r="K266" s="6" t="n">
        <x:v>3</x:v>
      </x:c>
      <x:c r="L266" s="6" t="str">
        <x:v>近12个月</x:v>
      </x:c>
      <x:c r="M266" s="6" t="str">
        <x:v>2026-06-20</x:v>
      </x:c>
      <x:c r="N266" s="6" t="str">
        <x:v>106127692134</x:v>
      </x:c>
      <x:c r="O266" s="6" t="str">
        <x:v>https://cd.lianjia.com/ershoufang/106127692134.html</x:v>
      </x:c>
      <x:c r="P266" s="8" t="n">
        <x:f>1-I266/E266</x:f>
        <x:v>0.0757045991091313</x:v>
      </x:c>
    </x:row>
    <x:row r="267" ht="22" customHeight="1">
      <x:c r="A267" s="6" t="str">
        <x:v>合江亭</x:v>
      </x:c>
      <x:c r="B267" s="6" t="str">
        <x:v>星城银座</x:v>
      </x:c>
      <x:c r="C267" s="6" t="str">
        <x:v>1室1厅</x:v>
      </x:c>
      <x:c r="D267" s="6" t="n">
        <x:v>45.2</x:v>
      </x:c>
      <x:c r="E267" s="9" t="n">
        <x:v>86</x:v>
      </x:c>
      <x:c r="F267" s="6" t="n">
        <x:v>19026.548672566372</x:v>
      </x:c>
      <x:c r="G267" s="6" t="n">
        <x:v>17814</x:v>
      </x:c>
      <x:c r="H267" s="8" t="n">
        <x:f>F267/G267-1</x:f>
        <x:v>0.06806717596083822</x:v>
      </x:c>
      <x:c r="I267" s="9" t="n">
        <x:f>G267*D267/10000</x:f>
        <x:v>80.51928000000001</x:v>
      </x:c>
      <x:c r="J267" s="6" t="n">
        <x:v>6</x:v>
      </x:c>
      <x:c r="K267" s="6" t="n">
        <x:v>2</x:v>
      </x:c>
      <x:c r="L267" s="6" t="str">
        <x:v>近12个月</x:v>
      </x:c>
      <x:c r="M267" s="6" t="str">
        <x:v>2026-04-16</x:v>
      </x:c>
      <x:c r="N267" s="6" t="str">
        <x:v>106126734948</x:v>
      </x:c>
      <x:c r="O267" s="6" t="str">
        <x:v>https://cd.lianjia.com/ershoufang/106126734948.html</x:v>
      </x:c>
      <x:c r="P267" s="8" t="n">
        <x:f>1-I267/E267</x:f>
        <x:v>0.06372930232558127</x:v>
      </x:c>
    </x:row>
    <x:row r="268" ht="22" customHeight="1">
      <x:c r="A268" s="6" t="str">
        <x:v>合江亭</x:v>
      </x:c>
      <x:c r="B268" s="6" t="str">
        <x:v>锦上花</x:v>
      </x:c>
      <x:c r="C268" s="6" t="str">
        <x:v>1室1厅</x:v>
      </x:c>
      <x:c r="D268" s="6" t="n">
        <x:v>48.17</x:v>
      </x:c>
      <x:c r="E268" s="9" t="n">
        <x:v>88.8</x:v>
      </x:c>
      <x:c r="F268" s="6" t="n">
        <x:v>18434.710400664313</x:v>
      </x:c>
      <x:c r="G268" s="6" t="n">
        <x:v>17231</x:v>
      </x:c>
      <x:c r="H268" s="8" t="n">
        <x:f>F268/G268-1</x:f>
        <x:v>0.0698572573074292</x:v>
      </x:c>
      <x:c r="I268" s="9" t="n">
        <x:f>G268*D268/10000</x:f>
        <x:v>83.001727</x:v>
      </x:c>
      <x:c r="J268" s="6" t="n">
        <x:v>5</x:v>
      </x:c>
      <x:c r="K268" s="6" t="n">
        <x:v>3</x:v>
      </x:c>
      <x:c r="L268" s="6" t="str">
        <x:v>近12个月</x:v>
      </x:c>
      <x:c r="M268" s="6" t="str">
        <x:v>2026-06-20</x:v>
      </x:c>
      <x:c r="N268" s="6" t="str">
        <x:v>106127225802</x:v>
      </x:c>
      <x:c r="O268" s="6" t="str">
        <x:v>https://cd.lianjia.com/ershoufang/106127225802.html</x:v>
      </x:c>
      <x:c r="P268" s="8" t="n">
        <x:f>1-I268/E268</x:f>
        <x:v>0.0652958671171171</x:v>
      </x:c>
    </x:row>
    <x:row r="269" ht="22" customHeight="1">
      <x:c r="A269" s="6" t="str">
        <x:v>合江亭</x:v>
      </x:c>
      <x:c r="B269" s="6" t="str">
        <x:v>SOHO我的寓所</x:v>
      </x:c>
      <x:c r="C269" s="6" t="str">
        <x:v>1室1厅</x:v>
      </x:c>
      <x:c r="D269" s="6" t="n">
        <x:v>48.75</x:v>
      </x:c>
      <x:c r="E269" s="9" t="n">
        <x:v>80</x:v>
      </x:c>
      <x:c r="F269" s="6" t="n">
        <x:v>16410.25641025641</x:v>
      </x:c>
      <x:c r="G269" s="6" t="n">
        <x:v>16395.5</x:v>
      </x:c>
      <x:c r="H269" s="8" t="n">
        <x:f>F269/G269-1</x:f>
        <x:v>0.0009000280721178644</x:v>
      </x:c>
      <x:c r="I269" s="9" t="n">
        <x:f>G269*D269/10000</x:f>
        <x:v>79.9280625</x:v>
      </x:c>
      <x:c r="J269" s="6" t="n">
        <x:v>11</x:v>
      </x:c>
      <x:c r="K269" s="6" t="n">
        <x:v>2</x:v>
      </x:c>
      <x:c r="L269" s="6" t="str">
        <x:v>近12个月</x:v>
      </x:c>
      <x:c r="M269" s="6" t="str">
        <x:v>2026-05-19</x:v>
      </x:c>
      <x:c r="N269" s="6" t="str">
        <x:v>106125480592</x:v>
      </x:c>
      <x:c r="O269" s="6" t="str">
        <x:v>https://cd.lianjia.com/ershoufang/106125480592.html</x:v>
      </x:c>
      <x:c r="P269" s="8" t="n">
        <x:f>1-I269/E269</x:f>
        <x:v>0.000899218750000097</x:v>
      </x:c>
    </x:row>
    <x:row r="270" ht="22" customHeight="1">
      <x:c r="A270" s="6" t="str">
        <x:v>盐市口</x:v>
      </x:c>
      <x:c r="B270" s="6" t="str">
        <x:v>科甲大厦</x:v>
      </x:c>
      <x:c r="C270" s="6" t="str">
        <x:v>1室1厅</x:v>
      </x:c>
      <x:c r="D270" s="6" t="n">
        <x:v>59.23</x:v>
      </x:c>
      <x:c r="E270" s="9" t="n">
        <x:v>101</x:v>
      </x:c>
      <x:c r="F270" s="6" t="n">
        <x:v>17052.16950869492</x:v>
      </x:c>
      <x:c r="G270" s="6"/>
      <x:c r="H270" s="8"/>
      <x:c r="I270" s="9"/>
      <x:c r="J270" s="6" t="n">
        <x:v>0</x:v>
      </x:c>
      <x:c r="K270" s="6" t="n">
        <x:v>0</x:v>
      </x:c>
      <x:c r="L270" s="6" t="str">
        <x:v>无可比</x:v>
      </x:c>
      <x:c r="M270" s="6" t="str"/>
      <x:c r="N270" s="6" t="str">
        <x:v>106127594259</x:v>
      </x:c>
      <x:c r="O270" s="6" t="str">
        <x:v>https://cd.lianjia.com/ershoufang/106127594259.html</x:v>
      </x:c>
      <x:c r="P270" s="8"/>
    </x:row>
    <x:row r="271" ht="22" customHeight="1">
      <x:c r="A271" s="6" t="str">
        <x:v>盐市口</x:v>
      </x:c>
      <x:c r="B271" s="6" t="str">
        <x:v>财富中心</x:v>
      </x:c>
      <x:c r="C271" s="6" t="str">
        <x:v>1室1厅</x:v>
      </x:c>
      <x:c r="D271" s="6" t="n">
        <x:v>51.15</x:v>
      </x:c>
      <x:c r="E271" s="9" t="n">
        <x:v>118</x:v>
      </x:c>
      <x:c r="F271" s="6" t="n">
        <x:v>23069.403714565007</x:v>
      </x:c>
      <x:c r="G271" s="6" t="n">
        <x:v>22678</x:v>
      </x:c>
      <x:c r="H271" s="8" t="n">
        <x:f>F271/G271-1</x:f>
        <x:v>0.01725918134601856</x:v>
      </x:c>
      <x:c r="I271" s="9" t="n">
        <x:f>G271*D271/10000</x:f>
        <x:v>115.99797</x:v>
      </x:c>
      <x:c r="J271" s="6" t="n">
        <x:v>23</x:v>
      </x:c>
      <x:c r="K271" s="6" t="n">
        <x:v>21</x:v>
      </x:c>
      <x:c r="L271" s="6" t="str">
        <x:v>近12个月</x:v>
      </x:c>
      <x:c r="M271" s="6" t="str">
        <x:v>2026-09-04</x:v>
      </x:c>
      <x:c r="N271" s="6" t="str">
        <x:v>106129433631</x:v>
      </x:c>
      <x:c r="O271" s="6" t="str">
        <x:v>https://cd.lianjia.com/ershoufang/106129433631.html</x:v>
      </x:c>
      <x:c r="P271" s="8" t="n">
        <x:f>1-I271/E271</x:f>
        <x:v>0.016966355932203414</x:v>
      </x:c>
    </x:row>
    <x:row r="272" ht="22" customHeight="1">
      <x:c r="A272" s="6" t="str">
        <x:v>盐市口</x:v>
      </x:c>
      <x:c r="B272" s="6" t="str">
        <x:v>财富中心</x:v>
      </x:c>
      <x:c r="C272" s="6" t="str">
        <x:v>1室1厅</x:v>
      </x:c>
      <x:c r="D272" s="6" t="n">
        <x:v>50.29</x:v>
      </x:c>
      <x:c r="E272" s="9" t="n">
        <x:v>109</x:v>
      </x:c>
      <x:c r="F272" s="6" t="n">
        <x:v>21674.289123086102</x:v>
      </x:c>
      <x:c r="G272" s="6" t="n">
        <x:v>22678</x:v>
      </x:c>
      <x:c r="H272" s="8" t="n">
        <x:f>F272/G272-1</x:f>
        <x:v>-0.04425923260048936</x:v>
      </x:c>
      <x:c r="I272" s="9" t="n">
        <x:f>G272*D272/10000</x:f>
        <x:v>114.04766199999999</x:v>
      </x:c>
      <x:c r="J272" s="6" t="n">
        <x:v>23</x:v>
      </x:c>
      <x:c r="K272" s="6" t="n">
        <x:v>21</x:v>
      </x:c>
      <x:c r="L272" s="6" t="str">
        <x:v>近12个月</x:v>
      </x:c>
      <x:c r="M272" s="6" t="str">
        <x:v>2026-09-04</x:v>
      </x:c>
      <x:c r="N272" s="6" t="str">
        <x:v>106129453510</x:v>
      </x:c>
      <x:c r="O272" s="6" t="str">
        <x:v>https://cd.lianjia.com/ershoufang/106129453510.html</x:v>
      </x:c>
      <x:c r="P272" s="8" t="n">
        <x:f>1-I272/E272</x:f>
        <x:v>-0.04630882568807326</x:v>
      </x:c>
    </x:row>
    <x:row r="273" ht="22" customHeight="1">
      <x:c r="A273" s="6" t="str">
        <x:v>盐市口</x:v>
      </x:c>
      <x:c r="B273" s="6" t="str">
        <x:v>财富中心</x:v>
      </x:c>
      <x:c r="C273" s="6" t="str">
        <x:v>1室1厅</x:v>
      </x:c>
      <x:c r="D273" s="6" t="n">
        <x:v>50.13</x:v>
      </x:c>
      <x:c r="E273" s="9" t="n">
        <x:v>120</x:v>
      </x:c>
      <x:c r="F273" s="6" t="n">
        <x:v>23937.761819269897</x:v>
      </x:c>
      <x:c r="G273" s="6" t="n">
        <x:v>22678</x:v>
      </x:c>
      <x:c r="H273" s="8" t="n">
        <x:f>F273/G273-1</x:f>
        <x:v>0.055549952344558395</x:v>
      </x:c>
      <x:c r="I273" s="9" t="n">
        <x:f>G273*D273/10000</x:f>
        <x:v>113.68481400000002</x:v>
      </x:c>
      <x:c r="J273" s="6" t="n">
        <x:v>23</x:v>
      </x:c>
      <x:c r="K273" s="6" t="n">
        <x:v>21</x:v>
      </x:c>
      <x:c r="L273" s="6" t="str">
        <x:v>近12个月</x:v>
      </x:c>
      <x:c r="M273" s="6" t="str">
        <x:v>2026-09-04</x:v>
      </x:c>
      <x:c r="N273" s="6" t="str">
        <x:v>106127952491</x:v>
      </x:c>
      <x:c r="O273" s="6" t="str">
        <x:v>https://cd.lianjia.com/ershoufang/106127952491.html</x:v>
      </x:c>
      <x:c r="P273" s="8" t="n">
        <x:f>1-I273/E273</x:f>
        <x:v>0.05262654999999983</x:v>
      </x:c>
    </x:row>
    <x:row r="274" ht="22" customHeight="1">
      <x:c r="A274" s="6" t="str">
        <x:v>盐市口</x:v>
      </x:c>
      <x:c r="B274" s="6" t="str">
        <x:v>美华大厦</x:v>
      </x:c>
      <x:c r="C274" s="6" t="str">
        <x:v>1室1厅</x:v>
      </x:c>
      <x:c r="D274" s="6" t="n">
        <x:v>50.91</x:v>
      </x:c>
      <x:c r="E274" s="9" t="n">
        <x:v>110</x:v>
      </x:c>
      <x:c r="F274" s="6" t="n">
        <x:v>21606.757022196034</x:v>
      </x:c>
      <x:c r="G274" s="6" t="n">
        <x:v>22709</x:v>
      </x:c>
      <x:c r="H274" s="8" t="n">
        <x:f>F274/G274-1</x:f>
        <x:v>-0.04853771534651308</x:v>
      </x:c>
      <x:c r="I274" s="9" t="n">
        <x:f>G274*D274/10000</x:f>
        <x:v>115.611519</x:v>
      </x:c>
      <x:c r="J274" s="6" t="n">
        <x:v>2</x:v>
      </x:c>
      <x:c r="K274" s="6" t="n">
        <x:v>1</x:v>
      </x:c>
      <x:c r="L274" s="6" t="str">
        <x:v>近12个月</x:v>
      </x:c>
      <x:c r="M274" s="6" t="str">
        <x:v>2026-07-31</x:v>
      </x:c>
      <x:c r="N274" s="6" t="str">
        <x:v>106128923604</x:v>
      </x:c>
      <x:c r="O274" s="6" t="str">
        <x:v>https://cd.lianjia.com/ershoufang/106128923604.html</x:v>
      </x:c>
      <x:c r="P274" s="8" t="n">
        <x:f>1-I274/E274</x:f>
        <x:v>-0.051013809090909135</x:v>
      </x:c>
    </x:row>
    <x:row r="275" ht="22" customHeight="1">
      <x:c r="A275" s="6" t="str">
        <x:v>盐市口</x:v>
      </x:c>
      <x:c r="B275" s="6" t="str">
        <x:v>美华大厦</x:v>
      </x:c>
      <x:c r="C275" s="6" t="str">
        <x:v>1室0厅</x:v>
      </x:c>
      <x:c r="D275" s="6" t="n">
        <x:v>52.59</x:v>
      </x:c>
      <x:c r="E275" s="9" t="n">
        <x:v>118</x:v>
      </x:c>
      <x:c r="F275" s="6" t="n">
        <x:v>22437.725803384674</x:v>
      </x:c>
      <x:c r="G275" s="6" t="n">
        <x:v>22387</x:v>
      </x:c>
      <x:c r="H275" s="8" t="n">
        <x:f>F275/G275-1</x:f>
        <x:v>0.002265859801879433</x:v>
      </x:c>
      <x:c r="I275" s="9" t="n">
        <x:f>G275*D275/10000</x:f>
        <x:v>117.73323300000001</x:v>
      </x:c>
      <x:c r="J275" s="6" t="n">
        <x:v>2</x:v>
      </x:c>
      <x:c r="K275" s="6" t="n">
        <x:v>1</x:v>
      </x:c>
      <x:c r="L275" s="6" t="str">
        <x:v>近12个月</x:v>
      </x:c>
      <x:c r="M275" s="6" t="str">
        <x:v>2025-12-05</x:v>
      </x:c>
      <x:c r="N275" s="6" t="str">
        <x:v>106116645635</x:v>
      </x:c>
      <x:c r="O275" s="6" t="str">
        <x:v>https://cd.lianjia.com/ershoufang/106116645635.html</x:v>
      </x:c>
      <x:c r="P275" s="8" t="n">
        <x:f>1-I275/E275</x:f>
        <x:v>0.0022607372881354726</x:v>
      </x:c>
    </x:row>
    <x:row r="276" ht="22" customHeight="1">
      <x:c r="A276" s="6" t="str">
        <x:v>盐市口</x:v>
      </x:c>
      <x:c r="B276" s="6" t="str">
        <x:v>财富中心</x:v>
      </x:c>
      <x:c r="C276" s="6" t="str">
        <x:v>1室1厅</x:v>
      </x:c>
      <x:c r="D276" s="6" t="n">
        <x:v>50.29</x:v>
      </x:c>
      <x:c r="E276" s="9" t="n">
        <x:v>118</x:v>
      </x:c>
      <x:c r="F276" s="6" t="n">
        <x:v>23463.909325909724</x:v>
      </x:c>
      <x:c r="G276" s="6" t="n">
        <x:v>22678</x:v>
      </x:c>
      <x:c r="H276" s="8" t="n">
        <x:f>F276/G276-1</x:f>
        <x:v>0.034655142689378415</x:v>
      </x:c>
      <x:c r="I276" s="9" t="n">
        <x:f>G276*D276/10000</x:f>
        <x:v>114.04766199999999</x:v>
      </x:c>
      <x:c r="J276" s="6" t="n">
        <x:v>23</x:v>
      </x:c>
      <x:c r="K276" s="6" t="n">
        <x:v>21</x:v>
      </x:c>
      <x:c r="L276" s="6" t="str">
        <x:v>近12个月</x:v>
      </x:c>
      <x:c r="M276" s="6" t="str">
        <x:v>2026-09-04</x:v>
      </x:c>
      <x:c r="N276" s="6" t="str">
        <x:v>106125926493</x:v>
      </x:c>
      <x:c r="O276" s="6" t="str">
        <x:v>https://cd.lianjia.com/ershoufang/106125926493.html</x:v>
      </x:c>
      <x:c r="P276" s="8" t="n">
        <x:f>1-I276/E276</x:f>
        <x:v>0.033494389830508564</x:v>
      </x:c>
    </x:row>
    <x:row r="277" ht="22" customHeight="1">
      <x:c r="A277" s="6" t="str">
        <x:v>盐市口</x:v>
      </x:c>
      <x:c r="B277" s="6" t="str">
        <x:v>财富中心</x:v>
      </x:c>
      <x:c r="C277" s="6" t="str">
        <x:v>1室1厅</x:v>
      </x:c>
      <x:c r="D277" s="6" t="n">
        <x:v>50.45</x:v>
      </x:c>
      <x:c r="E277" s="9" t="n">
        <x:v>109</x:v>
      </x:c>
      <x:c r="F277" s="6" t="n">
        <x:v>21605.55004955401</x:v>
      </x:c>
      <x:c r="G277" s="6" t="n">
        <x:v>22678</x:v>
      </x:c>
      <x:c r="H277" s="8" t="n">
        <x:f>F277/G277-1</x:f>
        <x:v>-0.047290323240408716</x:v>
      </x:c>
      <x:c r="I277" s="9" t="n">
        <x:f>G277*D277/10000</x:f>
        <x:v>114.41051000000002</x:v>
      </x:c>
      <x:c r="J277" s="6" t="n">
        <x:v>23</x:v>
      </x:c>
      <x:c r="K277" s="6" t="n">
        <x:v>21</x:v>
      </x:c>
      <x:c r="L277" s="6" t="str">
        <x:v>近12个月</x:v>
      </x:c>
      <x:c r="M277" s="6" t="str">
        <x:v>2026-09-04</x:v>
      </x:c>
      <x:c r="N277" s="6" t="str">
        <x:v>106125482837</x:v>
      </x:c>
      <x:c r="O277" s="6" t="str">
        <x:v>https://cd.lianjia.com/ershoufang/106125482837.html</x:v>
      </x:c>
      <x:c r="P277" s="8" t="n">
        <x:f>1-I277/E277</x:f>
        <x:v>-0.04963770642201859</x:v>
      </x:c>
    </x:row>
    <x:row r="278" ht="22" customHeight="1">
      <x:c r="A278" s="6" t="str">
        <x:v>盐市口</x:v>
      </x:c>
      <x:c r="B278" s="6" t="str">
        <x:v>都市驿站</x:v>
      </x:c>
      <x:c r="C278" s="6" t="str">
        <x:v>1室1厅</x:v>
      </x:c>
      <x:c r="D278" s="6" t="n">
        <x:v>53.82</x:v>
      </x:c>
      <x:c r="E278" s="9" t="n">
        <x:v>107</x:v>
      </x:c>
      <x:c r="F278" s="6" t="n">
        <x:v>19881.085098476404</x:v>
      </x:c>
      <x:c r="G278" s="6" t="n">
        <x:v>17830.5</x:v>
      </x:c>
      <x:c r="H278" s="8" t="n">
        <x:f>F278/G278-1</x:f>
        <x:v>0.11500435200787429</x:v>
      </x:c>
      <x:c r="I278" s="9" t="n">
        <x:f>G278*D278/10000</x:f>
        <x:v>95.963751</x:v>
      </x:c>
      <x:c r="J278" s="6" t="n">
        <x:v>13</x:v>
      </x:c>
      <x:c r="K278" s="6" t="n">
        <x:v>6</x:v>
      </x:c>
      <x:c r="L278" s="6" t="str">
        <x:v>近12个月</x:v>
      </x:c>
      <x:c r="M278" s="6" t="str">
        <x:v>2026-09-13</x:v>
      </x:c>
      <x:c r="N278" s="6" t="str">
        <x:v>106111254267</x:v>
      </x:c>
      <x:c r="O278" s="6" t="str">
        <x:v>https://cd.lianjia.com/ershoufang/106111254267.html</x:v>
      </x:c>
      <x:c r="P278" s="8" t="n">
        <x:f>1-I278/E278</x:f>
        <x:v>0.10314251401869157</x:v>
      </x:c>
    </x:row>
    <x:row r="279" ht="22" customHeight="1">
      <x:c r="A279" s="6" t="str">
        <x:v>盐市口</x:v>
      </x:c>
      <x:c r="B279" s="6" t="str">
        <x:v>城市理想</x:v>
      </x:c>
      <x:c r="C279" s="6" t="str">
        <x:v>1室1厅</x:v>
      </x:c>
      <x:c r="D279" s="6" t="n">
        <x:v>50.55</x:v>
      </x:c>
      <x:c r="E279" s="9" t="n">
        <x:v>115</x:v>
      </x:c>
      <x:c r="F279" s="6" t="n">
        <x:v>22749.75272007913</x:v>
      </x:c>
      <x:c r="G279" s="6" t="n">
        <x:v>20742</x:v>
      </x:c>
      <x:c r="H279" s="8" t="n">
        <x:f>F279/G279-1</x:f>
        <x:v>0.09679648636000038</x:v>
      </x:c>
      <x:c r="I279" s="9" t="n">
        <x:f>G279*D279/10000</x:f>
        <x:v>104.85081</x:v>
      </x:c>
      <x:c r="J279" s="6" t="n">
        <x:v>7</x:v>
      </x:c>
      <x:c r="K279" s="6" t="n">
        <x:v>3</x:v>
      </x:c>
      <x:c r="L279" s="6" t="str">
        <x:v>近12个月</x:v>
      </x:c>
      <x:c r="M279" s="6" t="str">
        <x:v>2026-05-23</x:v>
      </x:c>
      <x:c r="N279" s="6" t="str">
        <x:v>106128309306</x:v>
      </x:c>
      <x:c r="O279" s="6" t="str">
        <x:v>https://cd.lianjia.com/ershoufang/106128309306.html</x:v>
      </x:c>
      <x:c r="P279" s="8" t="n">
        <x:f>1-I279/E279</x:f>
        <x:v>0.08825382608695653</x:v>
      </x:c>
    </x:row>
    <x:row r="280" ht="22" customHeight="1">
      <x:c r="A280" s="6" t="str">
        <x:v>盐市口</x:v>
      </x:c>
      <x:c r="B280" s="6" t="str">
        <x:v>萧邦</x:v>
      </x:c>
      <x:c r="C280" s="6" t="str">
        <x:v>1室1厅</x:v>
      </x:c>
      <x:c r="D280" s="6" t="n">
        <x:v>51.36</x:v>
      </x:c>
      <x:c r="E280" s="9" t="n">
        <x:v>98</x:v>
      </x:c>
      <x:c r="F280" s="6" t="n">
        <x:v>19080.996884735203</x:v>
      </x:c>
      <x:c r="G280" s="6" t="n">
        <x:v>14039.5</x:v>
      </x:c>
      <x:c r="H280" s="8" t="n">
        <x:f>F280/G280-1</x:f>
        <x:v>0.3590937629356603</x:v>
      </x:c>
      <x:c r="I280" s="9" t="n">
        <x:f>G280*D280/10000</x:f>
        <x:v>72.106872</x:v>
      </x:c>
      <x:c r="J280" s="6" t="n">
        <x:v>4</x:v>
      </x:c>
      <x:c r="K280" s="6" t="n">
        <x:v>2</x:v>
      </x:c>
      <x:c r="L280" s="6" t="str">
        <x:v>近12个月</x:v>
      </x:c>
      <x:c r="M280" s="6" t="str">
        <x:v>2026-04-09</x:v>
      </x:c>
      <x:c r="N280" s="6" t="str">
        <x:v>106116615438</x:v>
      </x:c>
      <x:c r="O280" s="6" t="str">
        <x:v>https://cd.lianjia.com/ershoufang/106116615438.html</x:v>
      </x:c>
      <x:c r="P280" s="8" t="n">
        <x:f>1-I280/E280</x:f>
        <x:v>0.2642155918367347</x:v>
      </x:c>
    </x:row>
    <x:row r="281" ht="22" customHeight="1">
      <x:c r="A281" s="6" t="str">
        <x:v>盐市口</x:v>
      </x:c>
      <x:c r="B281" s="6" t="str">
        <x:v>财富中心</x:v>
      </x:c>
      <x:c r="C281" s="6" t="str">
        <x:v>1室1厅</x:v>
      </x:c>
      <x:c r="D281" s="6" t="n">
        <x:v>50.44</x:v>
      </x:c>
      <x:c r="E281" s="9" t="n">
        <x:v>109</x:v>
      </x:c>
      <x:c r="F281" s="6" t="n">
        <x:v>21609.83346550357</x:v>
      </x:c>
      <x:c r="G281" s="6" t="n">
        <x:v>22678</x:v>
      </x:c>
      <x:c r="H281" s="8" t="n">
        <x:f>F281/G281-1</x:f>
        <x:v>-0.047101443447236546</x:v>
      </x:c>
      <x:c r="I281" s="9" t="n">
        <x:f>G281*D281/10000</x:f>
        <x:v>114.38783199999999</x:v>
      </x:c>
      <x:c r="J281" s="6" t="n">
        <x:v>23</x:v>
      </x:c>
      <x:c r="K281" s="6" t="n">
        <x:v>21</x:v>
      </x:c>
      <x:c r="L281" s="6" t="str">
        <x:v>近12个月</x:v>
      </x:c>
      <x:c r="M281" s="6" t="str">
        <x:v>2026-09-04</x:v>
      </x:c>
      <x:c r="N281" s="6" t="str">
        <x:v>106125284192</x:v>
      </x:c>
      <x:c r="O281" s="6" t="str">
        <x:v>https://cd.lianjia.com/ershoufang/106125284192.html</x:v>
      </x:c>
      <x:c r="P281" s="8" t="n">
        <x:f>1-I281/E281</x:f>
        <x:v>-0.049429651376146744</x:v>
      </x:c>
    </x:row>
    <x:row r="282" ht="22" customHeight="1">
      <x:c r="A282" s="6" t="str">
        <x:v>盐市口</x:v>
      </x:c>
      <x:c r="B282" s="6" t="str">
        <x:v>城市理想</x:v>
      </x:c>
      <x:c r="C282" s="6" t="str">
        <x:v>1室1厅</x:v>
      </x:c>
      <x:c r="D282" s="6" t="n">
        <x:v>55.44</x:v>
      </x:c>
      <x:c r="E282" s="9" t="n">
        <x:v>120</x:v>
      </x:c>
      <x:c r="F282" s="6" t="n">
        <x:v>21645.021645021647</x:v>
      </x:c>
      <x:c r="G282" s="6" t="n">
        <x:v>20742</x:v>
      </x:c>
      <x:c r="H282" s="8" t="n">
        <x:f>F282/G282-1</x:f>
        <x:v>0.04353590034816546</x:v>
      </x:c>
      <x:c r="I282" s="9" t="n">
        <x:f>G282*D282/10000</x:f>
        <x:v>114.993648</x:v>
      </x:c>
      <x:c r="J282" s="6" t="n">
        <x:v>7</x:v>
      </x:c>
      <x:c r="K282" s="6" t="n">
        <x:v>3</x:v>
      </x:c>
      <x:c r="L282" s="6" t="str">
        <x:v>近12个月</x:v>
      </x:c>
      <x:c r="M282" s="6" t="str">
        <x:v>2026-05-23</x:v>
      </x:c>
      <x:c r="N282" s="6" t="str">
        <x:v>106124553883</x:v>
      </x:c>
      <x:c r="O282" s="6" t="str">
        <x:v>https://cd.lianjia.com/ershoufang/106124553883.html</x:v>
      </x:c>
      <x:c r="P282" s="8" t="n">
        <x:f>1-I282/E282</x:f>
        <x:v>0.04171960000000008</x:v>
      </x:c>
    </x:row>
    <x:row r="283" ht="22" customHeight="1">
      <x:c r="A283" s="6" t="str">
        <x:v>盐市口</x:v>
      </x:c>
      <x:c r="B283" s="6" t="str">
        <x:v>美华大厦</x:v>
      </x:c>
      <x:c r="C283" s="6" t="str">
        <x:v>1室0厅</x:v>
      </x:c>
      <x:c r="D283" s="6" t="n">
        <x:v>52.89</x:v>
      </x:c>
      <x:c r="E283" s="9" t="n">
        <x:v>109</x:v>
      </x:c>
      <x:c r="F283" s="6" t="n">
        <x:v>20608.810739270182</x:v>
      </x:c>
      <x:c r="G283" s="6" t="n">
        <x:v>22387</x:v>
      </x:c>
      <x:c r="H283" s="8" t="n">
        <x:f>F283/G283-1</x:f>
        <x:v>-0.07942954664447299</x:v>
      </x:c>
      <x:c r="I283" s="9" t="n">
        <x:f>G283*D283/10000</x:f>
        <x:v>118.404843</x:v>
      </x:c>
      <x:c r="J283" s="6" t="n">
        <x:v>2</x:v>
      </x:c>
      <x:c r="K283" s="6" t="n">
        <x:v>1</x:v>
      </x:c>
      <x:c r="L283" s="6" t="str">
        <x:v>近12个月</x:v>
      </x:c>
      <x:c r="M283" s="6" t="str">
        <x:v>2025-12-05</x:v>
      </x:c>
      <x:c r="N283" s="6" t="str">
        <x:v>106128938413</x:v>
      </x:c>
      <x:c r="O283" s="6" t="str">
        <x:v>https://cd.lianjia.com/ershoufang/106128938413.html</x:v>
      </x:c>
      <x:c r="P283" s="8" t="n">
        <x:f>1-I283/E283</x:f>
        <x:v>-0.0862829633027522</x:v>
      </x:c>
    </x:row>
    <x:row r="284" ht="22" customHeight="1">
      <x:c r="A284" s="6" t="str">
        <x:v>盐市口</x:v>
      </x:c>
      <x:c r="B284" s="6" t="str">
        <x:v>科甲大厦</x:v>
      </x:c>
      <x:c r="C284" s="6" t="str">
        <x:v>1室0厅</x:v>
      </x:c>
      <x:c r="D284" s="6" t="n">
        <x:v>45.41</x:v>
      </x:c>
      <x:c r="E284" s="9" t="n">
        <x:v>71.8</x:v>
      </x:c>
      <x:c r="F284" s="6" t="n">
        <x:v>15811.495265360054</x:v>
      </x:c>
      <x:c r="G284" s="6"/>
      <x:c r="H284" s="8"/>
      <x:c r="I284" s="9"/>
      <x:c r="J284" s="6" t="n">
        <x:v>0</x:v>
      </x:c>
      <x:c r="K284" s="6" t="n">
        <x:v>0</x:v>
      </x:c>
      <x:c r="L284" s="6" t="str">
        <x:v>无可比</x:v>
      </x:c>
      <x:c r="M284" s="6" t="str"/>
      <x:c r="N284" s="6" t="str">
        <x:v>106126375770</x:v>
      </x:c>
      <x:c r="O284" s="6" t="str">
        <x:v>https://cd.lianjia.com/ershoufang/106126375770.html</x:v>
      </x:c>
      <x:c r="P284" s="8"/>
    </x:row>
    <x:row r="285" ht="22" customHeight="1">
      <x:c r="A285" s="6" t="str">
        <x:v>盐市口</x:v>
      </x:c>
      <x:c r="B285" s="6" t="str">
        <x:v>科甲大厦</x:v>
      </x:c>
      <x:c r="C285" s="6" t="str">
        <x:v>1室1厅</x:v>
      </x:c>
      <x:c r="D285" s="6" t="n">
        <x:v>45.41</x:v>
      </x:c>
      <x:c r="E285" s="9" t="n">
        <x:v>73</x:v>
      </x:c>
      <x:c r="F285" s="6" t="n">
        <x:v>16075.754239154372</x:v>
      </x:c>
      <x:c r="G285" s="6" t="n">
        <x:v>13295.5</x:v>
      </x:c>
      <x:c r="H285" s="8" t="n">
        <x:f>F285/G285-1</x:f>
        <x:v>0.20911242444092903</x:v>
      </x:c>
      <x:c r="I285" s="9" t="n">
        <x:f>G285*D285/10000</x:f>
        <x:v>60.37486549999999</x:v>
      </x:c>
      <x:c r="J285" s="6" t="n">
        <x:v>6</x:v>
      </x:c>
      <x:c r="K285" s="6" t="n">
        <x:v>4</x:v>
      </x:c>
      <x:c r="L285" s="6" t="str">
        <x:v>近12个月</x:v>
      </x:c>
      <x:c r="M285" s="6" t="str">
        <x:v>2026-08-29</x:v>
      </x:c>
      <x:c r="N285" s="6" t="str">
        <x:v>106126377836</x:v>
      </x:c>
      <x:c r="O285" s="6" t="str">
        <x:v>https://cd.lianjia.com/ershoufang/106126377836.html</x:v>
      </x:c>
      <x:c r="P285" s="8" t="n">
        <x:f>1-I285/E285</x:f>
        <x:v>0.17294704794520555</x:v>
      </x:c>
    </x:row>
    <x:row r="286" ht="22" customHeight="1">
      <x:c r="A286" s="6" t="str">
        <x:v>盐市口</x:v>
      </x:c>
      <x:c r="B286" s="6" t="str">
        <x:v>科甲大厦</x:v>
      </x:c>
      <x:c r="C286" s="6" t="str">
        <x:v>1室1厅</x:v>
      </x:c>
      <x:c r="D286" s="6" t="n">
        <x:v>45.41</x:v>
      </x:c>
      <x:c r="E286" s="9" t="n">
        <x:v>73</x:v>
      </x:c>
      <x:c r="F286" s="6" t="n">
        <x:v>16075.754239154372</x:v>
      </x:c>
      <x:c r="G286" s="6" t="n">
        <x:v>13295.5</x:v>
      </x:c>
      <x:c r="H286" s="8" t="n">
        <x:f>F286/G286-1</x:f>
        <x:v>0.20911242444092903</x:v>
      </x:c>
      <x:c r="I286" s="9" t="n">
        <x:f>G286*D286/10000</x:f>
        <x:v>60.37486549999999</x:v>
      </x:c>
      <x:c r="J286" s="6" t="n">
        <x:v>6</x:v>
      </x:c>
      <x:c r="K286" s="6" t="n">
        <x:v>4</x:v>
      </x:c>
      <x:c r="L286" s="6" t="str">
        <x:v>近12个月</x:v>
      </x:c>
      <x:c r="M286" s="6" t="str">
        <x:v>2026-08-29</x:v>
      </x:c>
      <x:c r="N286" s="6" t="str">
        <x:v>106126375780</x:v>
      </x:c>
      <x:c r="O286" s="6" t="str">
        <x:v>https://cd.lianjia.com/ershoufang/106126375780.html</x:v>
      </x:c>
      <x:c r="P286" s="8" t="n">
        <x:f>1-I286/E286</x:f>
        <x:v>0.17294704794520555</x:v>
      </x:c>
    </x:row>
    <x:row r="287" ht="22" customHeight="1">
      <x:c r="A287" s="6" t="str">
        <x:v>盐市口</x:v>
      </x:c>
      <x:c r="B287" s="6" t="str">
        <x:v>正成财富ID</x:v>
      </x:c>
      <x:c r="C287" s="6" t="str">
        <x:v>1室1厅</x:v>
      </x:c>
      <x:c r="D287" s="6" t="n">
        <x:v>48.92</x:v>
      </x:c>
      <x:c r="E287" s="9" t="n">
        <x:v>75</x:v>
      </x:c>
      <x:c r="F287" s="6" t="n">
        <x:v>15331.152902698283</x:v>
      </x:c>
      <x:c r="G287" s="6" t="n">
        <x:v>14206</x:v>
      </x:c>
      <x:c r="H287" s="8" t="n">
        <x:f>F287/G287-1</x:f>
        <x:v>0.0792026539981896</x:v>
      </x:c>
      <x:c r="I287" s="9" t="n">
        <x:f>G287*D287/10000</x:f>
        <x:v>69.495752</x:v>
      </x:c>
      <x:c r="J287" s="6" t="n">
        <x:v>4</x:v>
      </x:c>
      <x:c r="K287" s="6" t="n">
        <x:v>1</x:v>
      </x:c>
      <x:c r="L287" s="6" t="str">
        <x:v>近12个月</x:v>
      </x:c>
      <x:c r="M287" s="6" t="str">
        <x:v>2026-02-09</x:v>
      </x:c>
      <x:c r="N287" s="6" t="str">
        <x:v>106129270692</x:v>
      </x:c>
      <x:c r="O287" s="6" t="str">
        <x:v>https://cd.lianjia.com/ershoufang/106129270692.html</x:v>
      </x:c>
      <x:c r="P287" s="8" t="n">
        <x:f>1-I287/E287</x:f>
        <x:v>0.07338997333333341</x:v>
      </x:c>
    </x:row>
    <x:row r="288" ht="22" customHeight="1">
      <x:c r="A288" s="6" t="str">
        <x:v>盐市口</x:v>
      </x:c>
      <x:c r="B288" s="6" t="str">
        <x:v>正成财富ID</x:v>
      </x:c>
      <x:c r="C288" s="6" t="str">
        <x:v>1室1厅</x:v>
      </x:c>
      <x:c r="D288" s="6" t="n">
        <x:v>47.87</x:v>
      </x:c>
      <x:c r="E288" s="9" t="n">
        <x:v>67</x:v>
      </x:c>
      <x:c r="F288" s="6" t="n">
        <x:v>13996.23981616879</x:v>
      </x:c>
      <x:c r="G288" s="6" t="n">
        <x:v>14206</x:v>
      </x:c>
      <x:c r="H288" s="8" t="n">
        <x:f>F288/G288-1</x:f>
        <x:v>-0.014765604943770883</x:v>
      </x:c>
      <x:c r="I288" s="9" t="n">
        <x:f>G288*D288/10000</x:f>
        <x:v>68.004122</x:v>
      </x:c>
      <x:c r="J288" s="6" t="n">
        <x:v>4</x:v>
      </x:c>
      <x:c r="K288" s="6" t="n">
        <x:v>1</x:v>
      </x:c>
      <x:c r="L288" s="6" t="str">
        <x:v>近12个月</x:v>
      </x:c>
      <x:c r="M288" s="6" t="str">
        <x:v>2026-02-09</x:v>
      </x:c>
      <x:c r="N288" s="6" t="str">
        <x:v>106129343101</x:v>
      </x:c>
      <x:c r="O288" s="6" t="str">
        <x:v>https://cd.lianjia.com/ershoufang/106129343101.html</x:v>
      </x:c>
      <x:c r="P288" s="8" t="n">
        <x:f>1-I288/E288</x:f>
        <x:v>-0.014986895522387966</x:v>
      </x:c>
    </x:row>
    <x:row r="289" ht="22" customHeight="1">
      <x:c r="A289" s="6" t="str">
        <x:v>盐市口</x:v>
      </x:c>
      <x:c r="B289" s="6" t="str">
        <x:v>世代锦江商务楼</x:v>
      </x:c>
      <x:c r="C289" s="6" t="str">
        <x:v>1室0厅</x:v>
      </x:c>
      <x:c r="D289" s="6" t="n">
        <x:v>45.72</x:v>
      </x:c>
      <x:c r="E289" s="9" t="n">
        <x:v>118</x:v>
      </x:c>
      <x:c r="F289" s="6" t="n">
        <x:v>25809.273840769903</x:v>
      </x:c>
      <x:c r="G289" s="6" t="n">
        <x:v>16036</x:v>
      </x:c>
      <x:c r="H289" s="8" t="n">
        <x:f>F289/G289-1</x:f>
        <x:v>0.6094583337970756</x:v>
      </x:c>
      <x:c r="I289" s="9" t="n">
        <x:f>G289*D289/10000</x:f>
        <x:v>73.31659199999999</x:v>
      </x:c>
      <x:c r="J289" s="6" t="n">
        <x:v>11</x:v>
      </x:c>
      <x:c r="K289" s="6" t="n">
        <x:v>1</x:v>
      </x:c>
      <x:c r="L289" s="6" t="str">
        <x:v>近12个月</x:v>
      </x:c>
      <x:c r="M289" s="6" t="str">
        <x:v>2026-09-13</x:v>
      </x:c>
      <x:c r="N289" s="6" t="str">
        <x:v>106123006874</x:v>
      </x:c>
      <x:c r="O289" s="6" t="str">
        <x:v>https://cd.lianjia.com/ershoufang/106123006874.html</x:v>
      </x:c>
      <x:c r="P289" s="8" t="n">
        <x:f>1-I289/E289</x:f>
        <x:v>0.37867294915254246</x:v>
      </x:c>
    </x:row>
    <x:row r="290" ht="22" customHeight="1">
      <x:c r="A290" s="6" t="str">
        <x:v>盐市口</x:v>
      </x:c>
      <x:c r="B290" s="6" t="str">
        <x:v>正成财富ID</x:v>
      </x:c>
      <x:c r="C290" s="6" t="str">
        <x:v>1室1厅</x:v>
      </x:c>
      <x:c r="D290" s="6" t="n">
        <x:v>47.87</x:v>
      </x:c>
      <x:c r="E290" s="9" t="n">
        <x:v>69.8</x:v>
      </x:c>
      <x:c r="F290" s="6" t="n">
        <x:v>14581.157301023606</x:v>
      </x:c>
      <x:c r="G290" s="6" t="n">
        <x:v>14206</x:v>
      </x:c>
      <x:c r="H290" s="8" t="n">
        <x:f>F290/G290-1</x:f>
        <x:v>0.02640836977499683</x:v>
      </x:c>
      <x:c r="I290" s="9" t="n">
        <x:f>G290*D290/10000</x:f>
        <x:v>68.004122</x:v>
      </x:c>
      <x:c r="J290" s="6" t="n">
        <x:v>4</x:v>
      </x:c>
      <x:c r="K290" s="6" t="n">
        <x:v>1</x:v>
      </x:c>
      <x:c r="L290" s="6" t="str">
        <x:v>近12个月</x:v>
      </x:c>
      <x:c r="M290" s="6" t="str">
        <x:v>2026-02-09</x:v>
      </x:c>
      <x:c r="N290" s="6" t="str">
        <x:v>106124838637</x:v>
      </x:c>
      <x:c r="O290" s="6" t="str">
        <x:v>https://cd.lianjia.com/ershoufang/106124838637.html</x:v>
      </x:c>
      <x:c r="P290" s="8" t="n">
        <x:f>1-I290/E290</x:f>
        <x:v>0.025728911174785152</x:v>
      </x:c>
    </x:row>
    <x:row r="291" ht="22" customHeight="1">
      <x:c r="A291" s="6" t="str">
        <x:v>盐市口</x:v>
      </x:c>
      <x:c r="B291" s="6" t="str">
        <x:v>世代锦江商务楼</x:v>
      </x:c>
      <x:c r="C291" s="6" t="str">
        <x:v>1室1厅</x:v>
      </x:c>
      <x:c r="D291" s="6" t="n">
        <x:v>45.72</x:v>
      </x:c>
      <x:c r="E291" s="9" t="n">
        <x:v>102</x:v>
      </x:c>
      <x:c r="F291" s="6" t="n">
        <x:v>22309.71128608924</x:v>
      </x:c>
      <x:c r="G291" s="6" t="n">
        <x:v>26223</x:v>
      </x:c>
      <x:c r="H291" s="8" t="n">
        <x:f>F291/G291-1</x:f>
        <x:v>-0.14923116019947213</x:v>
      </x:c>
      <x:c r="I291" s="9" t="n">
        <x:f>G291*D291/10000</x:f>
        <x:v>119.89155600000001</x:v>
      </x:c>
      <x:c r="J291" s="6" t="n">
        <x:v>2</x:v>
      </x:c>
      <x:c r="K291" s="6" t="n">
        <x:v>1</x:v>
      </x:c>
      <x:c r="L291" s="6" t="str">
        <x:v>近12个月</x:v>
      </x:c>
      <x:c r="M291" s="6" t="str">
        <x:v>2025-10-31</x:v>
      </x:c>
      <x:c r="N291" s="6" t="str">
        <x:v>106129578150</x:v>
      </x:c>
      <x:c r="O291" s="6" t="str">
        <x:v>https://cd.lianjia.com/ershoufang/106129578150.html</x:v>
      </x:c>
      <x:c r="P291" s="8" t="n">
        <x:f>1-I291/E291</x:f>
        <x:v>-0.17540741176470598</x:v>
      </x:c>
    </x:row>
    <x:row r="292" ht="22" customHeight="1">
      <x:c r="A292" s="6" t="str">
        <x:v>西南财大</x:v>
      </x:c>
      <x:c r="B292" s="6" t="str">
        <x:v>仁和时代春天广场</x:v>
      </x:c>
      <x:c r="C292" s="6" t="str">
        <x:v>1室0厅</x:v>
      </x:c>
      <x:c r="D292" s="6" t="n">
        <x:v>51.22</x:v>
      </x:c>
      <x:c r="E292" s="9" t="n">
        <x:v>50</x:v>
      </x:c>
      <x:c r="F292" s="6" t="n">
        <x:v>9761.811792268645</x:v>
      </x:c>
      <x:c r="G292" s="6" t="n">
        <x:v>10132</x:v>
      </x:c>
      <x:c r="H292" s="8" t="n">
        <x:f>F292/G292-1</x:f>
        <x:v>-0.03653653846539229</x:v>
      </x:c>
      <x:c r="I292" s="9" t="n">
        <x:f>G292*D292/10000</x:f>
        <x:v>51.896104</x:v>
      </x:c>
      <x:c r="J292" s="6" t="n">
        <x:v>1</x:v>
      </x:c>
      <x:c r="K292" s="6" t="n">
        <x:v>0</x:v>
      </x:c>
      <x:c r="L292" s="6" t="str">
        <x:v>超过12个月</x:v>
      </x:c>
      <x:c r="M292" s="6" t="str">
        <x:v>2025-10-19</x:v>
      </x:c>
      <x:c r="N292" s="6" t="str">
        <x:v>106129793271</x:v>
      </x:c>
      <x:c r="O292" s="6" t="str">
        <x:v>https://cd.lianjia.com/ershoufang/106129793271.html</x:v>
      </x:c>
      <x:c r="P292" s="8" t="n">
        <x:f>1-I292/E292</x:f>
        <x:v>-0.03792207999999997</x:v>
      </x:c>
    </x:row>
    <x:row r="293" ht="22" customHeight="1">
      <x:c r="A293" s="6" t="str">
        <x:v>川音</x:v>
      </x:c>
      <x:c r="B293" s="6" t="str">
        <x:v>凯悦新城</x:v>
      </x:c>
      <x:c r="C293" s="6" t="str">
        <x:v>1室0厅</x:v>
      </x:c>
      <x:c r="D293" s="6" t="n">
        <x:v>33</x:v>
      </x:c>
      <x:c r="E293" s="9" t="n">
        <x:v>52</x:v>
      </x:c>
      <x:c r="F293" s="6" t="n">
        <x:v>15757.575757575758</x:v>
      </x:c>
      <x:c r="G293" s="6" t="n">
        <x:v>13338</x:v>
      </x:c>
      <x:c r="H293" s="8" t="n">
        <x:f>F293/G293-1</x:f>
        <x:v>0.18140469017661998</x:v>
      </x:c>
      <x:c r="I293" s="9" t="n">
        <x:f>G293*D293/10000</x:f>
        <x:v>44.0154</x:v>
      </x:c>
      <x:c r="J293" s="6" t="n">
        <x:v>3</x:v>
      </x:c>
      <x:c r="K293" s="6" t="n">
        <x:v>1</x:v>
      </x:c>
      <x:c r="L293" s="6" t="str">
        <x:v>近12个月</x:v>
      </x:c>
      <x:c r="M293" s="6" t="str">
        <x:v>2026-09-07</x:v>
      </x:c>
      <x:c r="N293" s="6" t="str">
        <x:v>106126596437</x:v>
      </x:c>
      <x:c r="O293" s="6" t="str">
        <x:v>https://cd.lianjia.com/ershoufang/106126596437.html</x:v>
      </x:c>
      <x:c r="P293" s="8" t="n">
        <x:f>1-I293/E293</x:f>
        <x:v>0.15354999999999996</x:v>
      </x:c>
    </x:row>
    <x:row r="294" ht="22" customHeight="1">
      <x:c r="A294" s="6" t="str">
        <x:v>川音</x:v>
      </x:c>
      <x:c r="B294" s="6" t="str">
        <x:v>凯悦新城</x:v>
      </x:c>
      <x:c r="C294" s="6" t="str">
        <x:v>1室0厅</x:v>
      </x:c>
      <x:c r="D294" s="6" t="n">
        <x:v>30.06</x:v>
      </x:c>
      <x:c r="E294" s="9" t="n">
        <x:v>49</x:v>
      </x:c>
      <x:c r="F294" s="6" t="n">
        <x:v>16300.731869594145</x:v>
      </x:c>
      <x:c r="G294" s="6" t="n">
        <x:v>13338</x:v>
      </x:c>
      <x:c r="H294" s="8" t="n">
        <x:f>F294/G294-1</x:f>
        <x:v>0.2221271457185594</x:v>
      </x:c>
      <x:c r="I294" s="9" t="n">
        <x:f>G294*D294/10000</x:f>
        <x:v>40.094027999999994</x:v>
      </x:c>
      <x:c r="J294" s="6" t="n">
        <x:v>3</x:v>
      </x:c>
      <x:c r="K294" s="6" t="n">
        <x:v>1</x:v>
      </x:c>
      <x:c r="L294" s="6" t="str">
        <x:v>近12个月</x:v>
      </x:c>
      <x:c r="M294" s="6" t="str">
        <x:v>2026-09-07</x:v>
      </x:c>
      <x:c r="N294" s="6" t="str">
        <x:v>106128241532</x:v>
      </x:c>
      <x:c r="O294" s="6" t="str">
        <x:v>https://cd.lianjia.com/ershoufang/106128241532.html</x:v>
      </x:c>
      <x:c r="P294" s="8" t="n">
        <x:f>1-I294/E294</x:f>
        <x:v>0.181754530612245</x:v>
      </x:c>
    </x:row>
    <x:row r="295" ht="22" customHeight="1">
      <x:c r="A295" s="6" t="str">
        <x:v>川音</x:v>
      </x:c>
      <x:c r="B295" s="6" t="str">
        <x:v>凯悦新城</x:v>
      </x:c>
      <x:c r="C295" s="6" t="str">
        <x:v>1室0厅</x:v>
      </x:c>
      <x:c r="D295" s="6" t="n">
        <x:v>34.35</x:v>
      </x:c>
      <x:c r="E295" s="9" t="n">
        <x:v>46.8</x:v>
      </x:c>
      <x:c r="F295" s="6" t="n">
        <x:v>13624.454148471616</x:v>
      </x:c>
      <x:c r="G295" s="6" t="n">
        <x:v>13338</x:v>
      </x:c>
      <x:c r="H295" s="8" t="n">
        <x:f>F295/G295-1</x:f>
        <x:v>0.02147654434485058</x:v>
      </x:c>
      <x:c r="I295" s="9" t="n">
        <x:f>G295*D295/10000</x:f>
        <x:v>45.816030000000005</x:v>
      </x:c>
      <x:c r="J295" s="6" t="n">
        <x:v>3</x:v>
      </x:c>
      <x:c r="K295" s="6" t="n">
        <x:v>1</x:v>
      </x:c>
      <x:c r="L295" s="6" t="str">
        <x:v>近12个月</x:v>
      </x:c>
      <x:c r="M295" s="6" t="str">
        <x:v>2026-09-07</x:v>
      </x:c>
      <x:c r="N295" s="6" t="str">
        <x:v>106128105195</x:v>
      </x:c>
      <x:c r="O295" s="6" t="str">
        <x:v>https://cd.lianjia.com/ershoufang/106128105195.html</x:v>
      </x:c>
      <x:c r="P295" s="8" t="n">
        <x:f>1-I295/E295</x:f>
        <x:v>0.02102499999999985</x:v>
      </x:c>
    </x:row>
    <x:row r="296" ht="22" customHeight="1">
      <x:c r="A296" s="6" t="str">
        <x:v>川音</x:v>
      </x:c>
      <x:c r="B296" s="6" t="str">
        <x:v>凯悦新城</x:v>
      </x:c>
      <x:c r="C296" s="6" t="str">
        <x:v>1室0厅</x:v>
      </x:c>
      <x:c r="D296" s="6" t="n">
        <x:v>41.79</x:v>
      </x:c>
      <x:c r="E296" s="9" t="n">
        <x:v>58.8</x:v>
      </x:c>
      <x:c r="F296" s="6" t="n">
        <x:v>14070.35175879397</x:v>
      </x:c>
      <x:c r="G296" s="6" t="n">
        <x:v>12061</x:v>
      </x:c>
      <x:c r="H296" s="8" t="n">
        <x:f>F296/G296-1</x:f>
        <x:v>0.16659910113539245</x:v>
      </x:c>
      <x:c r="I296" s="9" t="n">
        <x:f>G296*D296/10000</x:f>
        <x:v>50.402919</x:v>
      </x:c>
      <x:c r="J296" s="6" t="n">
        <x:v>5</x:v>
      </x:c>
      <x:c r="K296" s="6" t="n">
        <x:v>1</x:v>
      </x:c>
      <x:c r="L296" s="6" t="str">
        <x:v>近12个月</x:v>
      </x:c>
      <x:c r="M296" s="6" t="str">
        <x:v>2026-09-23</x:v>
      </x:c>
      <x:c r="N296" s="6" t="str">
        <x:v>106128077853</x:v>
      </x:c>
      <x:c r="O296" s="6" t="str">
        <x:v>https://cd.lianjia.com/ershoufang/106128077853.html</x:v>
      </x:c>
      <x:c r="P296" s="8" t="n">
        <x:f>1-I296/E296</x:f>
        <x:v>0.14280749999999998</x:v>
      </x:c>
    </x:row>
    <x:row r="297" ht="22" customHeight="1">
      <x:c r="A297" s="6" t="str">
        <x:v>川音</x:v>
      </x:c>
      <x:c r="B297" s="6" t="str">
        <x:v>凯悦新城</x:v>
      </x:c>
      <x:c r="C297" s="6" t="str">
        <x:v>1室1厅</x:v>
      </x:c>
      <x:c r="D297" s="6" t="n">
        <x:v>40.94</x:v>
      </x:c>
      <x:c r="E297" s="9" t="n">
        <x:v>59</x:v>
      </x:c>
      <x:c r="F297" s="6" t="n">
        <x:v>14411.333659013191</x:v>
      </x:c>
      <x:c r="G297" s="6" t="n">
        <x:v>12611</x:v>
      </x:c>
      <x:c r="H297" s="8" t="n">
        <x:f>F297/G297-1</x:f>
        <x:v>0.1427589928644193</x:v>
      </x:c>
      <x:c r="I297" s="9" t="n">
        <x:f>G297*D297/10000</x:f>
        <x:v>51.629433999999996</x:v>
      </x:c>
      <x:c r="J297" s="6" t="n">
        <x:v>1</x:v>
      </x:c>
      <x:c r="K297" s="6" t="n">
        <x:v>0</x:v>
      </x:c>
      <x:c r="L297" s="6" t="str">
        <x:v>超过12个月</x:v>
      </x:c>
      <x:c r="M297" s="6" t="str">
        <x:v>2025-08-03</x:v>
      </x:c>
      <x:c r="N297" s="6" t="str">
        <x:v>106126051174</x:v>
      </x:c>
      <x:c r="O297" s="6" t="str">
        <x:v>https://cd.lianjia.com/ershoufang/106126051174.html</x:v>
      </x:c>
      <x:c r="P297" s="8" t="n">
        <x:f>1-I297/E297</x:f>
        <x:v>0.12492484745762722</x:v>
      </x:c>
    </x:row>
    <x:row r="298" ht="22" customHeight="1">
      <x:c r="A298" s="6" t="str">
        <x:v>川音</x:v>
      </x:c>
      <x:c r="B298" s="6" t="str">
        <x:v>凯悦新城</x:v>
      </x:c>
      <x:c r="C298" s="6" t="str">
        <x:v>1室0厅</x:v>
      </x:c>
      <x:c r="D298" s="6" t="n">
        <x:v>41.92</x:v>
      </x:c>
      <x:c r="E298" s="9" t="n">
        <x:v>56.8</x:v>
      </x:c>
      <x:c r="F298" s="6" t="n">
        <x:v>13549.618320610687</x:v>
      </x:c>
      <x:c r="G298" s="6" t="n">
        <x:v>12061</x:v>
      </x:c>
      <x:c r="H298" s="8" t="n">
        <x:f>F298/G298-1</x:f>
        <x:v>0.12342412077030818</x:v>
      </x:c>
      <x:c r="I298" s="9" t="n">
        <x:f>G298*D298/10000</x:f>
        <x:v>50.559712</x:v>
      </x:c>
      <x:c r="J298" s="6" t="n">
        <x:v>5</x:v>
      </x:c>
      <x:c r="K298" s="6" t="n">
        <x:v>1</x:v>
      </x:c>
      <x:c r="L298" s="6" t="str">
        <x:v>近12个月</x:v>
      </x:c>
      <x:c r="M298" s="6" t="str">
        <x:v>2026-09-23</x:v>
      </x:c>
      <x:c r="N298" s="6" t="str">
        <x:v>106126112332</x:v>
      </x:c>
      <x:c r="O298" s="6" t="str">
        <x:v>https://cd.lianjia.com/ershoufang/106126112332.html</x:v>
      </x:c>
      <x:c r="P298" s="8" t="n">
        <x:f>1-I298/E298</x:f>
        <x:v>0.10986422535211271</x:v>
      </x:c>
    </x:row>
    <x:row r="299" ht="22" customHeight="1">
      <x:c r="A299" s="6" t="str">
        <x:v>川音</x:v>
      </x:c>
      <x:c r="B299" s="6" t="str">
        <x:v>凯悦新城</x:v>
      </x:c>
      <x:c r="C299" s="6" t="str">
        <x:v>1室0厅</x:v>
      </x:c>
      <x:c r="D299" s="6" t="n">
        <x:v>43.71</x:v>
      </x:c>
      <x:c r="E299" s="9" t="n">
        <x:v>53</x:v>
      </x:c>
      <x:c r="F299" s="6" t="n">
        <x:v>12125.371768474033</x:v>
      </x:c>
      <x:c r="G299" s="6" t="n">
        <x:v>12061</x:v>
      </x:c>
      <x:c r="H299" s="8" t="n">
        <x:f>F299/G299-1</x:f>
        <x:v>0.005337183357435826</x:v>
      </x:c>
      <x:c r="I299" s="9" t="n">
        <x:f>G299*D299/10000</x:f>
        <x:v>52.71863100000001</x:v>
      </x:c>
      <x:c r="J299" s="6" t="n">
        <x:v>5</x:v>
      </x:c>
      <x:c r="K299" s="6" t="n">
        <x:v>1</x:v>
      </x:c>
      <x:c r="L299" s="6" t="str">
        <x:v>近12个月</x:v>
      </x:c>
      <x:c r="M299" s="6" t="str">
        <x:v>2026-09-23</x:v>
      </x:c>
      <x:c r="N299" s="6" t="str">
        <x:v>106127836243</x:v>
      </x:c>
      <x:c r="O299" s="6" t="str">
        <x:v>https://cd.lianjia.com/ershoufang/106127836243.html</x:v>
      </x:c>
      <x:c r="P299" s="8" t="n">
        <x:f>1-I299/E299</x:f>
        <x:v>0.0053088490566035595</x:v>
      </x:c>
    </x:row>
    <x:row r="300" ht="22" customHeight="1">
      <x:c r="A300" s="6" t="str">
        <x:v>合江亭</x:v>
      </x:c>
      <x:c r="B300" s="6" t="str">
        <x:v>喜年广场</x:v>
      </x:c>
      <x:c r="C300" s="6" t="str">
        <x:v>1室1厅</x:v>
      </x:c>
      <x:c r="D300" s="6" t="n">
        <x:v>46.89</x:v>
      </x:c>
      <x:c r="E300" s="9" t="n">
        <x:v>88</x:v>
      </x:c>
      <x:c r="F300" s="6" t="n">
        <x:v>18767.32778844103</x:v>
      </x:c>
      <x:c r="G300" s="6" t="n">
        <x:v>23566.5</x:v>
      </x:c>
      <x:c r="H300" s="8" t="n">
        <x:f>F300/G300-1</x:f>
        <x:v>-0.20364382541145143</x:v>
      </x:c>
      <x:c r="I300" s="9" t="n">
        <x:f>G300*D300/10000</x:f>
        <x:v>110.5033185</x:v>
      </x:c>
      <x:c r="J300" s="6" t="n">
        <x:v>5</x:v>
      </x:c>
      <x:c r="K300" s="6" t="n">
        <x:v>4</x:v>
      </x:c>
      <x:c r="L300" s="6" t="str">
        <x:v>近12个月</x:v>
      </x:c>
      <x:c r="M300" s="6" t="str">
        <x:v>2026-02-01</x:v>
      </x:c>
      <x:c r="N300" s="6" t="str">
        <x:v>106129651912</x:v>
      </x:c>
      <x:c r="O300" s="6" t="str">
        <x:v>https://cd.lianjia.com/ershoufang/106129651912.html</x:v>
      </x:c>
      <x:c r="P300" s="8" t="n">
        <x:f>1-I300/E300</x:f>
        <x:v>-0.25571952840909096</x:v>
      </x:c>
    </x:row>
    <x:row r="301" ht="22" customHeight="1">
      <x:c r="A301" s="6" t="str">
        <x:v>合江亭</x:v>
      </x:c>
      <x:c r="B301" s="6" t="str">
        <x:v>锦上花</x:v>
      </x:c>
      <x:c r="C301" s="6" t="str">
        <x:v>1室0厅</x:v>
      </x:c>
      <x:c r="D301" s="6" t="n">
        <x:v>27.16</x:v>
      </x:c>
      <x:c r="E301" s="9" t="n">
        <x:v>78</x:v>
      </x:c>
      <x:c r="F301" s="6" t="n">
        <x:v>28718.703976435936</x:v>
      </x:c>
      <x:c r="G301" s="6"/>
      <x:c r="H301" s="8"/>
      <x:c r="I301" s="9"/>
      <x:c r="J301" s="6" t="n">
        <x:v>0</x:v>
      </x:c>
      <x:c r="K301" s="6" t="n">
        <x:v>0</x:v>
      </x:c>
      <x:c r="L301" s="6" t="str">
        <x:v>无可比</x:v>
      </x:c>
      <x:c r="M301" s="6" t="str"/>
      <x:c r="N301" s="6" t="str">
        <x:v>106128664638</x:v>
      </x:c>
      <x:c r="O301" s="6" t="str">
        <x:v>https://cd.lianjia.com/ershoufang/106128664638.html</x:v>
      </x:c>
      <x:c r="P301" s="8"/>
    </x:row>
    <x:row r="302" ht="22" customHeight="1">
      <x:c r="A302" s="6" t="str">
        <x:v>合江亭</x:v>
      </x:c>
      <x:c r="B302" s="6" t="str">
        <x:v>星城银座</x:v>
      </x:c>
      <x:c r="C302" s="6" t="str">
        <x:v>1室0厅</x:v>
      </x:c>
      <x:c r="D302" s="6" t="n">
        <x:v>27.66</x:v>
      </x:c>
      <x:c r="E302" s="9" t="n">
        <x:v>74.8</x:v>
      </x:c>
      <x:c r="F302" s="6" t="n">
        <x:v>27042.660882140273</x:v>
      </x:c>
      <x:c r="G302" s="6" t="n">
        <x:v>29042</x:v>
      </x:c>
      <x:c r="H302" s="8" t="n">
        <x:f>F302/G302-1</x:f>
        <x:v>-0.0688430245113879</x:v>
      </x:c>
      <x:c r="I302" s="9" t="n">
        <x:f>G302*D302/10000</x:f>
        <x:v>80.33017199999999</x:v>
      </x:c>
      <x:c r="J302" s="6" t="n">
        <x:v>2</x:v>
      </x:c>
      <x:c r="K302" s="6" t="n">
        <x:v>0</x:v>
      </x:c>
      <x:c r="L302" s="6" t="str">
        <x:v>超过12个月</x:v>
      </x:c>
      <x:c r="M302" s="6" t="str">
        <x:v>2025-01-15</x:v>
      </x:c>
      <x:c r="N302" s="6" t="str">
        <x:v>106126639330</x:v>
      </x:c>
      <x:c r="O302" s="6" t="str">
        <x:v>https://cd.lianjia.com/ershoufang/106126639330.html</x:v>
      </x:c>
      <x:c r="P302" s="8" t="n">
        <x:f>1-I302/E302</x:f>
        <x:v>-0.07393278074866294</x:v>
      </x:c>
    </x:row>
    <x:row r="303" ht="22" customHeight="1">
      <x:c r="A303" s="6" t="str">
        <x:v>合江亭</x:v>
      </x:c>
      <x:c r="B303" s="6" t="str">
        <x:v>流星花园</x:v>
      </x:c>
      <x:c r="C303" s="6" t="str">
        <x:v>1室0厅</x:v>
      </x:c>
      <x:c r="D303" s="6" t="n">
        <x:v>33.67</x:v>
      </x:c>
      <x:c r="E303" s="9" t="n">
        <x:v>67</x:v>
      </x:c>
      <x:c r="F303" s="6" t="n">
        <x:v>19899.0198990199</x:v>
      </x:c>
      <x:c r="G303" s="6" t="n">
        <x:v>20939</x:v>
      </x:c>
      <x:c r="H303" s="8" t="n">
        <x:f>F303/G303-1</x:f>
        <x:v>-0.049667133147719644</x:v>
      </x:c>
      <x:c r="I303" s="9" t="n">
        <x:f>G303*D303/10000</x:f>
        <x:v>70.501613</x:v>
      </x:c>
      <x:c r="J303" s="6" t="n">
        <x:v>3</x:v>
      </x:c>
      <x:c r="K303" s="6" t="n">
        <x:v>0</x:v>
      </x:c>
      <x:c r="L303" s="6" t="str">
        <x:v>超过12个月</x:v>
      </x:c>
      <x:c r="M303" s="6" t="str">
        <x:v>2025-03-02</x:v>
      </x:c>
      <x:c r="N303" s="6" t="str">
        <x:v>106124596789</x:v>
      </x:c>
      <x:c r="O303" s="6" t="str">
        <x:v>https://cd.lianjia.com/ershoufang/106124596789.html</x:v>
      </x:c>
      <x:c r="P303" s="8" t="n">
        <x:f>1-I303/E303</x:f>
        <x:v>-0.052262880597015116</x:v>
      </x:c>
    </x:row>
    <x:row r="304" ht="22" customHeight="1">
      <x:c r="A304" s="6" t="str">
        <x:v>合江亭</x:v>
      </x:c>
      <x:c r="B304" s="6" t="str">
        <x:v>星城银座</x:v>
      </x:c>
      <x:c r="C304" s="6" t="str">
        <x:v>1室0厅</x:v>
      </x:c>
      <x:c r="D304" s="6" t="n">
        <x:v>28.6</x:v>
      </x:c>
      <x:c r="E304" s="9" t="n">
        <x:v>81</x:v>
      </x:c>
      <x:c r="F304" s="6" t="n">
        <x:v>28321.67832167832</x:v>
      </x:c>
      <x:c r="G304" s="6" t="n">
        <x:v>29042</x:v>
      </x:c>
      <x:c r="H304" s="8" t="n">
        <x:f>F304/G304-1</x:f>
        <x:v>-0.024802757328065583</x:v>
      </x:c>
      <x:c r="I304" s="9" t="n">
        <x:f>G304*D304/10000</x:f>
        <x:v>83.06012000000001</x:v>
      </x:c>
      <x:c r="J304" s="6" t="n">
        <x:v>2</x:v>
      </x:c>
      <x:c r="K304" s="6" t="n">
        <x:v>0</x:v>
      </x:c>
      <x:c r="L304" s="6" t="str">
        <x:v>超过12个月</x:v>
      </x:c>
      <x:c r="M304" s="6" t="str">
        <x:v>2025-01-15</x:v>
      </x:c>
      <x:c r="N304" s="6" t="str">
        <x:v>106124648745</x:v>
      </x:c>
      <x:c r="O304" s="6" t="str">
        <x:v>https://cd.lianjia.com/ershoufang/106124648745.html</x:v>
      </x:c>
      <x:c r="P304" s="8" t="n">
        <x:f>1-I304/E304</x:f>
        <x:v>-0.025433580246913667</x:v>
      </x:c>
    </x:row>
    <x:row r="305" ht="22" customHeight="1">
      <x:c r="A305" s="6" t="str">
        <x:v>合江亭</x:v>
      </x:c>
      <x:c r="B305" s="6" t="str">
        <x:v>SOHO我的寓所</x:v>
      </x:c>
      <x:c r="C305" s="6" t="str">
        <x:v>1室1厅</x:v>
      </x:c>
      <x:c r="D305" s="6" t="n">
        <x:v>42.99</x:v>
      </x:c>
      <x:c r="E305" s="9" t="n">
        <x:v>75</x:v>
      </x:c>
      <x:c r="F305" s="6" t="n">
        <x:v>17445.917655268666</x:v>
      </x:c>
      <x:c r="G305" s="6" t="n">
        <x:v>17982.5</x:v>
      </x:c>
      <x:c r="H305" s="8" t="n">
        <x:f>F305/G305-1</x:f>
        <x:v>-0.02983914053837533</x:v>
      </x:c>
      <x:c r="I305" s="9" t="n">
        <x:f>G305*D305/10000</x:f>
        <x:v>77.3067675</x:v>
      </x:c>
      <x:c r="J305" s="6" t="n">
        <x:v>14</x:v>
      </x:c>
      <x:c r="K305" s="6" t="n">
        <x:v>4</x:v>
      </x:c>
      <x:c r="L305" s="6" t="str">
        <x:v>近12个月</x:v>
      </x:c>
      <x:c r="M305" s="6" t="str">
        <x:v>2026-05-19</x:v>
      </x:c>
      <x:c r="N305" s="6" t="str">
        <x:v>106121997017</x:v>
      </x:c>
      <x:c r="O305" s="6" t="str">
        <x:v>https://cd.lianjia.com/ershoufang/106121997017.html</x:v>
      </x:c>
      <x:c r="P305" s="8" t="n">
        <x:f>1-I305/E305</x:f>
        <x:v>-0.030756900000000087</x:v>
      </x:c>
    </x:row>
    <x:row r="306" ht="22" customHeight="1">
      <x:c r="A306" s="6" t="str">
        <x:v>合江亭</x:v>
      </x:c>
      <x:c r="B306" s="6" t="str">
        <x:v>流星花园</x:v>
      </x:c>
      <x:c r="C306" s="6" t="str">
        <x:v>1室1厅</x:v>
      </x:c>
      <x:c r="D306" s="6" t="n">
        <x:v>41.37</x:v>
      </x:c>
      <x:c r="E306" s="9" t="n">
        <x:v>71.8</x:v>
      </x:c>
      <x:c r="F306" s="6" t="n">
        <x:v>17355.571670292484</x:v>
      </x:c>
      <x:c r="G306" s="6" t="n">
        <x:v>17525</x:v>
      </x:c>
      <x:c r="H306" s="8" t="n">
        <x:f>F306/G306-1</x:f>
        <x:v>-0.009667807686591479</x:v>
      </x:c>
      <x:c r="I306" s="9" t="n">
        <x:f>G306*D306/10000</x:f>
        <x:v>72.500925</x:v>
      </x:c>
      <x:c r="J306" s="6" t="n">
        <x:v>1</x:v>
      </x:c>
      <x:c r="K306" s="6" t="n">
        <x:v>1</x:v>
      </x:c>
      <x:c r="L306" s="6" t="str">
        <x:v>近12个月</x:v>
      </x:c>
      <x:c r="M306" s="6" t="str">
        <x:v>2025-11-14</x:v>
      </x:c>
      <x:c r="N306" s="6" t="str">
        <x:v>106126937892</x:v>
      </x:c>
      <x:c r="O306" s="6" t="str">
        <x:v>https://cd.lianjia.com/ershoufang/106126937892.html</x:v>
      </x:c>
      <x:c r="P306" s="8" t="n">
        <x:f>1-I306/E306</x:f>
        <x:v>-0.009762186629526326</x:v>
      </x:c>
    </x:row>
    <x:row r="307" ht="22" customHeight="1">
      <x:c r="A307" s="6" t="str">
        <x:v>合江亭</x:v>
      </x:c>
      <x:c r="B307" s="6" t="str">
        <x:v>国际商务大厦</x:v>
      </x:c>
      <x:c r="C307" s="6" t="str">
        <x:v>1室1厅</x:v>
      </x:c>
      <x:c r="D307" s="6" t="n">
        <x:v>44.54</x:v>
      </x:c>
      <x:c r="E307" s="9" t="n">
        <x:v>88.8</x:v>
      </x:c>
      <x:c r="F307" s="6" t="n">
        <x:v>19937.135159407273</x:v>
      </x:c>
      <x:c r="G307" s="6" t="n">
        <x:v>23810</x:v>
      </x:c>
      <x:c r="H307" s="8" t="n">
        <x:f>F307/G307-1</x:f>
        <x:v>-0.1626570701634913</x:v>
      </x:c>
      <x:c r="I307" s="9" t="n">
        <x:f>G307*D307/10000</x:f>
        <x:v>106.04973999999999</x:v>
      </x:c>
      <x:c r="J307" s="6" t="n">
        <x:v>3</x:v>
      </x:c>
      <x:c r="K307" s="6" t="n">
        <x:v>0</x:v>
      </x:c>
      <x:c r="L307" s="6" t="str">
        <x:v>超过12个月</x:v>
      </x:c>
      <x:c r="M307" s="6" t="str">
        <x:v>2025-08-30</x:v>
      </x:c>
      <x:c r="N307" s="6" t="str">
        <x:v>106128517937</x:v>
      </x:c>
      <x:c r="O307" s="6" t="str">
        <x:v>https://cd.lianjia.com/ershoufang/106128517937.html</x:v>
      </x:c>
      <x:c r="P307" s="8" t="n">
        <x:f>1-I307/E307</x:f>
        <x:v>-0.1942538288288287</x:v>
      </x:c>
    </x:row>
    <x:row r="308" ht="22" customHeight="1">
      <x:c r="A308" s="6" t="str">
        <x:v>合江亭</x:v>
      </x:c>
      <x:c r="B308" s="6" t="str">
        <x:v>锦上花</x:v>
      </x:c>
      <x:c r="C308" s="6" t="str">
        <x:v>1室0厅</x:v>
      </x:c>
      <x:c r="D308" s="6" t="n">
        <x:v>27.83</x:v>
      </x:c>
      <x:c r="E308" s="9" t="n">
        <x:v>75</x:v>
      </x:c>
      <x:c r="F308" s="6" t="n">
        <x:v>26949.33524973051</x:v>
      </x:c>
      <x:c r="G308" s="6"/>
      <x:c r="H308" s="8"/>
      <x:c r="I308" s="9"/>
      <x:c r="J308" s="6" t="n">
        <x:v>0</x:v>
      </x:c>
      <x:c r="K308" s="6" t="n">
        <x:v>0</x:v>
      </x:c>
      <x:c r="L308" s="6" t="str">
        <x:v>无可比</x:v>
      </x:c>
      <x:c r="M308" s="6" t="str"/>
      <x:c r="N308" s="6" t="str">
        <x:v>106128397706</x:v>
      </x:c>
      <x:c r="O308" s="6" t="str">
        <x:v>https://cd.lianjia.com/ershoufang/106128397706.html</x:v>
      </x:c>
      <x:c r="P308" s="8"/>
    </x:row>
    <x:row r="309" ht="22" customHeight="1">
      <x:c r="A309" s="6" t="str">
        <x:v>合江亭</x:v>
      </x:c>
      <x:c r="B309" s="6" t="str">
        <x:v>流星花园</x:v>
      </x:c>
      <x:c r="C309" s="6" t="str">
        <x:v>1室0厅</x:v>
      </x:c>
      <x:c r="D309" s="6" t="n">
        <x:v>41.95</x:v>
      </x:c>
      <x:c r="E309" s="9" t="n">
        <x:v>73.5</x:v>
      </x:c>
      <x:c r="F309" s="6" t="n">
        <x:v>17520.858164481524</x:v>
      </x:c>
      <x:c r="G309" s="6" t="n">
        <x:v>17709</x:v>
      </x:c>
      <x:c r="H309" s="8" t="n">
        <x:f>F309/G309-1</x:f>
        <x:v>-0.010624080158025628</x:v>
      </x:c>
      <x:c r="I309" s="9" t="n">
        <x:f>G309*D309/10000</x:f>
        <x:v>74.28925500000001</x:v>
      </x:c>
      <x:c r="J309" s="6" t="n">
        <x:v>18</x:v>
      </x:c>
      <x:c r="K309" s="6" t="n">
        <x:v>6</x:v>
      </x:c>
      <x:c r="L309" s="6" t="str">
        <x:v>近12个月</x:v>
      </x:c>
      <x:c r="M309" s="6" t="str">
        <x:v>2026-07-22</x:v>
      </x:c>
      <x:c r="N309" s="6" t="str">
        <x:v>106128997130</x:v>
      </x:c>
      <x:c r="O309" s="6" t="str">
        <x:v>https://cd.lianjia.com/ershoufang/106128997130.html</x:v>
      </x:c>
      <x:c r="P309" s="8" t="n">
        <x:f>1-I309/E309</x:f>
        <x:v>-0.0107381632653063</x:v>
      </x:c>
    </x:row>
    <x:row r="310" ht="22" customHeight="1">
      <x:c r="A310" s="6" t="str">
        <x:v>合江亭</x:v>
      </x:c>
      <x:c r="B310" s="6" t="str">
        <x:v>流星花园</x:v>
      </x:c>
      <x:c r="C310" s="6" t="str">
        <x:v>1室0厅</x:v>
      </x:c>
      <x:c r="D310" s="6" t="n">
        <x:v>33.67</x:v>
      </x:c>
      <x:c r="E310" s="9" t="n">
        <x:v>65</x:v>
      </x:c>
      <x:c r="F310" s="6" t="n">
        <x:v>19305.019305019305</x:v>
      </x:c>
      <x:c r="G310" s="6" t="n">
        <x:v>20939</x:v>
      </x:c>
      <x:c r="H310" s="8" t="n">
        <x:f>F310/G310-1</x:f>
        <x:v>-0.07803527842689217</x:v>
      </x:c>
      <x:c r="I310" s="9" t="n">
        <x:f>G310*D310/10000</x:f>
        <x:v>70.501613</x:v>
      </x:c>
      <x:c r="J310" s="6" t="n">
        <x:v>3</x:v>
      </x:c>
      <x:c r="K310" s="6" t="n">
        <x:v>0</x:v>
      </x:c>
      <x:c r="L310" s="6" t="str">
        <x:v>超过12个月</x:v>
      </x:c>
      <x:c r="M310" s="6" t="str">
        <x:v>2025-03-02</x:v>
      </x:c>
      <x:c r="N310" s="6" t="str">
        <x:v>106129134845</x:v>
      </x:c>
      <x:c r="O310" s="6" t="str">
        <x:v>https://cd.lianjia.com/ershoufang/106129134845.html</x:v>
      </x:c>
      <x:c r="P310" s="8" t="n">
        <x:f>1-I310/E310</x:f>
        <x:v>-0.08464020000000017</x:v>
      </x:c>
    </x:row>
    <x:row r="311" ht="22" customHeight="1">
      <x:c r="A311" s="6" t="str">
        <x:v>合江亭</x:v>
      </x:c>
      <x:c r="B311" s="6" t="str">
        <x:v>流星花园</x:v>
      </x:c>
      <x:c r="C311" s="6" t="str">
        <x:v>1室0厅</x:v>
      </x:c>
      <x:c r="D311" s="6" t="n">
        <x:v>41.37</x:v>
      </x:c>
      <x:c r="E311" s="9" t="n">
        <x:v>74.5</x:v>
      </x:c>
      <x:c r="F311" s="6" t="n">
        <x:v>18008.21851583273</x:v>
      </x:c>
      <x:c r="G311" s="6" t="n">
        <x:v>17709</x:v>
      </x:c>
      <x:c r="H311" s="8" t="n">
        <x:f>F311/G311-1</x:f>
        <x:v>0.016896409499843612</x:v>
      </x:c>
      <x:c r="I311" s="9" t="n">
        <x:f>G311*D311/10000</x:f>
        <x:v>73.26213299999999</x:v>
      </x:c>
      <x:c r="J311" s="6" t="n">
        <x:v>18</x:v>
      </x:c>
      <x:c r="K311" s="6" t="n">
        <x:v>6</x:v>
      </x:c>
      <x:c r="L311" s="6" t="str">
        <x:v>近12个月</x:v>
      </x:c>
      <x:c r="M311" s="6" t="str">
        <x:v>2026-07-22</x:v>
      </x:c>
      <x:c r="N311" s="6" t="str">
        <x:v>106128391674</x:v>
      </x:c>
      <x:c r="O311" s="6" t="str">
        <x:v>https://cd.lianjia.com/ershoufang/106128391674.html</x:v>
      </x:c>
      <x:c r="P311" s="8" t="n">
        <x:f>1-I311/E311</x:f>
        <x:v>0.01661566442953033</x:v>
      </x:c>
    </x:row>
    <x:row r="312" ht="22" customHeight="1">
      <x:c r="A312" s="6" t="str">
        <x:v>合江亭</x:v>
      </x:c>
      <x:c r="B312" s="6" t="str">
        <x:v>流星花园</x:v>
      </x:c>
      <x:c r="C312" s="6" t="str">
        <x:v>1室0厅</x:v>
      </x:c>
      <x:c r="D312" s="6" t="n">
        <x:v>41.37</x:v>
      </x:c>
      <x:c r="E312" s="9" t="n">
        <x:v>71</x:v>
      </x:c>
      <x:c r="F312" s="6" t="n">
        <x:v>17162.19482716945</x:v>
      </x:c>
      <x:c r="G312" s="6" t="n">
        <x:v>17709</x:v>
      </x:c>
      <x:c r="H312" s="8" t="n">
        <x:f>F312/G312-1</x:f>
        <x:v>-0.030877247322296575</x:v>
      </x:c>
      <x:c r="I312" s="9" t="n">
        <x:f>G312*D312/10000</x:f>
        <x:v>73.26213299999999</x:v>
      </x:c>
      <x:c r="J312" s="6" t="n">
        <x:v>18</x:v>
      </x:c>
      <x:c r="K312" s="6" t="n">
        <x:v>6</x:v>
      </x:c>
      <x:c r="L312" s="6" t="str">
        <x:v>近12个月</x:v>
      </x:c>
      <x:c r="M312" s="6" t="str">
        <x:v>2026-07-22</x:v>
      </x:c>
      <x:c r="N312" s="6" t="str">
        <x:v>106128906524</x:v>
      </x:c>
      <x:c r="O312" s="6" t="str">
        <x:v>https://cd.lianjia.com/ershoufang/106128906524.html</x:v>
      </x:c>
      <x:c r="P312" s="8" t="n">
        <x:f>1-I312/E312</x:f>
        <x:v>-0.03186102816901393</x:v>
      </x:c>
    </x:row>
    <x:row r="313" ht="22" customHeight="1">
      <x:c r="A313" s="6" t="str">
        <x:v>合江亭</x:v>
      </x:c>
      <x:c r="B313" s="6" t="str">
        <x:v>流星花园</x:v>
      </x:c>
      <x:c r="C313" s="6" t="str">
        <x:v>1室0厅</x:v>
      </x:c>
      <x:c r="D313" s="6" t="n">
        <x:v>41.17</x:v>
      </x:c>
      <x:c r="E313" s="9" t="n">
        <x:v>75</x:v>
      </x:c>
      <x:c r="F313" s="6" t="n">
        <x:v>18217.148409035704</x:v>
      </x:c>
      <x:c r="G313" s="6" t="n">
        <x:v>17709</x:v>
      </x:c>
      <x:c r="H313" s="8" t="n">
        <x:f>F313/G313-1</x:f>
        <x:v>0.028694359310842188</x:v>
      </x:c>
      <x:c r="I313" s="9" t="n">
        <x:f>G313*D313/10000</x:f>
        <x:v>72.907953</x:v>
      </x:c>
      <x:c r="J313" s="6" t="n">
        <x:v>18</x:v>
      </x:c>
      <x:c r="K313" s="6" t="n">
        <x:v>6</x:v>
      </x:c>
      <x:c r="L313" s="6" t="str">
        <x:v>近12个月</x:v>
      </x:c>
      <x:c r="M313" s="6" t="str">
        <x:v>2026-07-22</x:v>
      </x:c>
      <x:c r="N313" s="6" t="str">
        <x:v>106127310499</x:v>
      </x:c>
      <x:c r="O313" s="6" t="str">
        <x:v>https://cd.lianjia.com/ershoufang/106127310499.html</x:v>
      </x:c>
      <x:c r="P313" s="8" t="n">
        <x:f>1-I313/E313</x:f>
        <x:v>0.027893959999999884</x:v>
      </x:c>
    </x:row>
    <x:row r="314" ht="22" customHeight="1">
      <x:c r="A314" s="6" t="str">
        <x:v>合江亭</x:v>
      </x:c>
      <x:c r="B314" s="6" t="str">
        <x:v>蓝光时代华章</x:v>
      </x:c>
      <x:c r="C314" s="6" t="str">
        <x:v>1室1厅</x:v>
      </x:c>
      <x:c r="D314" s="6" t="n">
        <x:v>37.87</x:v>
      </x:c>
      <x:c r="E314" s="9" t="n">
        <x:v>95</x:v>
      </x:c>
      <x:c r="F314" s="6" t="n">
        <x:v>25085.819910219172</x:v>
      </x:c>
      <x:c r="G314" s="6" t="n">
        <x:v>21003</x:v>
      </x:c>
      <x:c r="H314" s="8" t="n">
        <x:f>F314/G314-1</x:f>
        <x:v>0.19439222540680712</x:v>
      </x:c>
      <x:c r="I314" s="9" t="n">
        <x:f>G314*D314/10000</x:f>
        <x:v>79.538361</x:v>
      </x:c>
      <x:c r="J314" s="6" t="n">
        <x:v>12</x:v>
      </x:c>
      <x:c r="K314" s="6" t="n">
        <x:v>4</x:v>
      </x:c>
      <x:c r="L314" s="6" t="str">
        <x:v>近12个月</x:v>
      </x:c>
      <x:c r="M314" s="6" t="str">
        <x:v>2026-09-20</x:v>
      </x:c>
      <x:c r="N314" s="6" t="str">
        <x:v>106126036865</x:v>
      </x:c>
      <x:c r="O314" s="6" t="str">
        <x:v>https://cd.lianjia.com/ershoufang/106126036865.html</x:v>
      </x:c>
      <x:c r="P314" s="8" t="n">
        <x:f>1-I314/E314</x:f>
        <x:v>0.16275409473684221</x:v>
      </x:c>
    </x:row>
    <x:row r="315" ht="22" customHeight="1">
      <x:c r="A315" s="6" t="str">
        <x:v>合江亭</x:v>
      </x:c>
      <x:c r="B315" s="6" t="str">
        <x:v>蓝光时代华章</x:v>
      </x:c>
      <x:c r="C315" s="6" t="str">
        <x:v>1室0厅</x:v>
      </x:c>
      <x:c r="D315" s="6" t="n">
        <x:v>36.76</x:v>
      </x:c>
      <x:c r="E315" s="9" t="n">
        <x:v>93</x:v>
      </x:c>
      <x:c r="F315" s="6" t="n">
        <x:v>25299.238302502723</x:v>
      </x:c>
      <x:c r="G315" s="6" t="n">
        <x:v>24572</x:v>
      </x:c>
      <x:c r="H315" s="8" t="n">
        <x:f>F315/G315-1</x:f>
        <x:v>0.02959621937582302</x:v>
      </x:c>
      <x:c r="I315" s="9" t="n">
        <x:f>G315*D315/10000</x:f>
        <x:v>90.326672</x:v>
      </x:c>
      <x:c r="J315" s="6" t="n">
        <x:v>17</x:v>
      </x:c>
      <x:c r="K315" s="6" t="n">
        <x:v>4</x:v>
      </x:c>
      <x:c r="L315" s="6" t="str">
        <x:v>近12个月</x:v>
      </x:c>
      <x:c r="M315" s="6" t="str">
        <x:v>2026-08-16</x:v>
      </x:c>
      <x:c r="N315" s="6" t="str">
        <x:v>106129085227</x:v>
      </x:c>
      <x:c r="O315" s="6" t="str">
        <x:v>https://cd.lianjia.com/ershoufang/106129085227.html</x:v>
      </x:c>
      <x:c r="P315" s="8" t="n">
        <x:f>1-I315/E315</x:f>
        <x:v>0.02874546236559139</x:v>
      </x:c>
    </x:row>
    <x:row r="316" ht="22" customHeight="1">
      <x:c r="A316" s="6" t="str">
        <x:v>合江亭</x:v>
      </x:c>
      <x:c r="B316" s="6" t="str">
        <x:v>蓝光时代华章</x:v>
      </x:c>
      <x:c r="C316" s="6" t="str">
        <x:v>1室1厅</x:v>
      </x:c>
      <x:c r="D316" s="6" t="n">
        <x:v>37.44</x:v>
      </x:c>
      <x:c r="E316" s="9" t="n">
        <x:v>100</x:v>
      </x:c>
      <x:c r="F316" s="6" t="n">
        <x:v>26709.40170940171</x:v>
      </x:c>
      <x:c r="G316" s="6" t="n">
        <x:v>21003</x:v>
      </x:c>
      <x:c r="H316" s="8" t="n">
        <x:f>F316/G316-1</x:f>
        <x:v>0.27169460121895495</x:v>
      </x:c>
      <x:c r="I316" s="9" t="n">
        <x:f>G316*D316/10000</x:f>
        <x:v>78.63523199999999</x:v>
      </x:c>
      <x:c r="J316" s="6" t="n">
        <x:v>12</x:v>
      </x:c>
      <x:c r="K316" s="6" t="n">
        <x:v>4</x:v>
      </x:c>
      <x:c r="L316" s="6" t="str">
        <x:v>近12个月</x:v>
      </x:c>
      <x:c r="M316" s="6" t="str">
        <x:v>2026-09-20</x:v>
      </x:c>
      <x:c r="N316" s="6" t="str">
        <x:v>106128618247</x:v>
      </x:c>
      <x:c r="O316" s="6" t="str">
        <x:v>https://cd.lianjia.com/ershoufang/106128618247.html</x:v>
      </x:c>
      <x:c r="P316" s="8" t="n">
        <x:f>1-I316/E316</x:f>
        <x:v>0.21364768000000012</x:v>
      </x:c>
    </x:row>
    <x:row r="317" ht="22" customHeight="1">
      <x:c r="A317" s="6" t="str">
        <x:v>合江亭</x:v>
      </x:c>
      <x:c r="B317" s="6" t="str">
        <x:v>蓝光时代华章</x:v>
      </x:c>
      <x:c r="C317" s="6" t="str">
        <x:v>1室0厅</x:v>
      </x:c>
      <x:c r="D317" s="6" t="n">
        <x:v>37.91</x:v>
      </x:c>
      <x:c r="E317" s="9" t="n">
        <x:v>101</x:v>
      </x:c>
      <x:c r="F317" s="6" t="n">
        <x:v>26642.046953310473</x:v>
      </x:c>
      <x:c r="G317" s="6" t="n">
        <x:v>24572</x:v>
      </x:c>
      <x:c r="H317" s="8" t="n">
        <x:f>F317/G317-1</x:f>
        <x:v>0.08424413777105944</x:v>
      </x:c>
      <x:c r="I317" s="9" t="n">
        <x:f>G317*D317/10000</x:f>
        <x:v>93.152452</x:v>
      </x:c>
      <x:c r="J317" s="6" t="n">
        <x:v>16</x:v>
      </x:c>
      <x:c r="K317" s="6" t="n">
        <x:v>4</x:v>
      </x:c>
      <x:c r="L317" s="6" t="str">
        <x:v>近12个月</x:v>
      </x:c>
      <x:c r="M317" s="6" t="str">
        <x:v>2026-08-16</x:v>
      </x:c>
      <x:c r="N317" s="6" t="str">
        <x:v>106121249684</x:v>
      </x:c>
      <x:c r="O317" s="6" t="str">
        <x:v>https://cd.lianjia.com/ershoufang/106121249684.html</x:v>
      </x:c>
      <x:c r="P317" s="8" t="n">
        <x:f>1-I317/E317</x:f>
        <x:v>0.07769849504950499</x:v>
      </x:c>
    </x:row>
    <x:row r="318" ht="22" customHeight="1">
      <x:c r="A318" s="6" t="str">
        <x:v>盐市口</x:v>
      </x:c>
      <x:c r="B318" s="6" t="str">
        <x:v>世代锦江商务楼</x:v>
      </x:c>
      <x:c r="C318" s="6" t="str">
        <x:v>1室0厅</x:v>
      </x:c>
      <x:c r="D318" s="6" t="n">
        <x:v>45.72</x:v>
      </x:c>
      <x:c r="E318" s="9" t="n">
        <x:v>115</x:v>
      </x:c>
      <x:c r="F318" s="6" t="n">
        <x:v>25153.10586176728</x:v>
      </x:c>
      <x:c r="G318" s="6" t="n">
        <x:v>16036</x:v>
      </x:c>
      <x:c r="H318" s="8" t="n">
        <x:f>F318/G318-1</x:f>
        <x:v>0.5685399015818957</x:v>
      </x:c>
      <x:c r="I318" s="9" t="n">
        <x:f>G318*D318/10000</x:f>
        <x:v>73.31659199999999</x:v>
      </x:c>
      <x:c r="J318" s="6" t="n">
        <x:v>11</x:v>
      </x:c>
      <x:c r="K318" s="6" t="n">
        <x:v>1</x:v>
      </x:c>
      <x:c r="L318" s="6" t="str">
        <x:v>近12个月</x:v>
      </x:c>
      <x:c r="M318" s="6" t="str">
        <x:v>2026-09-13</x:v>
      </x:c>
      <x:c r="N318" s="6" t="str">
        <x:v>106127022557</x:v>
      </x:c>
      <x:c r="O318" s="6" t="str">
        <x:v>https://cd.lianjia.com/ershoufang/106127022557.html</x:v>
      </x:c>
      <x:c r="P318" s="8" t="n">
        <x:f>1-I318/E318</x:f>
        <x:v>0.3624644173913044</x:v>
      </x:c>
    </x:row>
    <x:row r="319" ht="22" customHeight="1">
      <x:c r="A319" s="6" t="str">
        <x:v>盐市口</x:v>
      </x:c>
      <x:c r="B319" s="6" t="str">
        <x:v>都仕闲庭</x:v>
      </x:c>
      <x:c r="C319" s="6" t="str">
        <x:v>1室1厅</x:v>
      </x:c>
      <x:c r="D319" s="6" t="n">
        <x:v>46.03</x:v>
      </x:c>
      <x:c r="E319" s="9" t="n">
        <x:v>85</x:v>
      </x:c>
      <x:c r="F319" s="6" t="n">
        <x:v>18466.217684119052</x:v>
      </x:c>
      <x:c r="G319" s="6"/>
      <x:c r="H319" s="8"/>
      <x:c r="I319" s="9"/>
      <x:c r="J319" s="6" t="n">
        <x:v>0</x:v>
      </x:c>
      <x:c r="K319" s="6" t="n">
        <x:v>0</x:v>
      </x:c>
      <x:c r="L319" s="6" t="str">
        <x:v>无可比</x:v>
      </x:c>
      <x:c r="M319" s="6" t="str"/>
      <x:c r="N319" s="6" t="str">
        <x:v>106128899481</x:v>
      </x:c>
      <x:c r="O319" s="6" t="str">
        <x:v>https://cd.lianjia.com/ershoufang/106128899481.html</x:v>
      </x:c>
      <x:c r="P319" s="8"/>
    </x:row>
    <x:row r="320" ht="22" customHeight="1">
      <x:c r="A320" s="6" t="str">
        <x:v>盐市口</x:v>
      </x:c>
      <x:c r="B320" s="6" t="str">
        <x:v>世代锦江商务楼</x:v>
      </x:c>
      <x:c r="C320" s="6" t="str">
        <x:v>1室0厅</x:v>
      </x:c>
      <x:c r="D320" s="6" t="n">
        <x:v>45.72</x:v>
      </x:c>
      <x:c r="E320" s="9" t="n">
        <x:v>119</x:v>
      </x:c>
      <x:c r="F320" s="6" t="n">
        <x:v>26027.996500437446</x:v>
      </x:c>
      <x:c r="G320" s="6" t="n">
        <x:v>16036</x:v>
      </x:c>
      <x:c r="H320" s="8" t="n">
        <x:f>F320/G320-1</x:f>
        <x:v>0.6230978112021355</x:v>
      </x:c>
      <x:c r="I320" s="9" t="n">
        <x:f>G320*D320/10000</x:f>
        <x:v>73.31659199999999</x:v>
      </x:c>
      <x:c r="J320" s="6" t="n">
        <x:v>11</x:v>
      </x:c>
      <x:c r="K320" s="6" t="n">
        <x:v>1</x:v>
      </x:c>
      <x:c r="L320" s="6" t="str">
        <x:v>近12个月</x:v>
      </x:c>
      <x:c r="M320" s="6" t="str">
        <x:v>2026-09-13</x:v>
      </x:c>
      <x:c r="N320" s="6" t="str">
        <x:v>106123810468</x:v>
      </x:c>
      <x:c r="O320" s="6" t="str">
        <x:v>https://cd.lianjia.com/ershoufang/106123810468.html</x:v>
      </x:c>
      <x:c r="P320" s="8" t="n">
        <x:f>1-I320/E320</x:f>
        <x:v>0.38389418487394966</x:v>
      </x:c>
    </x:row>
    <x:row r="321" ht="22" customHeight="1">
      <x:c r="A321" s="6" t="str">
        <x:v>盐市口</x:v>
      </x:c>
      <x:c r="B321" s="6" t="str">
        <x:v>萧邦</x:v>
      </x:c>
      <x:c r="C321" s="6" t="str">
        <x:v>1室1厅</x:v>
      </x:c>
      <x:c r="D321" s="6" t="n">
        <x:v>47.23</x:v>
      </x:c>
      <x:c r="E321" s="9" t="n">
        <x:v>80</x:v>
      </x:c>
      <x:c r="F321" s="6" t="n">
        <x:v>16938.386618674573</x:v>
      </x:c>
      <x:c r="G321" s="6" t="n">
        <x:v>14039.5</x:v>
      </x:c>
      <x:c r="H321" s="8" t="n">
        <x:f>F321/G321-1</x:f>
        <x:v>0.20648075919189246</x:v>
      </x:c>
      <x:c r="I321" s="9" t="n">
        <x:f>G321*D321/10000</x:f>
        <x:v>66.30855849999999</x:v>
      </x:c>
      <x:c r="J321" s="6" t="n">
        <x:v>4</x:v>
      </x:c>
      <x:c r="K321" s="6" t="n">
        <x:v>2</x:v>
      </x:c>
      <x:c r="L321" s="6" t="str">
        <x:v>近12个月</x:v>
      </x:c>
      <x:c r="M321" s="6" t="str">
        <x:v>2026-04-09</x:v>
      </x:c>
      <x:c r="N321" s="6" t="str">
        <x:v>106117849946</x:v>
      </x:c>
      <x:c r="O321" s="6" t="str">
        <x:v>https://cd.lianjia.com/ershoufang/106117849946.html</x:v>
      </x:c>
      <x:c r="P321" s="8" t="n">
        <x:f>1-I321/E321</x:f>
        <x:v>0.17114301875000015</x:v>
      </x:c>
    </x:row>
    <x:row r="322" ht="22" customHeight="1">
      <x:c r="A322" s="6" t="str">
        <x:v>盐市口</x:v>
      </x:c>
      <x:c r="B322" s="6" t="str">
        <x:v>财富中心</x:v>
      </x:c>
      <x:c r="C322" s="6" t="str">
        <x:v>1室0厅</x:v>
      </x:c>
      <x:c r="D322" s="6" t="n">
        <x:v>49.78</x:v>
      </x:c>
      <x:c r="E322" s="9" t="n">
        <x:v>93</x:v>
      </x:c>
      <x:c r="F322" s="6" t="n">
        <x:v>18682.20168742467</x:v>
      </x:c>
      <x:c r="G322" s="6" t="n">
        <x:v>17885</x:v>
      </x:c>
      <x:c r="H322" s="8" t="n">
        <x:f>F322/G322-1</x:f>
        <x:v>0.044573759431069115</x:v>
      </x:c>
      <x:c r="I322" s="9" t="n">
        <x:f>G322*D322/10000</x:f>
        <x:v>89.03153</x:v>
      </x:c>
      <x:c r="J322" s="6" t="n">
        <x:v>4</x:v>
      </x:c>
      <x:c r="K322" s="6" t="n">
        <x:v>1</x:v>
      </x:c>
      <x:c r="L322" s="6" t="str">
        <x:v>近12个月</x:v>
      </x:c>
      <x:c r="M322" s="6" t="str">
        <x:v>2026-03-07</x:v>
      </x:c>
      <x:c r="N322" s="6" t="str">
        <x:v>106127954854</x:v>
      </x:c>
      <x:c r="O322" s="6" t="str">
        <x:v>https://cd.lianjia.com/ershoufang/106127954854.html</x:v>
      </x:c>
      <x:c r="P322" s="8" t="n">
        <x:f>1-I322/E322</x:f>
        <x:v>0.042671720430107474</x:v>
      </x:c>
    </x:row>
    <x:row r="323" ht="22" customHeight="1">
      <x:c r="A323" s="6" t="str">
        <x:v>盐市口</x:v>
      </x:c>
      <x:c r="B323" s="6" t="str">
        <x:v>科甲大厦</x:v>
      </x:c>
      <x:c r="C323" s="6" t="str">
        <x:v>1室1厅</x:v>
      </x:c>
      <x:c r="D323" s="6" t="n">
        <x:v>45.41</x:v>
      </x:c>
      <x:c r="E323" s="9" t="n">
        <x:v>77</x:v>
      </x:c>
      <x:c r="F323" s="6" t="n">
        <x:v>16956.617485135434</x:v>
      </x:c>
      <x:c r="G323" s="6" t="n">
        <x:v>13295.5</x:v>
      </x:c>
      <x:c r="H323" s="8" t="n">
        <x:f>F323/G323-1</x:f>
        <x:v>0.2753651600267333</x:v>
      </x:c>
      <x:c r="I323" s="9" t="n">
        <x:f>G323*D323/10000</x:f>
        <x:v>60.37486549999999</x:v>
      </x:c>
      <x:c r="J323" s="6" t="n">
        <x:v>6</x:v>
      </x:c>
      <x:c r="K323" s="6" t="n">
        <x:v>4</x:v>
      </x:c>
      <x:c r="L323" s="6" t="str">
        <x:v>近12个月</x:v>
      </x:c>
      <x:c r="M323" s="6" t="str">
        <x:v>2026-08-29</x:v>
      </x:c>
      <x:c r="N323" s="6" t="str">
        <x:v>106125549651</x:v>
      </x:c>
      <x:c r="O323" s="6" t="str">
        <x:v>https://cd.lianjia.com/ershoufang/106125549651.html</x:v>
      </x:c>
      <x:c r="P323" s="8" t="n">
        <x:f>1-I323/E323</x:f>
        <x:v>0.21591083766233776</x:v>
      </x:c>
    </x:row>
    <x:row r="324" ht="22" customHeight="1">
      <x:c r="A324" s="6" t="str">
        <x:v>盐市口</x:v>
      </x:c>
      <x:c r="B324" s="6" t="str">
        <x:v>科甲大厦</x:v>
      </x:c>
      <x:c r="C324" s="6" t="str">
        <x:v>1室1厅</x:v>
      </x:c>
      <x:c r="D324" s="6" t="n">
        <x:v>45.41</x:v>
      </x:c>
      <x:c r="E324" s="9" t="n">
        <x:v>70</x:v>
      </x:c>
      <x:c r="F324" s="6" t="n">
        <x:v>15415.106804668576</x:v>
      </x:c>
      <x:c r="G324" s="6" t="n">
        <x:v>13295.5</x:v>
      </x:c>
      <x:c r="H324" s="8" t="n">
        <x:f>F324/G324-1</x:f>
        <x:v>0.15942287275157585</x:v>
      </x:c>
      <x:c r="I324" s="9" t="n">
        <x:f>G324*D324/10000</x:f>
        <x:v>60.37486549999999</x:v>
      </x:c>
      <x:c r="J324" s="6" t="n">
        <x:v>6</x:v>
      </x:c>
      <x:c r="K324" s="6" t="n">
        <x:v>4</x:v>
      </x:c>
      <x:c r="L324" s="6" t="str">
        <x:v>近12个月</x:v>
      </x:c>
      <x:c r="M324" s="6" t="str">
        <x:v>2026-08-29</x:v>
      </x:c>
      <x:c r="N324" s="6" t="str">
        <x:v>106128374891</x:v>
      </x:c>
      <x:c r="O324" s="6" t="str">
        <x:v>https://cd.lianjia.com/ershoufang/106128374891.html</x:v>
      </x:c>
      <x:c r="P324" s="8" t="n">
        <x:f>1-I324/E324</x:f>
        <x:v>0.13750192142857154</x:v>
      </x:c>
    </x:row>
    <x:row r="325" ht="22" customHeight="1">
      <x:c r="A325" s="6" t="str">
        <x:v>盐市口</x:v>
      </x:c>
      <x:c r="B325" s="6" t="str">
        <x:v>都市驿站</x:v>
      </x:c>
      <x:c r="C325" s="6" t="str">
        <x:v>1室1厅</x:v>
      </x:c>
      <x:c r="D325" s="6" t="n">
        <x:v>49.13</x:v>
      </x:c>
      <x:c r="E325" s="9" t="n">
        <x:v>86</x:v>
      </x:c>
      <x:c r="F325" s="6" t="n">
        <x:v>17504.579686545898</x:v>
      </x:c>
      <x:c r="G325" s="6" t="n">
        <x:v>18068</x:v>
      </x:c>
      <x:c r="H325" s="8" t="n">
        <x:f>F325/G325-1</x:f>
        <x:v>-0.031183324853558902</x:v>
      </x:c>
      <x:c r="I325" s="9" t="n">
        <x:f>G325*D325/10000</x:f>
        <x:v>88.768084</x:v>
      </x:c>
      <x:c r="J325" s="6" t="n">
        <x:v>21</x:v>
      </x:c>
      <x:c r="K325" s="6" t="n">
        <x:v>10</x:v>
      </x:c>
      <x:c r="L325" s="6" t="str">
        <x:v>近12个月</x:v>
      </x:c>
      <x:c r="M325" s="6" t="str">
        <x:v>2026-09-13</x:v>
      </x:c>
      <x:c r="N325" s="6" t="str">
        <x:v>106129689168</x:v>
      </x:c>
      <x:c r="O325" s="6" t="str">
        <x:v>https://cd.lianjia.com/ershoufang/106129689168.html</x:v>
      </x:c>
      <x:c r="P325" s="8" t="n">
        <x:f>1-I325/E325</x:f>
        <x:v>-0.03218702325581391</x:v>
      </x:c>
    </x:row>
    <x:row r="326" ht="22" customHeight="1">
      <x:c r="A326" s="6" t="str">
        <x:v>盐市口</x:v>
      </x:c>
      <x:c r="B326" s="6" t="str">
        <x:v>银杏地带</x:v>
      </x:c>
      <x:c r="C326" s="6" t="str">
        <x:v>1室0厅</x:v>
      </x:c>
      <x:c r="D326" s="6" t="n">
        <x:v>48.03</x:v>
      </x:c>
      <x:c r="E326" s="9" t="n">
        <x:v>54</x:v>
      </x:c>
      <x:c r="F326" s="6" t="n">
        <x:v>11242.973141786384</x:v>
      </x:c>
      <x:c r="G326" s="6" t="n">
        <x:v>9663</x:v>
      </x:c>
      <x:c r="H326" s="8" t="n">
        <x:f>F326/G326-1</x:f>
        <x:v>0.1635075175190297</x:v>
      </x:c>
      <x:c r="I326" s="9" t="n">
        <x:f>G326*D326/10000</x:f>
        <x:v>46.411389</x:v>
      </x:c>
      <x:c r="J326" s="6" t="n">
        <x:v>1</x:v>
      </x:c>
      <x:c r="K326" s="6" t="n">
        <x:v>0</x:v>
      </x:c>
      <x:c r="L326" s="6" t="str">
        <x:v>超过12个月</x:v>
      </x:c>
      <x:c r="M326" s="6" t="str">
        <x:v>2025-07-13</x:v>
      </x:c>
      <x:c r="N326" s="6" t="str">
        <x:v>106124775048</x:v>
      </x:c>
      <x:c r="O326" s="6" t="str">
        <x:v>https://cd.lianjia.com/ershoufang/106124775048.html</x:v>
      </x:c>
      <x:c r="P326" s="8" t="n">
        <x:f>1-I326/E326</x:f>
        <x:v>0.14052983333333335</x:v>
      </x:c>
    </x:row>
    <x:row r="327" ht="22" customHeight="1">
      <x:c r="A327" s="6" t="str">
        <x:v>盐市口</x:v>
      </x:c>
      <x:c r="B327" s="6" t="str">
        <x:v>新和春禧时代</x:v>
      </x:c>
      <x:c r="C327" s="6" t="str">
        <x:v>1室0厅</x:v>
      </x:c>
      <x:c r="D327" s="6" t="n">
        <x:v>36.11</x:v>
      </x:c>
      <x:c r="E327" s="9" t="n">
        <x:v>83</x:v>
      </x:c>
      <x:c r="F327" s="6" t="n">
        <x:v>22985.32262531155</x:v>
      </x:c>
      <x:c r="G327" s="6" t="n">
        <x:v>24260</x:v>
      </x:c>
      <x:c r="H327" s="8" t="n">
        <x:f>F327/G327-1</x:f>
        <x:v>-0.05254234850323369</x:v>
      </x:c>
      <x:c r="I327" s="9" t="n">
        <x:f>G327*D327/10000</x:f>
        <x:v>87.60285999999999</x:v>
      </x:c>
      <x:c r="J327" s="6" t="n">
        <x:v>2</x:v>
      </x:c>
      <x:c r="K327" s="6" t="n">
        <x:v>1</x:v>
      </x:c>
      <x:c r="L327" s="6" t="str">
        <x:v>近12个月</x:v>
      </x:c>
      <x:c r="M327" s="6" t="str">
        <x:v>2025-12-23</x:v>
      </x:c>
      <x:c r="N327" s="6" t="str">
        <x:v>106129633979</x:v>
      </x:c>
      <x:c r="O327" s="6" t="str">
        <x:v>https://cd.lianjia.com/ershoufang/106129633979.html</x:v>
      </x:c>
      <x:c r="P327" s="8" t="n">
        <x:f>1-I327/E327</x:f>
        <x:v>-0.05545614457831327</x:v>
      </x:c>
    </x:row>
    <x:row r="328" ht="22" customHeight="1">
      <x:c r="A328" s="6" t="str">
        <x:v>盐市口</x:v>
      </x:c>
      <x:c r="B328" s="6" t="str">
        <x:v>城市理想</x:v>
      </x:c>
      <x:c r="C328" s="6" t="str">
        <x:v>1室0厅</x:v>
      </x:c>
      <x:c r="D328" s="6" t="n">
        <x:v>40.35</x:v>
      </x:c>
      <x:c r="E328" s="9" t="n">
        <x:v>89</x:v>
      </x:c>
      <x:c r="F328" s="6" t="n">
        <x:v>22057.001239157373</x:v>
      </x:c>
      <x:c r="G328" s="6" t="n">
        <x:v>22667</x:v>
      </x:c>
      <x:c r="H328" s="8" t="n">
        <x:f>F328/G328-1</x:f>
        <x:v>-0.02691131428255289</x:v>
      </x:c>
      <x:c r="I328" s="9" t="n">
        <x:f>G328*D328/10000</x:f>
        <x:v>91.46134500000001</x:v>
      </x:c>
      <x:c r="J328" s="6" t="n">
        <x:v>18</x:v>
      </x:c>
      <x:c r="K328" s="6" t="n">
        <x:v>4</x:v>
      </x:c>
      <x:c r="L328" s="6" t="str">
        <x:v>近12个月</x:v>
      </x:c>
      <x:c r="M328" s="6" t="str">
        <x:v>2026-08-09</x:v>
      </x:c>
      <x:c r="N328" s="6" t="str">
        <x:v>106109539849</x:v>
      </x:c>
      <x:c r="O328" s="6" t="str">
        <x:v>https://cd.lianjia.com/ershoufang/106109539849.html</x:v>
      </x:c>
      <x:c r="P328" s="8" t="n">
        <x:f>1-I328/E328</x:f>
        <x:v>-0.02765556179775297</x:v>
      </x:c>
    </x:row>
    <x:row r="329" ht="22" customHeight="1">
      <x:c r="A329" s="6" t="str">
        <x:v>盐市口</x:v>
      </x:c>
      <x:c r="B329" s="6" t="str">
        <x:v>都市驿站</x:v>
      </x:c>
      <x:c r="C329" s="6" t="str">
        <x:v>1室0厅</x:v>
      </x:c>
      <x:c r="D329" s="6" t="n">
        <x:v>44.21</x:v>
      </x:c>
      <x:c r="E329" s="9" t="n">
        <x:v>84.9</x:v>
      </x:c>
      <x:c r="F329" s="6" t="n">
        <x:v>19203.800045238633</x:v>
      </x:c>
      <x:c r="G329" s="6" t="n">
        <x:v>21449</x:v>
      </x:c>
      <x:c r="H329" s="8" t="n">
        <x:f>F329/G329-1</x:f>
        <x:v>-0.10467620657193188</x:v>
      </x:c>
      <x:c r="I329" s="9" t="n">
        <x:f>G329*D329/10000</x:f>
        <x:v>94.826029</x:v>
      </x:c>
      <x:c r="J329" s="6" t="n">
        <x:v>2</x:v>
      </x:c>
      <x:c r="K329" s="6" t="n">
        <x:v>1</x:v>
      </x:c>
      <x:c r="L329" s="6" t="str">
        <x:v>近12个月</x:v>
      </x:c>
      <x:c r="M329" s="6" t="str">
        <x:v>2026-03-03</x:v>
      </x:c>
      <x:c r="N329" s="6" t="str">
        <x:v>106128967010</x:v>
      </x:c>
      <x:c r="O329" s="6" t="str">
        <x:v>https://cd.lianjia.com/ershoufang/106128967010.html</x:v>
      </x:c>
      <x:c r="P329" s="8" t="n">
        <x:f>1-I329/E329</x:f>
        <x:v>-0.11691435806831563</x:v>
      </x:c>
    </x:row>
    <x:row r="330" ht="22" customHeight="1">
      <x:c r="A330" s="6" t="str">
        <x:v>盐市口</x:v>
      </x:c>
      <x:c r="B330" s="6" t="str">
        <x:v>都市驿站</x:v>
      </x:c>
      <x:c r="C330" s="6" t="str">
        <x:v>1室1厅</x:v>
      </x:c>
      <x:c r="D330" s="6" t="n">
        <x:v>44.21</x:v>
      </x:c>
      <x:c r="E330" s="9" t="n">
        <x:v>85</x:v>
      </x:c>
      <x:c r="F330" s="6" t="n">
        <x:v>19226.419362135264</x:v>
      </x:c>
      <x:c r="G330" s="6" t="n">
        <x:v>18122</x:v>
      </x:c>
      <x:c r="H330" s="8" t="n">
        <x:f>F330/G330-1</x:f>
        <x:v>0.060943569260305974</x:v>
      </x:c>
      <x:c r="I330" s="9" t="n">
        <x:f>G330*D330/10000</x:f>
        <x:v>80.117362</x:v>
      </x:c>
      <x:c r="J330" s="6" t="n">
        <x:v>20</x:v>
      </x:c>
      <x:c r="K330" s="6" t="n">
        <x:v>9</x:v>
      </x:c>
      <x:c r="L330" s="6" t="str">
        <x:v>近12个月</x:v>
      </x:c>
      <x:c r="M330" s="6" t="str">
        <x:v>2026-09-13</x:v>
      </x:c>
      <x:c r="N330" s="6" t="str">
        <x:v>106124602016</x:v>
      </x:c>
      <x:c r="O330" s="6" t="str">
        <x:v>https://cd.lianjia.com/ershoufang/106124602016.html</x:v>
      </x:c>
      <x:c r="P330" s="8" t="n">
        <x:f>1-I330/E330</x:f>
        <x:v>0.057442800000000016</x:v>
      </x:c>
    </x:row>
    <x:row r="331" ht="22" customHeight="1">
      <x:c r="A331" s="6" t="str">
        <x:v>盐市口</x:v>
      </x:c>
      <x:c r="B331" s="6" t="str">
        <x:v>都仕闲庭</x:v>
      </x:c>
      <x:c r="C331" s="6" t="str">
        <x:v>1室0厅</x:v>
      </x:c>
      <x:c r="D331" s="6" t="n">
        <x:v>43.39</x:v>
      </x:c>
      <x:c r="E331" s="9" t="n">
        <x:v>78</x:v>
      </x:c>
      <x:c r="F331" s="6" t="n">
        <x:v>17976.492279327034</x:v>
      </x:c>
      <x:c r="G331" s="6"/>
      <x:c r="H331" s="8"/>
      <x:c r="I331" s="9"/>
      <x:c r="J331" s="6" t="n">
        <x:v>0</x:v>
      </x:c>
      <x:c r="K331" s="6" t="n">
        <x:v>0</x:v>
      </x:c>
      <x:c r="L331" s="6" t="str">
        <x:v>无可比</x:v>
      </x:c>
      <x:c r="M331" s="6" t="str"/>
      <x:c r="N331" s="6" t="str">
        <x:v>106128787724</x:v>
      </x:c>
      <x:c r="O331" s="6" t="str">
        <x:v>https://cd.lianjia.com/ershoufang/106128787724.html</x:v>
      </x:c>
      <x:c r="P331" s="8"/>
    </x:row>
    <x:row r="332" ht="22" customHeight="1">
      <x:c r="A332" s="6" t="str">
        <x:v>盐市口</x:v>
      </x:c>
      <x:c r="B332" s="6" t="str">
        <x:v>城市理想</x:v>
      </x:c>
      <x:c r="C332" s="6" t="str">
        <x:v>1室0厅</x:v>
      </x:c>
      <x:c r="D332" s="6" t="n">
        <x:v>34.42</x:v>
      </x:c>
      <x:c r="E332" s="9" t="n">
        <x:v>90</x:v>
      </x:c>
      <x:c r="F332" s="6" t="n">
        <x:v>26147.588611272513</x:v>
      </x:c>
      <x:c r="G332" s="6" t="n">
        <x:v>23663</x:v>
      </x:c>
      <x:c r="H332" s="8" t="n">
        <x:f>F332/G332-1</x:f>
        <x:v>0.10499888481056985</x:v>
      </x:c>
      <x:c r="I332" s="9" t="n">
        <x:f>G332*D332/10000</x:f>
        <x:v>81.448046</x:v>
      </x:c>
      <x:c r="J332" s="6" t="n">
        <x:v>5</x:v>
      </x:c>
      <x:c r="K332" s="6" t="n">
        <x:v>2</x:v>
      </x:c>
      <x:c r="L332" s="6" t="str">
        <x:v>近12个月</x:v>
      </x:c>
      <x:c r="M332" s="6" t="str">
        <x:v>2026-08-08</x:v>
      </x:c>
      <x:c r="N332" s="6" t="str">
        <x:v>106122007078</x:v>
      </x:c>
      <x:c r="O332" s="6" t="str">
        <x:v>https://cd.lianjia.com/ershoufang/106122007078.html</x:v>
      </x:c>
      <x:c r="P332" s="8" t="n">
        <x:f>1-I332/E332</x:f>
        <x:v>0.09502171111111102</x:v>
      </x:c>
    </x:row>
    <x:row r="333" ht="22" customHeight="1">
      <x:c r="A333" s="6" t="str">
        <x:v>盐市口</x:v>
      </x:c>
      <x:c r="B333" s="6" t="str">
        <x:v>世代锦江商务楼</x:v>
      </x:c>
      <x:c r="C333" s="6" t="str">
        <x:v>1室0厅</x:v>
      </x:c>
      <x:c r="D333" s="6" t="n">
        <x:v>41.02</x:v>
      </x:c>
      <x:c r="E333" s="9" t="n">
        <x:v>120</x:v>
      </x:c>
      <x:c r="F333" s="6" t="n">
        <x:v>29254.02242808386</x:v>
      </x:c>
      <x:c r="G333" s="6" t="n">
        <x:v>26268</x:v>
      </x:c>
      <x:c r="H333" s="8" t="n">
        <x:f>F333/G333-1</x:f>
        <x:v>0.11367528658762982</x:v>
      </x:c>
      <x:c r="I333" s="9" t="n">
        <x:f>G333*D333/10000</x:f>
        <x:v>107.75133600000001</x:v>
      </x:c>
      <x:c r="J333" s="6" t="n">
        <x:v>10</x:v>
      </x:c>
      <x:c r="K333" s="6" t="n">
        <x:v>0</x:v>
      </x:c>
      <x:c r="L333" s="6" t="str">
        <x:v>超过12个月</x:v>
      </x:c>
      <x:c r="M333" s="6" t="str">
        <x:v>2025-10-01</x:v>
      </x:c>
      <x:c r="N333" s="6" t="str">
        <x:v>106127751184</x:v>
      </x:c>
      <x:c r="O333" s="6" t="str">
        <x:v>https://cd.lianjia.com/ershoufang/106127751184.html</x:v>
      </x:c>
      <x:c r="P333" s="8" t="n">
        <x:f>1-I333/E333</x:f>
        <x:v>0.10207219999999995</x:v>
      </x:c>
    </x:row>
    <x:row r="334" ht="22" customHeight="1">
      <x:c r="A334" s="6" t="str">
        <x:v>盐市口</x:v>
      </x:c>
      <x:c r="B334" s="6" t="str">
        <x:v>紫薇银座</x:v>
      </x:c>
      <x:c r="C334" s="6" t="str">
        <x:v>1室1厅</x:v>
      </x:c>
      <x:c r="D334" s="6" t="n">
        <x:v>44.86</x:v>
      </x:c>
      <x:c r="E334" s="9" t="n">
        <x:v>78</x:v>
      </x:c>
      <x:c r="F334" s="6" t="n">
        <x:v>17387.427552385197</x:v>
      </x:c>
      <x:c r="G334" s="6"/>
      <x:c r="H334" s="8"/>
      <x:c r="I334" s="9"/>
      <x:c r="J334" s="6" t="n">
        <x:v>0</x:v>
      </x:c>
      <x:c r="K334" s="6" t="n">
        <x:v>0</x:v>
      </x:c>
      <x:c r="L334" s="6" t="str">
        <x:v>无可比</x:v>
      </x:c>
      <x:c r="M334" s="6" t="str"/>
      <x:c r="N334" s="6" t="str">
        <x:v>106124545000</x:v>
      </x:c>
      <x:c r="O334" s="6" t="str">
        <x:v>https://cd.lianjia.com/ershoufang/106124545000.html</x:v>
      </x:c>
      <x:c r="P334" s="8"/>
    </x:row>
    <x:row r="335" ht="22" customHeight="1">
      <x:c r="A335" s="6" t="str">
        <x:v>盐市口</x:v>
      </x:c>
      <x:c r="B335" s="6" t="str">
        <x:v>科甲大厦</x:v>
      </x:c>
      <x:c r="C335" s="6" t="str">
        <x:v>1室1厅</x:v>
      </x:c>
      <x:c r="D335" s="6" t="n">
        <x:v>44.92</x:v>
      </x:c>
      <x:c r="E335" s="9" t="n">
        <x:v>62</x:v>
      </x:c>
      <x:c r="F335" s="6" t="n">
        <x:v>13802.315227070347</x:v>
      </x:c>
      <x:c r="G335" s="6" t="n">
        <x:v>13295.5</x:v>
      </x:c>
      <x:c r="H335" s="8" t="n">
        <x:f>F335/G335-1</x:f>
        <x:v>0.03811930555980192</x:v>
      </x:c>
      <x:c r="I335" s="9" t="n">
        <x:f>G335*D335/10000</x:f>
        <x:v>59.723386</x:v>
      </x:c>
      <x:c r="J335" s="6" t="n">
        <x:v>6</x:v>
      </x:c>
      <x:c r="K335" s="6" t="n">
        <x:v>4</x:v>
      </x:c>
      <x:c r="L335" s="6" t="str">
        <x:v>近12个月</x:v>
      </x:c>
      <x:c r="M335" s="6" t="str">
        <x:v>2026-08-29</x:v>
      </x:c>
      <x:c r="N335" s="6" t="str">
        <x:v>106128726875</x:v>
      </x:c>
      <x:c r="O335" s="6" t="str">
        <x:v>https://cd.lianjia.com/ershoufang/106128726875.html</x:v>
      </x:c>
      <x:c r="P335" s="8" t="n">
        <x:f>1-I335/E335</x:f>
        <x:v>0.03671958064516134</x:v>
      </x:c>
    </x:row>
    <x:row r="336" ht="22" customHeight="1">
      <x:c r="A336" s="6" t="str">
        <x:v>盐市口</x:v>
      </x:c>
      <x:c r="B336" s="6" t="str">
        <x:v>城市理想</x:v>
      </x:c>
      <x:c r="C336" s="6" t="str">
        <x:v>1室0厅</x:v>
      </x:c>
      <x:c r="D336" s="6" t="n">
        <x:v>37.44</x:v>
      </x:c>
      <x:c r="E336" s="9" t="n">
        <x:v>90</x:v>
      </x:c>
      <x:c r="F336" s="6" t="n">
        <x:v>24038.46153846154</x:v>
      </x:c>
      <x:c r="G336" s="6" t="n">
        <x:v>22667</x:v>
      </x:c>
      <x:c r="H336" s="8" t="n">
        <x:f>F336/G336-1</x:f>
        <x:v>0.06050476633262192</x:v>
      </x:c>
      <x:c r="I336" s="9" t="n">
        <x:f>G336*D336/10000</x:f>
        <x:v>84.865248</x:v>
      </x:c>
      <x:c r="J336" s="6" t="n">
        <x:v>17</x:v>
      </x:c>
      <x:c r="K336" s="6" t="n">
        <x:v>4</x:v>
      </x:c>
      <x:c r="L336" s="6" t="str">
        <x:v>近12个月</x:v>
      </x:c>
      <x:c r="M336" s="6" t="str">
        <x:v>2026-08-09</x:v>
      </x:c>
      <x:c r="N336" s="6" t="str">
        <x:v>106123784283</x:v>
      </x:c>
      <x:c r="O336" s="6" t="str">
        <x:v>https://cd.lianjia.com/ershoufang/106123784283.html</x:v>
      </x:c>
      <x:c r="P336" s="8" t="n">
        <x:f>1-I336/E336</x:f>
        <x:v>0.057052800000000015</x:v>
      </x:c>
    </x:row>
    <x:row r="337" ht="22" customHeight="1">
      <x:c r="A337" s="6" t="str">
        <x:v>合江亭</x:v>
      </x:c>
      <x:c r="B337" s="6" t="str">
        <x:v>蓝光时代华章</x:v>
      </x:c>
      <x:c r="C337" s="6" t="str">
        <x:v>1室1厅</x:v>
      </x:c>
      <x:c r="D337" s="6" t="n">
        <x:v>35.19</x:v>
      </x:c>
      <x:c r="E337" s="9" t="n">
        <x:v>95</x:v>
      </x:c>
      <x:c r="F337" s="6" t="n">
        <x:v>26996.305768684288</x:v>
      </x:c>
      <x:c r="G337" s="6" t="n">
        <x:v>21003</x:v>
      </x:c>
      <x:c r="H337" s="8" t="n">
        <x:f>F337/G337-1</x:f>
        <x:v>0.28535474783051407</x:v>
      </x:c>
      <x:c r="I337" s="9" t="n">
        <x:f>G337*D337/10000</x:f>
        <x:v>73.90955699999999</x:v>
      </x:c>
      <x:c r="J337" s="6" t="n">
        <x:v>13</x:v>
      </x:c>
      <x:c r="K337" s="6" t="n">
        <x:v>4</x:v>
      </x:c>
      <x:c r="L337" s="6" t="str">
        <x:v>近12个月</x:v>
      </x:c>
      <x:c r="M337" s="6" t="str">
        <x:v>2026-09-20</x:v>
      </x:c>
      <x:c r="N337" s="6" t="str">
        <x:v>106128719385</x:v>
      </x:c>
      <x:c r="O337" s="6" t="str">
        <x:v>https://cd.lianjia.com/ershoufang/106128719385.html</x:v>
      </x:c>
      <x:c r="P337" s="8" t="n">
        <x:f>1-I337/E337</x:f>
        <x:v>0.2220046631578948</x:v>
      </x:c>
    </x:row>
    <x:row r="338" ht="22" customHeight="1">
      <x:c r="A338" s="6" t="str">
        <x:v>合江亭</x:v>
      </x:c>
      <x:c r="B338" s="6" t="str">
        <x:v>蓝光时代华章</x:v>
      </x:c>
      <x:c r="C338" s="6" t="str">
        <x:v>1室0厅</x:v>
      </x:c>
      <x:c r="D338" s="6" t="n">
        <x:v>38.97</x:v>
      </x:c>
      <x:c r="E338" s="9" t="n">
        <x:v>99</x:v>
      </x:c>
      <x:c r="F338" s="6" t="n">
        <x:v>25404.15704387991</x:v>
      </x:c>
      <x:c r="G338" s="6" t="n">
        <x:v>24572</x:v>
      </x:c>
      <x:c r="H338" s="8" t="n">
        <x:f>F338/G338-1</x:f>
        <x:v>0.03386606885397647</x:v>
      </x:c>
      <x:c r="I338" s="9" t="n">
        <x:f>G338*D338/10000</x:f>
        <x:v>95.75708399999999</x:v>
      </x:c>
      <x:c r="J338" s="6" t="n">
        <x:v>16</x:v>
      </x:c>
      <x:c r="K338" s="6" t="n">
        <x:v>4</x:v>
      </x:c>
      <x:c r="L338" s="6" t="str">
        <x:v>近12个月</x:v>
      </x:c>
      <x:c r="M338" s="6" t="str">
        <x:v>2026-08-16</x:v>
      </x:c>
      <x:c r="N338" s="6" t="str">
        <x:v>106124424308</x:v>
      </x:c>
      <x:c r="O338" s="6" t="str">
        <x:v>https://cd.lianjia.com/ershoufang/106124424308.html</x:v>
      </x:c>
      <x:c r="P338" s="8" t="n">
        <x:f>1-I338/E338</x:f>
        <x:v>0.03275672727272738</x:v>
      </x:c>
    </x:row>
    <x:row r="339" ht="22" customHeight="1">
      <x:c r="A339" s="6" t="str">
        <x:v>合江亭</x:v>
      </x:c>
      <x:c r="B339" s="6" t="str">
        <x:v>蓝光时代华章</x:v>
      </x:c>
      <x:c r="C339" s="6" t="str">
        <x:v>1室1厅</x:v>
      </x:c>
      <x:c r="D339" s="6" t="n">
        <x:v>37.22</x:v>
      </x:c>
      <x:c r="E339" s="9" t="n">
        <x:v>100</x:v>
      </x:c>
      <x:c r="F339" s="6" t="n">
        <x:v>26867.275658248254</x:v>
      </x:c>
      <x:c r="G339" s="6" t="n">
        <x:v>21003</x:v>
      </x:c>
      <x:c r="H339" s="8" t="n">
        <x:f>F339/G339-1</x:f>
        <x:v>0.2792113344878471</x:v>
      </x:c>
      <x:c r="I339" s="9" t="n">
        <x:f>G339*D339/10000</x:f>
        <x:v>78.17316600000001</x:v>
      </x:c>
      <x:c r="J339" s="6" t="n">
        <x:v>12</x:v>
      </x:c>
      <x:c r="K339" s="6" t="n">
        <x:v>4</x:v>
      </x:c>
      <x:c r="L339" s="6" t="str">
        <x:v>近12个月</x:v>
      </x:c>
      <x:c r="M339" s="6" t="str">
        <x:v>2026-09-20</x:v>
      </x:c>
      <x:c r="N339" s="6" t="str">
        <x:v>106120840871</x:v>
      </x:c>
      <x:c r="O339" s="6" t="str">
        <x:v>https://cd.lianjia.com/ershoufang/106120840871.html</x:v>
      </x:c>
      <x:c r="P339" s="8" t="n">
        <x:f>1-I339/E339</x:f>
        <x:v>0.21826833999999995</x:v>
      </x:c>
    </x:row>
    <x:row r="340" ht="22" customHeight="1">
      <x:c r="A340" s="6" t="str">
        <x:v>合江亭</x:v>
      </x:c>
      <x:c r="B340" s="6" t="str">
        <x:v>星城银座</x:v>
      </x:c>
      <x:c r="C340" s="6" t="str">
        <x:v>1室0厅</x:v>
      </x:c>
      <x:c r="D340" s="6" t="n">
        <x:v>37.82</x:v>
      </x:c>
      <x:c r="E340" s="9" t="n">
        <x:v>95</x:v>
      </x:c>
      <x:c r="F340" s="6" t="n">
        <x:v>25118.984664198837</x:v>
      </x:c>
      <x:c r="G340" s="6" t="n">
        <x:v>25698</x:v>
      </x:c>
      <x:c r="H340" s="8" t="n">
        <x:f>F340/G340-1</x:f>
        <x:v>-0.022531533029853</x:v>
      </x:c>
      <x:c r="I340" s="9" t="n">
        <x:f>G340*D340/10000</x:f>
        <x:v>97.189836</x:v>
      </x:c>
      <x:c r="J340" s="6" t="n">
        <x:v>3</x:v>
      </x:c>
      <x:c r="K340" s="6" t="n">
        <x:v>0</x:v>
      </x:c>
      <x:c r="L340" s="6" t="str">
        <x:v>超过12个月</x:v>
      </x:c>
      <x:c r="M340" s="6" t="str">
        <x:v>2025-07-13</x:v>
      </x:c>
      <x:c r="N340" s="6" t="str">
        <x:v>106124125947</x:v>
      </x:c>
      <x:c r="O340" s="6" t="str">
        <x:v>https://cd.lianjia.com/ershoufang/106124125947.html</x:v>
      </x:c>
      <x:c r="P340" s="8" t="n">
        <x:f>1-I340/E340</x:f>
        <x:v>-0.023050905263157784</x:v>
      </x:c>
    </x:row>
    <x:row r="341" ht="22" customHeight="1">
      <x:c r="A341" s="6" t="str">
        <x:v>合江亭</x:v>
      </x:c>
      <x:c r="B341" s="6" t="str">
        <x:v>蓝光时代华章</x:v>
      </x:c>
      <x:c r="C341" s="6" t="str">
        <x:v>1室0厅</x:v>
      </x:c>
      <x:c r="D341" s="6" t="n">
        <x:v>37.49</x:v>
      </x:c>
      <x:c r="E341" s="9" t="n">
        <x:v>105</x:v>
      </x:c>
      <x:c r="F341" s="6" t="n">
        <x:v>28007.46865830888</x:v>
      </x:c>
      <x:c r="G341" s="6" t="n">
        <x:v>24572</x:v>
      </x:c>
      <x:c r="H341" s="8" t="n">
        <x:f>F341/G341-1</x:f>
        <x:v>0.13981233348155953</x:v>
      </x:c>
      <x:c r="I341" s="9" t="n">
        <x:f>G341*D341/10000</x:f>
        <x:v>92.120428</x:v>
      </x:c>
      <x:c r="J341" s="6" t="n">
        <x:v>16</x:v>
      </x:c>
      <x:c r="K341" s="6" t="n">
        <x:v>4</x:v>
      </x:c>
      <x:c r="L341" s="6" t="str">
        <x:v>近12个月</x:v>
      </x:c>
      <x:c r="M341" s="6" t="str">
        <x:v>2026-08-16</x:v>
      </x:c>
      <x:c r="N341" s="6" t="str">
        <x:v>106117024840</x:v>
      </x:c>
      <x:c r="O341" s="6" t="str">
        <x:v>https://cd.lianjia.com/ershoufang/106117024840.html</x:v>
      </x:c>
      <x:c r="P341" s="8" t="n">
        <x:f>1-I341/E341</x:f>
        <x:v>0.12266259047619044</x:v>
      </x:c>
    </x:row>
    <x:row r="342" ht="22" customHeight="1">
      <x:c r="A342" s="6" t="str">
        <x:v>合江亭</x:v>
      </x:c>
      <x:c r="B342" s="6" t="str">
        <x:v>蓝光时代华章</x:v>
      </x:c>
      <x:c r="C342" s="6" t="str">
        <x:v>1室0厅</x:v>
      </x:c>
      <x:c r="D342" s="6" t="n">
        <x:v>37.15</x:v>
      </x:c>
      <x:c r="E342" s="9" t="n">
        <x:v>91</x:v>
      </x:c>
      <x:c r="F342" s="6" t="n">
        <x:v>24495.28936742934</x:v>
      </x:c>
      <x:c r="G342" s="6" t="n">
        <x:v>24572</x:v>
      </x:c>
      <x:c r="H342" s="8" t="n">
        <x:f>F342/G342-1</x:f>
        <x:v>-0.003121871747137406</x:v>
      </x:c>
      <x:c r="I342" s="9" t="n">
        <x:f>G342*D342/10000</x:f>
        <x:v>91.28497999999999</x:v>
      </x:c>
      <x:c r="J342" s="6" t="n">
        <x:v>17</x:v>
      </x:c>
      <x:c r="K342" s="6" t="n">
        <x:v>4</x:v>
      </x:c>
      <x:c r="L342" s="6" t="str">
        <x:v>近12个月</x:v>
      </x:c>
      <x:c r="M342" s="6" t="str">
        <x:v>2026-08-16</x:v>
      </x:c>
      <x:c r="N342" s="6" t="str">
        <x:v>106128078721</x:v>
      </x:c>
      <x:c r="O342" s="6" t="str">
        <x:v>https://cd.lianjia.com/ershoufang/106128078721.html</x:v>
      </x:c>
      <x:c r="P342" s="8" t="n">
        <x:f>1-I342/E342</x:f>
        <x:v>-0.003131648351648142</x:v>
      </x:c>
    </x:row>
    <x:row r="343" ht="22" customHeight="1">
      <x:c r="A343" s="6" t="str">
        <x:v>合江亭</x:v>
      </x:c>
      <x:c r="B343" s="6" t="str">
        <x:v>蓝光时代华章</x:v>
      </x:c>
      <x:c r="C343" s="6" t="str">
        <x:v>1室1厅</x:v>
      </x:c>
      <x:c r="D343" s="6" t="n">
        <x:v>36</x:v>
      </x:c>
      <x:c r="E343" s="9" t="n">
        <x:v>96</x:v>
      </x:c>
      <x:c r="F343" s="6" t="n">
        <x:v>26666.666666666668</x:v>
      </x:c>
      <x:c r="G343" s="6" t="n">
        <x:v>21003</x:v>
      </x:c>
      <x:c r="H343" s="8" t="n">
        <x:f>F343/G343-1</x:f>
        <x:v>0.2696598898570046</x:v>
      </x:c>
      <x:c r="I343" s="9" t="n">
        <x:f>G343*D343/10000</x:f>
        <x:v>75.6108</x:v>
      </x:c>
      <x:c r="J343" s="6" t="n">
        <x:v>13</x:v>
      </x:c>
      <x:c r="K343" s="6" t="n">
        <x:v>4</x:v>
      </x:c>
      <x:c r="L343" s="6" t="str">
        <x:v>近12个月</x:v>
      </x:c>
      <x:c r="M343" s="6" t="str">
        <x:v>2026-09-20</x:v>
      </x:c>
      <x:c r="N343" s="6" t="str">
        <x:v>106128706545</x:v>
      </x:c>
      <x:c r="O343" s="6" t="str">
        <x:v>https://cd.lianjia.com/ershoufang/106128706545.html</x:v>
      </x:c>
      <x:c r="P343" s="8" t="n">
        <x:f>1-I343/E343</x:f>
        <x:v>0.21238750000000006</x:v>
      </x:c>
    </x:row>
    <x:row r="344" ht="22" customHeight="1">
      <x:c r="A344" s="6" t="str">
        <x:v>合江亭</x:v>
      </x:c>
      <x:c r="B344" s="6" t="str">
        <x:v>蓝光郁金香花园广场</x:v>
      </x:c>
      <x:c r="C344" s="6" t="str">
        <x:v>1室0厅</x:v>
      </x:c>
      <x:c r="D344" s="6" t="n">
        <x:v>37.4</x:v>
      </x:c>
      <x:c r="E344" s="9" t="n">
        <x:v>96</x:v>
      </x:c>
      <x:c r="F344" s="6" t="n">
        <x:v>25668.449197860962</x:v>
      </x:c>
      <x:c r="G344" s="6" t="n">
        <x:v>24749</x:v>
      </x:c>
      <x:c r="H344" s="8" t="n">
        <x:f>F344/G344-1</x:f>
        <x:v>0.03715096358887071</x:v>
      </x:c>
      <x:c r="I344" s="9" t="n">
        <x:f>G344*D344/10000</x:f>
        <x:v>92.56126</x:v>
      </x:c>
      <x:c r="J344" s="6" t="n">
        <x:v>3</x:v>
      </x:c>
      <x:c r="K344" s="6" t="n">
        <x:v>1</x:v>
      </x:c>
      <x:c r="L344" s="6" t="str">
        <x:v>近12个月</x:v>
      </x:c>
      <x:c r="M344" s="6" t="str">
        <x:v>2026-03-02</x:v>
      </x:c>
      <x:c r="N344" s="6" t="str">
        <x:v>106126549345</x:v>
      </x:c>
      <x:c r="O344" s="6" t="str">
        <x:v>https://cd.lianjia.com/ershoufang/106126549345.html</x:v>
      </x:c>
      <x:c r="P344" s="8" t="n">
        <x:f>1-I344/E344</x:f>
        <x:v>0.035820208333333325</x:v>
      </x:c>
    </x:row>
    <x:row r="345" ht="22" customHeight="1">
      <x:c r="A345" s="6" t="str">
        <x:v>合江亭</x:v>
      </x:c>
      <x:c r="B345" s="6" t="str">
        <x:v>星城银座</x:v>
      </x:c>
      <x:c r="C345" s="6" t="str">
        <x:v>1室1厅</x:v>
      </x:c>
      <x:c r="D345" s="6" t="n">
        <x:v>36.58</x:v>
      </x:c>
      <x:c r="E345" s="9" t="n">
        <x:v>103</x:v>
      </x:c>
      <x:c r="F345" s="6" t="n">
        <x:v>28157.46309458721</x:v>
      </x:c>
      <x:c r="G345" s="6" t="n">
        <x:v>25971</x:v>
      </x:c>
      <x:c r="H345" s="8" t="n">
        <x:f>F345/G345-1</x:f>
        <x:v>0.08418863711783175</x:v>
      </x:c>
      <x:c r="I345" s="9" t="n">
        <x:f>G345*D345/10000</x:f>
        <x:v>95.00191799999999</x:v>
      </x:c>
      <x:c r="J345" s="6" t="n">
        <x:v>1</x:v>
      </x:c>
      <x:c r="K345" s="6" t="n">
        <x:v>1</x:v>
      </x:c>
      <x:c r="L345" s="6" t="str">
        <x:v>近12个月</x:v>
      </x:c>
      <x:c r="M345" s="6" t="str">
        <x:v>2025-11-10</x:v>
      </x:c>
      <x:c r="N345" s="6" t="str">
        <x:v>106122002979</x:v>
      </x:c>
      <x:c r="O345" s="6" t="str">
        <x:v>https://cd.lianjia.com/ershoufang/106122002979.html</x:v>
      </x:c>
      <x:c r="P345" s="8" t="n">
        <x:f>1-I345/E345</x:f>
        <x:v>0.07765128155339818</x:v>
      </x:c>
    </x:row>
    <x:row r="346" ht="22" customHeight="1">
      <x:c r="A346" s="6" t="str">
        <x:v>合江亭</x:v>
      </x:c>
      <x:c r="B346" s="6" t="str">
        <x:v>蓝光时代华章</x:v>
      </x:c>
      <x:c r="C346" s="6" t="str">
        <x:v>1室0厅</x:v>
      </x:c>
      <x:c r="D346" s="6" t="n">
        <x:v>37.94</x:v>
      </x:c>
      <x:c r="E346" s="9" t="n">
        <x:v>100</x:v>
      </x:c>
      <x:c r="F346" s="6" t="n">
        <x:v>26357.40643120717</x:v>
      </x:c>
      <x:c r="G346" s="6" t="n">
        <x:v>24572</x:v>
      </x:c>
      <x:c r="H346" s="8" t="n">
        <x:f>F346/G346-1</x:f>
        <x:v>0.07266019987006223</x:v>
      </x:c>
      <x:c r="I346" s="9" t="n">
        <x:f>G346*D346/10000</x:f>
        <x:v>93.22616799999999</x:v>
      </x:c>
      <x:c r="J346" s="6" t="n">
        <x:v>16</x:v>
      </x:c>
      <x:c r="K346" s="6" t="n">
        <x:v>4</x:v>
      </x:c>
      <x:c r="L346" s="6" t="str">
        <x:v>近12个月</x:v>
      </x:c>
      <x:c r="M346" s="6" t="str">
        <x:v>2026-08-16</x:v>
      </x:c>
      <x:c r="N346" s="6" t="str">
        <x:v>106122056714</x:v>
      </x:c>
      <x:c r="O346" s="6" t="str">
        <x:v>https://cd.lianjia.com/ershoufang/106122056714.html</x:v>
      </x:c>
      <x:c r="P346" s="8" t="n">
        <x:f>1-I346/E346</x:f>
        <x:v>0.06773832000000013</x:v>
      </x:c>
    </x:row>
    <x:row r="347" ht="22" customHeight="1">
      <x:c r="A347" s="6" t="str">
        <x:v>合江亭</x:v>
      </x:c>
      <x:c r="B347" s="6" t="str">
        <x:v>蓝光时代华章</x:v>
      </x:c>
      <x:c r="C347" s="6" t="str">
        <x:v>1室0厅</x:v>
      </x:c>
      <x:c r="D347" s="6" t="n">
        <x:v>37.22</x:v>
      </x:c>
      <x:c r="E347" s="9" t="n">
        <x:v>99</x:v>
      </x:c>
      <x:c r="F347" s="6" t="n">
        <x:v>26598.60290166577</x:v>
      </x:c>
      <x:c r="G347" s="6" t="n">
        <x:v>24572</x:v>
      </x:c>
      <x:c r="H347" s="8" t="n">
        <x:f>F347/G347-1</x:f>
        <x:v>0.08247610701879249</x:v>
      </x:c>
      <x:c r="I347" s="9" t="n">
        <x:f>G347*D347/10000</x:f>
        <x:v>91.45698399999999</x:v>
      </x:c>
      <x:c r="J347" s="6" t="n">
        <x:v>17</x:v>
      </x:c>
      <x:c r="K347" s="6" t="n">
        <x:v>4</x:v>
      </x:c>
      <x:c r="L347" s="6" t="str">
        <x:v>近12个月</x:v>
      </x:c>
      <x:c r="M347" s="6" t="str">
        <x:v>2026-08-16</x:v>
      </x:c>
      <x:c r="N347" s="6" t="str">
        <x:v>106127409353</x:v>
      </x:c>
      <x:c r="O347" s="6" t="str">
        <x:v>https://cd.lianjia.com/ershoufang/106127409353.html</x:v>
      </x:c>
      <x:c r="P347" s="8" t="n">
        <x:f>1-I347/E347</x:f>
        <x:v>0.07619208080808093</x:v>
      </x:c>
    </x:row>
    <x:row r="348" ht="22" customHeight="1">
      <x:c r="A348" s="6" t="str">
        <x:v>合江亭</x:v>
      </x:c>
      <x:c r="B348" s="6" t="str">
        <x:v>蓝光时代华章</x:v>
      </x:c>
      <x:c r="C348" s="6" t="str">
        <x:v>1室0厅</x:v>
      </x:c>
      <x:c r="D348" s="6" t="n">
        <x:v>37.4</x:v>
      </x:c>
      <x:c r="E348" s="9" t="n">
        <x:v>99</x:v>
      </x:c>
      <x:c r="F348" s="6" t="n">
        <x:v>26470.58823529412</x:v>
      </x:c>
      <x:c r="G348" s="6" t="n">
        <x:v>24572</x:v>
      </x:c>
      <x:c r="H348" s="8" t="n">
        <x:f>F348/G348-1</x:f>
        <x:v>0.07726632896362196</x:v>
      </x:c>
      <x:c r="I348" s="9" t="n">
        <x:f>G348*D348/10000</x:f>
        <x:v>91.89927999999999</x:v>
      </x:c>
      <x:c r="J348" s="6" t="n">
        <x:v>16</x:v>
      </x:c>
      <x:c r="K348" s="6" t="n">
        <x:v>4</x:v>
      </x:c>
      <x:c r="L348" s="6" t="str">
        <x:v>近12个月</x:v>
      </x:c>
      <x:c r="M348" s="6" t="str">
        <x:v>2026-08-16</x:v>
      </x:c>
      <x:c r="N348" s="6" t="str">
        <x:v>106122572949</x:v>
      </x:c>
      <x:c r="O348" s="6" t="str">
        <x:v>https://cd.lianjia.com/ershoufang/106122572949.html</x:v>
      </x:c>
      <x:c r="P348" s="8" t="n">
        <x:f>1-I348/E348</x:f>
        <x:v>0.07172444444444459</x:v>
      </x:c>
    </x:row>
    <x:row r="349" ht="22" customHeight="1">
      <x:c r="A349" s="6" t="str">
        <x:v>合江亭</x:v>
      </x:c>
      <x:c r="B349" s="6" t="str">
        <x:v>蓝光郁金香花园广场</x:v>
      </x:c>
      <x:c r="C349" s="6" t="str">
        <x:v>1室0厅</x:v>
      </x:c>
      <x:c r="D349" s="6" t="n">
        <x:v>39.05</x:v>
      </x:c>
      <x:c r="E349" s="9" t="n">
        <x:v>98</x:v>
      </x:c>
      <x:c r="F349" s="6" t="n">
        <x:v>25096.03072983355</x:v>
      </x:c>
      <x:c r="G349" s="6" t="n">
        <x:v>24749</x:v>
      </x:c>
      <x:c r="H349" s="8" t="n">
        <x:f>F349/G349-1</x:f>
        <x:v>0.014022010175503974</x:v>
      </x:c>
      <x:c r="I349" s="9" t="n">
        <x:f>G349*D349/10000</x:f>
        <x:v>96.64484499999999</x:v>
      </x:c>
      <x:c r="J349" s="6" t="n">
        <x:v>3</x:v>
      </x:c>
      <x:c r="K349" s="6" t="n">
        <x:v>1</x:v>
      </x:c>
      <x:c r="L349" s="6" t="str">
        <x:v>近12个月</x:v>
      </x:c>
      <x:c r="M349" s="6" t="str">
        <x:v>2026-03-02</x:v>
      </x:c>
      <x:c r="N349" s="6" t="str">
        <x:v>106118177785</x:v>
      </x:c>
      <x:c r="O349" s="6" t="str">
        <x:v>https://cd.lianjia.com/ershoufang/106118177785.html</x:v>
      </x:c>
      <x:c r="P349" s="8" t="n">
        <x:f>1-I349/E349</x:f>
        <x:v>0.013828112244898105</x:v>
      </x:c>
    </x:row>
    <x:row r="350" ht="22" customHeight="1">
      <x:c r="A350" s="6" t="str">
        <x:v>合江亭</x:v>
      </x:c>
      <x:c r="B350" s="6" t="str">
        <x:v>星城银座</x:v>
      </x:c>
      <x:c r="C350" s="6" t="str">
        <x:v>2室1厅</x:v>
      </x:c>
      <x:c r="D350" s="6" t="n">
        <x:v>56.14</x:v>
      </x:c>
      <x:c r="E350" s="9" t="n">
        <x:v>78</x:v>
      </x:c>
      <x:c r="F350" s="6" t="n">
        <x:v>13893.836836480228</x:v>
      </x:c>
      <x:c r="G350" s="6" t="n">
        <x:v>19995</x:v>
      </x:c>
      <x:c r="H350" s="8" t="n">
        <x:f>F350/G350-1</x:f>
        <x:v>-0.30513444178643523</x:v>
      </x:c>
      <x:c r="I350" s="9" t="n">
        <x:f>G350*D350/10000</x:f>
        <x:v>112.25193</x:v>
      </x:c>
      <x:c r="J350" s="6" t="n">
        <x:v>2</x:v>
      </x:c>
      <x:c r="K350" s="6" t="n">
        <x:v>0</x:v>
      </x:c>
      <x:c r="L350" s="6" t="str">
        <x:v>超过12个月</x:v>
      </x:c>
      <x:c r="M350" s="6" t="str">
        <x:v>2025-07-19</x:v>
      </x:c>
      <x:c r="N350" s="6" t="str">
        <x:v>106129760119</x:v>
      </x:c>
      <x:c r="O350" s="6" t="str">
        <x:v>https://cd.lianjia.com/ershoufang/106129760119.html</x:v>
      </x:c>
      <x:c r="P350" s="8" t="n">
        <x:f>1-I350/E350</x:f>
        <x:v>-0.4391273076923077</x:v>
      </x:c>
    </x:row>
    <x:row r="351" ht="22" customHeight="1">
      <x:c r="A351" s="6" t="str">
        <x:v>合江亭</x:v>
      </x:c>
      <x:c r="B351" s="6" t="str">
        <x:v>锦江印象</x:v>
      </x:c>
      <x:c r="C351" s="6" t="str">
        <x:v>1室1厅</x:v>
      </x:c>
      <x:c r="D351" s="6" t="n">
        <x:v>47.26</x:v>
      </x:c>
      <x:c r="E351" s="9" t="n">
        <x:v>96.9</x:v>
      </x:c>
      <x:c r="F351" s="6" t="n">
        <x:v>20503.59712230216</x:v>
      </x:c>
      <x:c r="G351" s="6" t="n">
        <x:v>22077.5</x:v>
      </x:c>
      <x:c r="H351" s="8" t="n">
        <x:f>F351/G351-1</x:f>
        <x:v>-0.07128990500273313</x:v>
      </x:c>
      <x:c r="I351" s="9" t="n">
        <x:f>G351*D351/10000</x:f>
        <x:v>104.33826499999999</x:v>
      </x:c>
      <x:c r="J351" s="6" t="n">
        <x:v>12</x:v>
      </x:c>
      <x:c r="K351" s="6" t="n">
        <x:v>2</x:v>
      </x:c>
      <x:c r="L351" s="6" t="str">
        <x:v>近12个月</x:v>
      </x:c>
      <x:c r="M351" s="6" t="str">
        <x:v>2026-04-09</x:v>
      </x:c>
      <x:c r="N351" s="6" t="str">
        <x:v>106125790610</x:v>
      </x:c>
      <x:c r="O351" s="6" t="str">
        <x:v>https://cd.lianjia.com/ershoufang/106125790610.html</x:v>
      </x:c>
      <x:c r="P351" s="8" t="n">
        <x:f>1-I351/E351</x:f>
        <x:v>-0.07676228070175428</x:v>
      </x:c>
    </x:row>
    <x:row r="352" ht="22" customHeight="1">
      <x:c r="A352" s="6" t="str">
        <x:v>合江亭</x:v>
      </x:c>
      <x:c r="B352" s="6" t="str">
        <x:v>锦江印象</x:v>
      </x:c>
      <x:c r="C352" s="6" t="str">
        <x:v>1室1厅</x:v>
      </x:c>
      <x:c r="D352" s="6" t="n">
        <x:v>45.25</x:v>
      </x:c>
      <x:c r="E352" s="9" t="n">
        <x:v>93</x:v>
      </x:c>
      <x:c r="F352" s="6" t="n">
        <x:v>20552.486187845305</x:v>
      </x:c>
      <x:c r="G352" s="6" t="n">
        <x:v>22077.5</x:v>
      </x:c>
      <x:c r="H352" s="8" t="n">
        <x:f>F352/G352-1</x:f>
        <x:v>-0.06907547558168703</x:v>
      </x:c>
      <x:c r="I352" s="9" t="n">
        <x:f>G352*D352/10000</x:f>
        <x:v>99.9006875</x:v>
      </x:c>
      <x:c r="J352" s="6" t="n">
        <x:v>12</x:v>
      </x:c>
      <x:c r="K352" s="6" t="n">
        <x:v>2</x:v>
      </x:c>
      <x:c r="L352" s="6" t="str">
        <x:v>近12个月</x:v>
      </x:c>
      <x:c r="M352" s="6" t="str">
        <x:v>2026-04-09</x:v>
      </x:c>
      <x:c r="N352" s="6" t="str">
        <x:v>106126157432</x:v>
      </x:c>
      <x:c r="O352" s="6" t="str">
        <x:v>https://cd.lianjia.com/ershoufang/106126157432.html</x:v>
      </x:c>
      <x:c r="P352" s="8" t="n">
        <x:f>1-I352/E352</x:f>
        <x:v>-0.07420094086021511</x:v>
      </x:c>
    </x:row>
    <x:row r="353" ht="22" customHeight="1">
      <x:c r="A353" s="6" t="str">
        <x:v>合江亭</x:v>
      </x:c>
      <x:c r="B353" s="6" t="str">
        <x:v>喜年广场</x:v>
      </x:c>
      <x:c r="C353" s="6" t="str">
        <x:v>1室0厅</x:v>
      </x:c>
      <x:c r="D353" s="6" t="n">
        <x:v>46.15</x:v>
      </x:c>
      <x:c r="E353" s="9" t="n">
        <x:v>93</x:v>
      </x:c>
      <x:c r="F353" s="6" t="n">
        <x:v>20151.679306608883</x:v>
      </x:c>
      <x:c r="G353" s="6" t="n">
        <x:v>22511</x:v>
      </x:c>
      <x:c r="H353" s="8" t="n">
        <x:f>F353/G353-1</x:f>
        <x:v>-0.10480745828222282</x:v>
      </x:c>
      <x:c r="I353" s="9" t="n">
        <x:f>G353*D353/10000</x:f>
        <x:v>103.888265</x:v>
      </x:c>
      <x:c r="J353" s="6" t="n">
        <x:v>8</x:v>
      </x:c>
      <x:c r="K353" s="6" t="n">
        <x:v>7</x:v>
      </x:c>
      <x:c r="L353" s="6" t="str">
        <x:v>近12个月</x:v>
      </x:c>
      <x:c r="M353" s="6" t="str">
        <x:v>2026-07-19</x:v>
      </x:c>
      <x:c r="N353" s="6" t="str">
        <x:v>106128104483</x:v>
      </x:c>
      <x:c r="O353" s="6" t="str">
        <x:v>https://cd.lianjia.com/ershoufang/106128104483.html</x:v>
      </x:c>
      <x:c r="P353" s="8" t="n">
        <x:f>1-I353/E353</x:f>
        <x:v>-0.11707811827956993</x:v>
      </x:c>
    </x:row>
    <x:row r="354" ht="22" customHeight="1">
      <x:c r="A354" s="6" t="str">
        <x:v>合江亭</x:v>
      </x:c>
      <x:c r="B354" s="6" t="str">
        <x:v>喜年广场</x:v>
      </x:c>
      <x:c r="C354" s="6" t="str">
        <x:v>1室0厅</x:v>
      </x:c>
      <x:c r="D354" s="6" t="n">
        <x:v>47.03</x:v>
      </x:c>
      <x:c r="E354" s="9" t="n">
        <x:v>94.5</x:v>
      </x:c>
      <x:c r="F354" s="6" t="n">
        <x:v>20093.557303848607</x:v>
      </x:c>
      <x:c r="G354" s="6" t="n">
        <x:v>22511</x:v>
      </x:c>
      <x:c r="H354" s="8" t="n">
        <x:f>F354/G354-1</x:f>
        <x:v>-0.10738939612417897</x:v>
      </x:c>
      <x:c r="I354" s="9" t="n">
        <x:f>G354*D354/10000</x:f>
        <x:v>105.86923300000001</x:v>
      </x:c>
      <x:c r="J354" s="6" t="n">
        <x:v>8</x:v>
      </x:c>
      <x:c r="K354" s="6" t="n">
        <x:v>7</x:v>
      </x:c>
      <x:c r="L354" s="6" t="str">
        <x:v>近12个月</x:v>
      </x:c>
      <x:c r="M354" s="6" t="str">
        <x:v>2026-07-19</x:v>
      </x:c>
      <x:c r="N354" s="6" t="str">
        <x:v>106128363014</x:v>
      </x:c>
      <x:c r="O354" s="6" t="str">
        <x:v>https://cd.lianjia.com/ershoufang/106128363014.html</x:v>
      </x:c>
      <x:c r="P354" s="8" t="n">
        <x:f>1-I354/E354</x:f>
        <x:v>-0.12030934391534398</x:v>
      </x:c>
    </x:row>
    <x:row r="355" ht="22" customHeight="1">
      <x:c r="A355" s="6" t="str">
        <x:v>合江亭</x:v>
      </x:c>
      <x:c r="B355" s="6" t="str">
        <x:v>喜年广场</x:v>
      </x:c>
      <x:c r="C355" s="6" t="str">
        <x:v>1室0厅</x:v>
      </x:c>
      <x:c r="D355" s="6" t="n">
        <x:v>47.06</x:v>
      </x:c>
      <x:c r="E355" s="9" t="n">
        <x:v>116</x:v>
      </x:c>
      <x:c r="F355" s="6" t="n">
        <x:v>24649.383765405863</x:v>
      </x:c>
      <x:c r="G355" s="6" t="n">
        <x:v>22511</x:v>
      </x:c>
      <x:c r="H355" s="8" t="n">
        <x:f>F355/G355-1</x:f>
        <x:v>0.09499283751969534</x:v>
      </x:c>
      <x:c r="I355" s="9" t="n">
        <x:f>G355*D355/10000</x:f>
        <x:v>105.93676600000002</x:v>
      </x:c>
      <x:c r="J355" s="6" t="n">
        <x:v>8</x:v>
      </x:c>
      <x:c r="K355" s="6" t="n">
        <x:v>7</x:v>
      </x:c>
      <x:c r="L355" s="6" t="str">
        <x:v>近12个月</x:v>
      </x:c>
      <x:c r="M355" s="6" t="str">
        <x:v>2026-07-19</x:v>
      </x:c>
      <x:c r="N355" s="6" t="str">
        <x:v>106124795179</x:v>
      </x:c>
      <x:c r="O355" s="6" t="str">
        <x:v>https://cd.lianjia.com/ershoufang/106124795179.html</x:v>
      </x:c>
      <x:c r="P355" s="8" t="n">
        <x:f>1-I355/E355</x:f>
        <x:v>0.08675201724137915</x:v>
      </x:c>
    </x:row>
    <x:row r="356" ht="22" customHeight="1">
      <x:c r="A356" s="6" t="str">
        <x:v>盐市口</x:v>
      </x:c>
      <x:c r="B356" s="6" t="str">
        <x:v>科甲大厦</x:v>
      </x:c>
      <x:c r="C356" s="6" t="str">
        <x:v>1室1厅</x:v>
      </x:c>
      <x:c r="D356" s="6" t="n">
        <x:v>44.92</x:v>
      </x:c>
      <x:c r="E356" s="9" t="n">
        <x:v>61.5</x:v>
      </x:c>
      <x:c r="F356" s="6" t="n">
        <x:v>13691.006233303651</x:v>
      </x:c>
      <x:c r="G356" s="6" t="n">
        <x:v>13295.5</x:v>
      </x:c>
      <x:c r="H356" s="8" t="n">
        <x:f>F356/G356-1</x:f>
        <x:v>0.029747375676255183</x:v>
      </x:c>
      <x:c r="I356" s="9" t="n">
        <x:f>G356*D356/10000</x:f>
        <x:v>59.723386</x:v>
      </x:c>
      <x:c r="J356" s="6" t="n">
        <x:v>6</x:v>
      </x:c>
      <x:c r="K356" s="6" t="n">
        <x:v>4</x:v>
      </x:c>
      <x:c r="L356" s="6" t="str">
        <x:v>近12个月</x:v>
      </x:c>
      <x:c r="M356" s="6" t="str">
        <x:v>2026-08-29</x:v>
      </x:c>
      <x:c r="N356" s="6" t="str">
        <x:v>106128998772</x:v>
      </x:c>
      <x:c r="O356" s="6" t="str">
        <x:v>https://cd.lianjia.com/ershoufang/106128998772.html</x:v>
      </x:c>
      <x:c r="P356" s="8" t="n">
        <x:f>1-I356/E356</x:f>
        <x:v>0.028888032520325235</x:v>
      </x:c>
    </x:row>
    <x:row r="357" ht="22" customHeight="1">
      <x:c r="A357" s="6" t="str">
        <x:v>盐市口</x:v>
      </x:c>
      <x:c r="B357" s="6" t="str">
        <x:v>银杏地带</x:v>
      </x:c>
      <x:c r="C357" s="6" t="str">
        <x:v>1室0厅</x:v>
      </x:c>
      <x:c r="D357" s="6" t="n">
        <x:v>37.53</x:v>
      </x:c>
      <x:c r="E357" s="9" t="n">
        <x:v>60</x:v>
      </x:c>
      <x:c r="F357" s="6" t="n">
        <x:v>15987.210231814548</x:v>
      </x:c>
      <x:c r="G357" s="6" t="n">
        <x:v>11983</x:v>
      </x:c>
      <x:c r="H357" s="8" t="n">
        <x:f>F357/G357-1</x:f>
        <x:v>0.3341575758837143</x:v>
      </x:c>
      <x:c r="I357" s="9" t="n">
        <x:f>G357*D357/10000</x:f>
        <x:v>44.972198999999996</x:v>
      </x:c>
      <x:c r="J357" s="6" t="n">
        <x:v>3</x:v>
      </x:c>
      <x:c r="K357" s="6" t="n">
        <x:v>1</x:v>
      </x:c>
      <x:c r="L357" s="6" t="str">
        <x:v>近12个月</x:v>
      </x:c>
      <x:c r="M357" s="6" t="str">
        <x:v>2026-03-19</x:v>
      </x:c>
      <x:c r="N357" s="6" t="str">
        <x:v>106106910632</x:v>
      </x:c>
      <x:c r="O357" s="6" t="str">
        <x:v>https://cd.lianjia.com/ershoufang/106106910632.html</x:v>
      </x:c>
      <x:c r="P357" s="8" t="n">
        <x:f>1-I357/E357</x:f>
        <x:v>0.2504633500000001</x:v>
      </x:c>
    </x:row>
    <x:row r="358" ht="22" customHeight="1">
      <x:c r="A358" s="6" t="str">
        <x:v>盐市口</x:v>
      </x:c>
      <x:c r="B358" s="6" t="str">
        <x:v>大发百度城</x:v>
      </x:c>
      <x:c r="C358" s="6" t="str">
        <x:v>1室0厅</x:v>
      </x:c>
      <x:c r="D358" s="6" t="n">
        <x:v>35.76</x:v>
      </x:c>
      <x:c r="E358" s="9" t="n">
        <x:v>43.8</x:v>
      </x:c>
      <x:c r="F358" s="6" t="n">
        <x:v>12248.322147651008</x:v>
      </x:c>
      <x:c r="G358" s="6" t="n">
        <x:v>10225</x:v>
      </x:c>
      <x:c r="H358" s="8" t="n">
        <x:f>F358/G358-1</x:f>
        <x:v>0.19787991664068527</x:v>
      </x:c>
      <x:c r="I358" s="9" t="n">
        <x:f>G358*D358/10000</x:f>
        <x:v>36.5646</x:v>
      </x:c>
      <x:c r="J358" s="6" t="n">
        <x:v>4</x:v>
      </x:c>
      <x:c r="K358" s="6" t="n">
        <x:v>1</x:v>
      </x:c>
      <x:c r="L358" s="6" t="str">
        <x:v>近12个月</x:v>
      </x:c>
      <x:c r="M358" s="6" t="str">
        <x:v>2026-07-05</x:v>
      </x:c>
      <x:c r="N358" s="6" t="str">
        <x:v>106129649728</x:v>
      </x:c>
      <x:c r="O358" s="6" t="str">
        <x:v>https://cd.lianjia.com/ershoufang/106129649728.html</x:v>
      </x:c>
      <x:c r="P358" s="8" t="n">
        <x:f>1-I358/E358</x:f>
        <x:v>0.16519178082191777</x:v>
      </x:c>
    </x:row>
    <x:row r="359" ht="22" customHeight="1">
      <x:c r="A359" s="6" t="str">
        <x:v>盐市口</x:v>
      </x:c>
      <x:c r="B359" s="6" t="str">
        <x:v>兴隆街23号</x:v>
      </x:c>
      <x:c r="C359" s="6" t="str">
        <x:v>1室1厅</x:v>
      </x:c>
      <x:c r="D359" s="6" t="n">
        <x:v>40.75</x:v>
      </x:c>
      <x:c r="E359" s="9" t="n">
        <x:v>48</x:v>
      </x:c>
      <x:c r="F359" s="6" t="n">
        <x:v>11779.141104294478</x:v>
      </x:c>
      <x:c r="G359" s="6" t="n">
        <x:v>12025</x:v>
      </x:c>
      <x:c r="H359" s="8" t="n">
        <x:f>F359/G359-1</x:f>
        <x:v>-0.020445646212517432</x:v>
      </x:c>
      <x:c r="I359" s="9" t="n">
        <x:f>G359*D359/10000</x:f>
        <x:v>49.001875</x:v>
      </x:c>
      <x:c r="J359" s="6" t="n">
        <x:v>1</x:v>
      </x:c>
      <x:c r="K359" s="6" t="n">
        <x:v>0</x:v>
      </x:c>
      <x:c r="L359" s="6" t="str">
        <x:v>超过12个月</x:v>
      </x:c>
      <x:c r="M359" s="6" t="str">
        <x:v>2025-06-30</x:v>
      </x:c>
      <x:c r="N359" s="6" t="str">
        <x:v>106129634231</x:v>
      </x:c>
      <x:c r="O359" s="6" t="str">
        <x:v>https://cd.lianjia.com/ershoufang/106129634231.html</x:v>
      </x:c>
      <x:c r="P359" s="8" t="n">
        <x:f>1-I359/E359</x:f>
        <x:v>-0.020872395833333224</x:v>
      </x:c>
    </x:row>
    <x:row r="360" ht="22" customHeight="1">
      <x:c r="A360" s="6" t="str">
        <x:v>盐市口</x:v>
      </x:c>
      <x:c r="B360" s="6" t="str">
        <x:v>兴隆街23号</x:v>
      </x:c>
      <x:c r="C360" s="6" t="str">
        <x:v>1室1厅</x:v>
      </x:c>
      <x:c r="D360" s="6" t="n">
        <x:v>40.45</x:v>
      </x:c>
      <x:c r="E360" s="9" t="n">
        <x:v>55</x:v>
      </x:c>
      <x:c r="F360" s="6" t="n">
        <x:v>13597.033374536464</x:v>
      </x:c>
      <x:c r="G360" s="6" t="n">
        <x:v>12025</x:v>
      </x:c>
      <x:c r="H360" s="8" t="n">
        <x:f>F360/G360-1</x:f>
        <x:v>0.13073042615687847</x:v>
      </x:c>
      <x:c r="I360" s="9" t="n">
        <x:f>G360*D360/10000</x:f>
        <x:v>48.641125</x:v>
      </x:c>
      <x:c r="J360" s="6" t="n">
        <x:v>1</x:v>
      </x:c>
      <x:c r="K360" s="6" t="n">
        <x:v>0</x:v>
      </x:c>
      <x:c r="L360" s="6" t="str">
        <x:v>超过12个月</x:v>
      </x:c>
      <x:c r="M360" s="6" t="str">
        <x:v>2025-06-30</x:v>
      </x:c>
      <x:c r="N360" s="6" t="str">
        <x:v>106123192947</x:v>
      </x:c>
      <x:c r="O360" s="6" t="str">
        <x:v>https://cd.lianjia.com/ershoufang/106123192947.html</x:v>
      </x:c>
      <x:c r="P360" s="8" t="n">
        <x:f>1-I360/E360</x:f>
        <x:v>0.11561590909090902</x:v>
      </x:c>
    </x:row>
    <x:row r="361" ht="22" customHeight="1">
      <x:c r="A361" s="6" t="str">
        <x:v>盐市口</x:v>
      </x:c>
      <x:c r="B361" s="6" t="str">
        <x:v>科甲大厦</x:v>
      </x:c>
      <x:c r="C361" s="6" t="str">
        <x:v>1室0厅</x:v>
      </x:c>
      <x:c r="D361" s="6" t="n">
        <x:v>39.86</x:v>
      </x:c>
      <x:c r="E361" s="9" t="n">
        <x:v>59.8</x:v>
      </x:c>
      <x:c r="F361" s="6" t="n">
        <x:v>15002.508780732564</x:v>
      </x:c>
      <x:c r="G361" s="6"/>
      <x:c r="H361" s="8"/>
      <x:c r="I361" s="9"/>
      <x:c r="J361" s="6" t="n">
        <x:v>0</x:v>
      </x:c>
      <x:c r="K361" s="6" t="n">
        <x:v>0</x:v>
      </x:c>
      <x:c r="L361" s="6" t="str">
        <x:v>无可比</x:v>
      </x:c>
      <x:c r="M361" s="6" t="str"/>
      <x:c r="N361" s="6" t="str">
        <x:v>106129486603</x:v>
      </x:c>
      <x:c r="O361" s="6" t="str">
        <x:v>https://cd.lianjia.com/ershoufang/106129486603.html</x:v>
      </x:c>
      <x:c r="P361" s="8"/>
    </x:row>
    <x:row r="362" ht="22" customHeight="1">
      <x:c r="A362" s="6" t="str">
        <x:v>盐市口</x:v>
      </x:c>
      <x:c r="B362" s="6" t="str">
        <x:v>正成财富ID</x:v>
      </x:c>
      <x:c r="C362" s="6" t="str">
        <x:v>1室1厅</x:v>
      </x:c>
      <x:c r="D362" s="6" t="n">
        <x:v>38.95</x:v>
      </x:c>
      <x:c r="E362" s="9" t="n">
        <x:v>50</x:v>
      </x:c>
      <x:c r="F362" s="6" t="n">
        <x:v>12836.970474967906</x:v>
      </x:c>
      <x:c r="G362" s="6"/>
      <x:c r="H362" s="8"/>
      <x:c r="I362" s="9"/>
      <x:c r="J362" s="6" t="n">
        <x:v>0</x:v>
      </x:c>
      <x:c r="K362" s="6" t="n">
        <x:v>0</x:v>
      </x:c>
      <x:c r="L362" s="6" t="str">
        <x:v>无可比</x:v>
      </x:c>
      <x:c r="M362" s="6" t="str"/>
      <x:c r="N362" s="6" t="str">
        <x:v>106129425290</x:v>
      </x:c>
      <x:c r="O362" s="6" t="str">
        <x:v>https://cd.lianjia.com/ershoufang/106129425290.html</x:v>
      </x:c>
      <x:c r="P362" s="8"/>
    </x:row>
    <x:row r="363" ht="22" customHeight="1">
      <x:c r="A363" s="6" t="str">
        <x:v>盐市口</x:v>
      </x:c>
      <x:c r="B363" s="6" t="str">
        <x:v>缤舍</x:v>
      </x:c>
      <x:c r="C363" s="6" t="str">
        <x:v>2室1厅</x:v>
      </x:c>
      <x:c r="D363" s="6" t="n">
        <x:v>58.97</x:v>
      </x:c>
      <x:c r="E363" s="9" t="n">
        <x:v>120</x:v>
      </x:c>
      <x:c r="F363" s="6" t="n">
        <x:v>20349.330167881973</x:v>
      </x:c>
      <x:c r="G363" s="6" t="n">
        <x:v>14194</x:v>
      </x:c>
      <x:c r="H363" s="8" t="n">
        <x:f>F363/G363-1</x:f>
        <x:v>0.43365719091742805</x:v>
      </x:c>
      <x:c r="I363" s="9" t="n">
        <x:f>G363*D363/10000</x:f>
        <x:v>83.702018</x:v>
      </x:c>
      <x:c r="J363" s="6" t="n">
        <x:v>6</x:v>
      </x:c>
      <x:c r="K363" s="6" t="n">
        <x:v>5</x:v>
      </x:c>
      <x:c r="L363" s="6" t="str">
        <x:v>近12个月</x:v>
      </x:c>
      <x:c r="M363" s="6" t="str">
        <x:v>2026-09-03</x:v>
      </x:c>
      <x:c r="N363" s="6" t="str">
        <x:v>106121136184</x:v>
      </x:c>
      <x:c r="O363" s="6" t="str">
        <x:v>https://cd.lianjia.com/ershoufang/106121136184.html</x:v>
      </x:c>
      <x:c r="P363" s="8" t="n">
        <x:f>1-I363/E363</x:f>
        <x:v>0.30248318333333335</x:v>
      </x:c>
    </x:row>
    <x:row r="364" ht="22" customHeight="1">
      <x:c r="A364" s="6" t="str">
        <x:v>盐市口</x:v>
      </x:c>
      <x:c r="B364" s="6" t="str">
        <x:v>萧邦</x:v>
      </x:c>
      <x:c r="C364" s="6" t="str">
        <x:v>2室1厅</x:v>
      </x:c>
      <x:c r="D364" s="6" t="n">
        <x:v>51.36</x:v>
      </x:c>
      <x:c r="E364" s="9" t="n">
        <x:v>92</x:v>
      </x:c>
      <x:c r="F364" s="6" t="n">
        <x:v>17912.772585669783</x:v>
      </x:c>
      <x:c r="G364" s="6" t="n">
        <x:v>13824</x:v>
      </x:c>
      <x:c r="H364" s="8" t="n">
        <x:f>F364/G364-1</x:f>
        <x:v>0.2957734798661591</x:v>
      </x:c>
      <x:c r="I364" s="9" t="n">
        <x:f>G364*D364/10000</x:f>
        <x:v>71.000064</x:v>
      </x:c>
      <x:c r="J364" s="6" t="n">
        <x:v>3</x:v>
      </x:c>
      <x:c r="K364" s="6" t="n">
        <x:v>1</x:v>
      </x:c>
      <x:c r="L364" s="6" t="str">
        <x:v>近12个月</x:v>
      </x:c>
      <x:c r="M364" s="6" t="str">
        <x:v>2026-04-08</x:v>
      </x:c>
      <x:c r="N364" s="6" t="str">
        <x:v>106119036703</x:v>
      </x:c>
      <x:c r="O364" s="6" t="str">
        <x:v>https://cd.lianjia.com/ershoufang/106119036703.html</x:v>
      </x:c>
      <x:c r="P364" s="8" t="n">
        <x:f>1-I364/E364</x:f>
        <x:v>0.22826017391304354</x:v>
      </x:c>
    </x:row>
    <x:row r="365" ht="22" customHeight="1">
      <x:c r="A365" s="6" t="str">
        <x:v>盐市口</x:v>
      </x:c>
      <x:c r="B365" s="6" t="str">
        <x:v>大地城市脉搏</x:v>
      </x:c>
      <x:c r="C365" s="6" t="str">
        <x:v>2室1厅</x:v>
      </x:c>
      <x:c r="D365" s="6" t="n">
        <x:v>58.57</x:v>
      </x:c>
      <x:c r="E365" s="9" t="n">
        <x:v>115</x:v>
      </x:c>
      <x:c r="F365" s="6" t="n">
        <x:v>19634.625234761825</x:v>
      </x:c>
      <x:c r="G365" s="6"/>
      <x:c r="H365" s="8"/>
      <x:c r="I365" s="9"/>
      <x:c r="J365" s="6" t="n">
        <x:v>0</x:v>
      </x:c>
      <x:c r="K365" s="6" t="n">
        <x:v>0</x:v>
      </x:c>
      <x:c r="L365" s="6" t="str">
        <x:v>无可比</x:v>
      </x:c>
      <x:c r="M365" s="6" t="str"/>
      <x:c r="N365" s="6" t="str">
        <x:v>106128786258</x:v>
      </x:c>
      <x:c r="O365" s="6" t="str">
        <x:v>https://cd.lianjia.com/ershoufang/106128786258.html</x:v>
      </x:c>
      <x:c r="P365" s="8"/>
    </x:row>
    <x:row r="366" ht="22" customHeight="1">
      <x:c r="A366" s="6" t="str">
        <x:v>合江亭</x:v>
      </x:c>
      <x:c r="B366" s="6" t="str">
        <x:v>锦江印象</x:v>
      </x:c>
      <x:c r="C366" s="6" t="str">
        <x:v>1室1厅</x:v>
      </x:c>
      <x:c r="D366" s="6" t="n">
        <x:v>45.47</x:v>
      </x:c>
      <x:c r="E366" s="9" t="n">
        <x:v>110</x:v>
      </x:c>
      <x:c r="F366" s="6" t="n">
        <x:v>24191.774796569167</x:v>
      </x:c>
      <x:c r="G366" s="6" t="n">
        <x:v>22077.5</x:v>
      </x:c>
      <x:c r="H366" s="8" t="n">
        <x:f>F366/G366-1</x:f>
        <x:v>0.09576604219541007</x:v>
      </x:c>
      <x:c r="I366" s="9" t="n">
        <x:f>G366*D366/10000</x:f>
        <x:v>100.3863925</x:v>
      </x:c>
      <x:c r="J366" s="6" t="n">
        <x:v>12</x:v>
      </x:c>
      <x:c r="K366" s="6" t="n">
        <x:v>2</x:v>
      </x:c>
      <x:c r="L366" s="6" t="str">
        <x:v>近12个月</x:v>
      </x:c>
      <x:c r="M366" s="6" t="str">
        <x:v>2026-04-09</x:v>
      </x:c>
      <x:c r="N366" s="6" t="str">
        <x:v>106126559339</x:v>
      </x:c>
      <x:c r="O366" s="6" t="str">
        <x:v>https://cd.lianjia.com/ershoufang/106126559339.html</x:v>
      </x:c>
      <x:c r="P366" s="8" t="n">
        <x:f>1-I366/E366</x:f>
        <x:v>0.0873964318181818</x:v>
      </x:c>
    </x:row>
    <x:row r="367" ht="22" customHeight="1">
      <x:c r="A367" s="6" t="str">
        <x:v>合江亭</x:v>
      </x:c>
      <x:c r="B367" s="6" t="str">
        <x:v>锦江印象</x:v>
      </x:c>
      <x:c r="C367" s="6" t="str">
        <x:v>1室1厅</x:v>
      </x:c>
      <x:c r="D367" s="6" t="n">
        <x:v>45.79</x:v>
      </x:c>
      <x:c r="E367" s="9" t="n">
        <x:v>108</x:v>
      </x:c>
      <x:c r="F367" s="6" t="n">
        <x:v>23585.93579384145</x:v>
      </x:c>
      <x:c r="G367" s="6" t="n">
        <x:v>22077.5</x:v>
      </x:c>
      <x:c r="H367" s="8" t="n">
        <x:f>F367/G367-1</x:f>
        <x:v>0.06832457451439033</x:v>
      </x:c>
      <x:c r="I367" s="9" t="n">
        <x:f>G367*D367/10000</x:f>
        <x:v>101.0928725</x:v>
      </x:c>
      <x:c r="J367" s="6" t="n">
        <x:v>12</x:v>
      </x:c>
      <x:c r="K367" s="6" t="n">
        <x:v>2</x:v>
      </x:c>
      <x:c r="L367" s="6" t="str">
        <x:v>近12个月</x:v>
      </x:c>
      <x:c r="M367" s="6" t="str">
        <x:v>2026-04-09</x:v>
      </x:c>
      <x:c r="N367" s="6" t="str">
        <x:v>106125835916</x:v>
      </x:c>
      <x:c r="O367" s="6" t="str">
        <x:v>https://cd.lianjia.com/ershoufang/106125835916.html</x:v>
      </x:c>
      <x:c r="P367" s="8" t="n">
        <x:f>1-I367/E367</x:f>
        <x:v>0.06395488425925933</x:v>
      </x:c>
    </x:row>
    <x:row r="368" ht="22" customHeight="1">
      <x:c r="A368" s="6" t="str">
        <x:v>合江亭</x:v>
      </x:c>
      <x:c r="B368" s="6" t="str">
        <x:v>喜年广场</x:v>
      </x:c>
      <x:c r="C368" s="6" t="str">
        <x:v>1室0厅</x:v>
      </x:c>
      <x:c r="D368" s="6" t="n">
        <x:v>46.76</x:v>
      </x:c>
      <x:c r="E368" s="9" t="n">
        <x:v>108</x:v>
      </x:c>
      <x:c r="F368" s="6" t="n">
        <x:v>23096.66381522669</x:v>
      </x:c>
      <x:c r="G368" s="6" t="n">
        <x:v>22511</x:v>
      </x:c>
      <x:c r="H368" s="8" t="n">
        <x:f>F368/G368-1</x:f>
        <x:v>0.026016783582545777</x:v>
      </x:c>
      <x:c r="I368" s="9" t="n">
        <x:f>G368*D368/10000</x:f>
        <x:v>105.26143599999999</x:v>
      </x:c>
      <x:c r="J368" s="6" t="n">
        <x:v>8</x:v>
      </x:c>
      <x:c r="K368" s="6" t="n">
        <x:v>7</x:v>
      </x:c>
      <x:c r="L368" s="6" t="str">
        <x:v>近12个月</x:v>
      </x:c>
      <x:c r="M368" s="6" t="str">
        <x:v>2026-07-19</x:v>
      </x:c>
      <x:c r="N368" s="6" t="str">
        <x:v>106126426079</x:v>
      </x:c>
      <x:c r="O368" s="6" t="str">
        <x:v>https://cd.lianjia.com/ershoufang/106126426079.html</x:v>
      </x:c>
      <x:c r="P368" s="8" t="n">
        <x:f>1-I368/E368</x:f>
        <x:v>0.02535707407407417</x:v>
      </x:c>
    </x:row>
    <x:row r="369" ht="22" customHeight="1">
      <x:c r="A369" s="6" t="str">
        <x:v>合江亭</x:v>
      </x:c>
      <x:c r="B369" s="6" t="str">
        <x:v>锦江印象</x:v>
      </x:c>
      <x:c r="C369" s="6" t="str">
        <x:v>1室1厅</x:v>
      </x:c>
      <x:c r="D369" s="6" t="n">
        <x:v>45.45</x:v>
      </x:c>
      <x:c r="E369" s="9" t="n">
        <x:v>96</x:v>
      </x:c>
      <x:c r="F369" s="6" t="n">
        <x:v>21122.11221122112</x:v>
      </x:c>
      <x:c r="G369" s="6" t="n">
        <x:v>22077.5</x:v>
      </x:c>
      <x:c r="H369" s="8" t="n">
        <x:f>F369/G369-1</x:f>
        <x:v>-0.04327427420581498</x:v>
      </x:c>
      <x:c r="I369" s="9" t="n">
        <x:f>G369*D369/10000</x:f>
        <x:v>100.34223750000001</x:v>
      </x:c>
      <x:c r="J369" s="6" t="n">
        <x:v>12</x:v>
      </x:c>
      <x:c r="K369" s="6" t="n">
        <x:v>2</x:v>
      </x:c>
      <x:c r="L369" s="6" t="str">
        <x:v>近12个月</x:v>
      </x:c>
      <x:c r="M369" s="6" t="str">
        <x:v>2026-04-09</x:v>
      </x:c>
      <x:c r="N369" s="6" t="str">
        <x:v>106128424434</x:v>
      </x:c>
      <x:c r="O369" s="6" t="str">
        <x:v>https://cd.lianjia.com/ershoufang/106128424434.html</x:v>
      </x:c>
      <x:c r="P369" s="8" t="n">
        <x:f>1-I369/E369</x:f>
        <x:v>-0.04523164062500018</x:v>
      </x:c>
    </x:row>
    <x:row r="370" ht="22" customHeight="1">
      <x:c r="A370" s="6" t="str">
        <x:v>合江亭</x:v>
      </x:c>
      <x:c r="B370" s="6" t="str">
        <x:v>喜年广场</x:v>
      </x:c>
      <x:c r="C370" s="6" t="str">
        <x:v>1室0厅</x:v>
      </x:c>
      <x:c r="D370" s="6" t="n">
        <x:v>46.76</x:v>
      </x:c>
      <x:c r="E370" s="9" t="n">
        <x:v>100</x:v>
      </x:c>
      <x:c r="F370" s="6" t="n">
        <x:v>21385.7998289136</x:v>
      </x:c>
      <x:c r="G370" s="6" t="n">
        <x:v>22511</x:v>
      </x:c>
      <x:c r="H370" s="8" t="n">
        <x:f>F370/G370-1</x:f>
        <x:v>-0.0499844596457909</x:v>
      </x:c>
      <x:c r="I370" s="9" t="n">
        <x:f>G370*D370/10000</x:f>
        <x:v>105.26143599999999</x:v>
      </x:c>
      <x:c r="J370" s="6" t="n">
        <x:v>8</x:v>
      </x:c>
      <x:c r="K370" s="6" t="n">
        <x:v>7</x:v>
      </x:c>
      <x:c r="L370" s="6" t="str">
        <x:v>近12个月</x:v>
      </x:c>
      <x:c r="M370" s="6" t="str">
        <x:v>2026-07-19</x:v>
      </x:c>
      <x:c r="N370" s="6" t="str">
        <x:v>106127039198</x:v>
      </x:c>
      <x:c r="O370" s="6" t="str">
        <x:v>https://cd.lianjia.com/ershoufang/106127039198.html</x:v>
      </x:c>
      <x:c r="P370" s="8" t="n">
        <x:f>1-I370/E370</x:f>
        <x:v>-0.05261435999999997</x:v>
      </x:c>
    </x:row>
    <x:row r="371" ht="22" customHeight="1">
      <x:c r="A371" s="6" t="str">
        <x:v>合江亭</x:v>
      </x:c>
      <x:c r="B371" s="6" t="str">
        <x:v>蓉上坊一期</x:v>
      </x:c>
      <x:c r="C371" s="6" t="str">
        <x:v>1室1厅</x:v>
      </x:c>
      <x:c r="D371" s="6" t="n">
        <x:v>48.38</x:v>
      </x:c>
      <x:c r="E371" s="9" t="n">
        <x:v>120</x:v>
      </x:c>
      <x:c r="F371" s="6" t="n">
        <x:v>24803.637866887144</x:v>
      </x:c>
      <x:c r="G371" s="6" t="n">
        <x:v>16158</x:v>
      </x:c>
      <x:c r="H371" s="8" t="n">
        <x:f>F371/G371-1</x:f>
        <x:v>0.5350685646049724</x:v>
      </x:c>
      <x:c r="I371" s="9" t="n">
        <x:f>G371*D371/10000</x:f>
        <x:v>78.172404</x:v>
      </x:c>
      <x:c r="J371" s="6" t="n">
        <x:v>3</x:v>
      </x:c>
      <x:c r="K371" s="6" t="n">
        <x:v>2</x:v>
      </x:c>
      <x:c r="L371" s="6" t="str">
        <x:v>近12个月</x:v>
      </x:c>
      <x:c r="M371" s="6" t="str">
        <x:v>2026-02-22</x:v>
      </x:c>
      <x:c r="N371" s="6" t="str">
        <x:v>106120944553</x:v>
      </x:c>
      <x:c r="O371" s="6" t="str">
        <x:v>https://cd.lianjia.com/ershoufang/106120944553.html</x:v>
      </x:c>
      <x:c r="P371" s="8" t="n">
        <x:f>1-I371/E371</x:f>
        <x:v>0.3485633</x:v>
      </x:c>
    </x:row>
    <x:row r="372" ht="22" customHeight="1">
      <x:c r="A372" s="6" t="str">
        <x:v>合江亭</x:v>
      </x:c>
      <x:c r="B372" s="6" t="str">
        <x:v>星城银座</x:v>
      </x:c>
      <x:c r="C372" s="6" t="str">
        <x:v>1室0厅</x:v>
      </x:c>
      <x:c r="D372" s="6" t="n">
        <x:v>46.8</x:v>
      </x:c>
      <x:c r="E372" s="9" t="n">
        <x:v>118</x:v>
      </x:c>
      <x:c r="F372" s="6" t="n">
        <x:v>25213.675213675215</x:v>
      </x:c>
      <x:c r="G372" s="6" t="n">
        <x:v>19959</x:v>
      </x:c>
      <x:c r="H372" s="8" t="n">
        <x:f>F372/G372-1</x:f>
        <x:v>0.2632734712999256</x:v>
      </x:c>
      <x:c r="I372" s="9" t="n">
        <x:f>G372*D372/10000</x:f>
        <x:v>93.40812</x:v>
      </x:c>
      <x:c r="J372" s="6" t="n">
        <x:v>1</x:v>
      </x:c>
      <x:c r="K372" s="6" t="n">
        <x:v>0</x:v>
      </x:c>
      <x:c r="L372" s="6" t="str">
        <x:v>超过12个月</x:v>
      </x:c>
      <x:c r="M372" s="6" t="str">
        <x:v>2025-01-07</x:v>
      </x:c>
      <x:c r="N372" s="6" t="str">
        <x:v>106128494446</x:v>
      </x:c>
      <x:c r="O372" s="6" t="str">
        <x:v>https://cd.lianjia.com/ershoufang/106128494446.html</x:v>
      </x:c>
      <x:c r="P372" s="8" t="n">
        <x:f>1-I372/E372</x:f>
        <x:v>0.2084057627118644</x:v>
      </x:c>
    </x:row>
    <x:row r="373" ht="22" customHeight="1">
      <x:c r="A373" s="6" t="str">
        <x:v>合江亭</x:v>
      </x:c>
      <x:c r="B373" s="6" t="str">
        <x:v>锦江印象</x:v>
      </x:c>
      <x:c r="C373" s="6" t="str">
        <x:v>1室1厅</x:v>
      </x:c>
      <x:c r="D373" s="6" t="n">
        <x:v>45.79</x:v>
      </x:c>
      <x:c r="E373" s="9" t="n">
        <x:v>98</x:v>
      </x:c>
      <x:c r="F373" s="6" t="n">
        <x:v>21402.052849967244</x:v>
      </x:c>
      <x:c r="G373" s="6" t="n">
        <x:v>22077.5</x:v>
      </x:c>
      <x:c r="H373" s="8" t="n">
        <x:f>F373/G373-1</x:f>
        <x:v>-0.03059436757027545</x:v>
      </x:c>
      <x:c r="I373" s="9" t="n">
        <x:f>G373*D373/10000</x:f>
        <x:v>101.0928725</x:v>
      </x:c>
      <x:c r="J373" s="6" t="n">
        <x:v>12</x:v>
      </x:c>
      <x:c r="K373" s="6" t="n">
        <x:v>2</x:v>
      </x:c>
      <x:c r="L373" s="6" t="str">
        <x:v>近12个月</x:v>
      </x:c>
      <x:c r="M373" s="6" t="str">
        <x:v>2026-04-09</x:v>
      </x:c>
      <x:c r="N373" s="6" t="str">
        <x:v>106111484715</x:v>
      </x:c>
      <x:c r="O373" s="6" t="str">
        <x:v>https://cd.lianjia.com/ershoufang/106111484715.html</x:v>
      </x:c>
      <x:c r="P373" s="8" t="n">
        <x:f>1-I373/E373</x:f>
        <x:v>-0.03155992346938774</x:v>
      </x:c>
    </x:row>
    <x:row r="374" ht="22" customHeight="1">
      <x:c r="A374" s="6" t="str">
        <x:v>合江亭</x:v>
      </x:c>
      <x:c r="B374" s="6" t="str">
        <x:v>喜年广场</x:v>
      </x:c>
      <x:c r="C374" s="6" t="str">
        <x:v>1室0厅</x:v>
      </x:c>
      <x:c r="D374" s="6" t="n">
        <x:v>46.84</x:v>
      </x:c>
      <x:c r="E374" s="9" t="n">
        <x:v>105</x:v>
      </x:c>
      <x:c r="F374" s="6" t="n">
        <x:v>22416.737830913746</x:v>
      </x:c>
      <x:c r="G374" s="6" t="n">
        <x:v>22511</x:v>
      </x:c>
      <x:c r="H374" s="8" t="n">
        <x:f>F374/G374-1</x:f>
        <x:v>-0.004187382572353737</x:v>
      </x:c>
      <x:c r="I374" s="9" t="n">
        <x:f>G374*D374/10000</x:f>
        <x:v>105.441524</x:v>
      </x:c>
      <x:c r="J374" s="6" t="n">
        <x:v>8</x:v>
      </x:c>
      <x:c r="K374" s="6" t="n">
        <x:v>7</x:v>
      </x:c>
      <x:c r="L374" s="6" t="str">
        <x:v>近12个月</x:v>
      </x:c>
      <x:c r="M374" s="6" t="str">
        <x:v>2026-07-19</x:v>
      </x:c>
      <x:c r="N374" s="6" t="str">
        <x:v>106129248063</x:v>
      </x:c>
      <x:c r="O374" s="6" t="str">
        <x:v>https://cd.lianjia.com/ershoufang/106129248063.html</x:v>
      </x:c>
      <x:c r="P374" s="8" t="n">
        <x:f>1-I374/E374</x:f>
        <x:v>-0.0042049904761904955</x:v>
      </x:c>
    </x:row>
    <x:row r="375" ht="22" customHeight="1">
      <x:c r="A375" s="6" t="str">
        <x:v>合江亭</x:v>
      </x:c>
      <x:c r="B375" s="6" t="str">
        <x:v>喜年广场</x:v>
      </x:c>
      <x:c r="C375" s="6" t="str">
        <x:v>1室0厅</x:v>
      </x:c>
      <x:c r="D375" s="6" t="n">
        <x:v>46.83</x:v>
      </x:c>
      <x:c r="E375" s="9" t="n">
        <x:v>103</x:v>
      </x:c>
      <x:c r="F375" s="6" t="n">
        <x:v>21994.448003416615</x:v>
      </x:c>
      <x:c r="G375" s="6" t="n">
        <x:v>22511</x:v>
      </x:c>
      <x:c r="H375" s="8" t="n">
        <x:f>F375/G375-1</x:f>
        <x:v>-0.022946648153497562</x:v>
      </x:c>
      <x:c r="I375" s="9" t="n">
        <x:f>G375*D375/10000</x:f>
        <x:v>105.41901299999999</x:v>
      </x:c>
      <x:c r="J375" s="6" t="n">
        <x:v>8</x:v>
      </x:c>
      <x:c r="K375" s="6" t="n">
        <x:v>7</x:v>
      </x:c>
      <x:c r="L375" s="6" t="str">
        <x:v>近12个月</x:v>
      </x:c>
      <x:c r="M375" s="6" t="str">
        <x:v>2026-07-19</x:v>
      </x:c>
      <x:c r="N375" s="6" t="str">
        <x:v>106127851126</x:v>
      </x:c>
      <x:c r="O375" s="6" t="str">
        <x:v>https://cd.lianjia.com/ershoufang/106127851126.html</x:v>
      </x:c>
      <x:c r="P375" s="8" t="n">
        <x:f>1-I375/E375</x:f>
        <x:v>-0.02348556310679606</x:v>
      </x:c>
    </x:row>
    <x:row r="376" ht="22" customHeight="1">
      <x:c r="A376" s="6" t="str">
        <x:v>合江亭</x:v>
      </x:c>
      <x:c r="B376" s="6" t="str">
        <x:v>喜年广场</x:v>
      </x:c>
      <x:c r="C376" s="6" t="str">
        <x:v>1室1厅</x:v>
      </x:c>
      <x:c r="D376" s="6" t="n">
        <x:v>46.77</x:v>
      </x:c>
      <x:c r="E376" s="9" t="n">
        <x:v>104</x:v>
      </x:c>
      <x:c r="F376" s="6" t="n">
        <x:v>22236.47637374385</x:v>
      </x:c>
      <x:c r="G376" s="6" t="n">
        <x:v>23566.5</x:v>
      </x:c>
      <x:c r="H376" s="8" t="n">
        <x:f>F376/G376-1</x:f>
        <x:v>-0.05643704522335302</x:v>
      </x:c>
      <x:c r="I376" s="9" t="n">
        <x:f>G376*D376/10000</x:f>
        <x:v>110.2205205</x:v>
      </x:c>
      <x:c r="J376" s="6" t="n">
        <x:v>5</x:v>
      </x:c>
      <x:c r="K376" s="6" t="n">
        <x:v>4</x:v>
      </x:c>
      <x:c r="L376" s="6" t="str">
        <x:v>近12个月</x:v>
      </x:c>
      <x:c r="M376" s="6" t="str">
        <x:v>2026-02-01</x:v>
      </x:c>
      <x:c r="N376" s="6" t="str">
        <x:v>106124700408</x:v>
      </x:c>
      <x:c r="O376" s="6" t="str">
        <x:v>https://cd.lianjia.com/ershoufang/106124700408.html</x:v>
      </x:c>
      <x:c r="P376" s="8" t="n">
        <x:f>1-I376/E376</x:f>
        <x:v>-0.05981269711538473</x:v>
      </x:c>
    </x:row>
    <x:row r="377" ht="22" customHeight="1">
      <x:c r="A377" s="6" t="str">
        <x:v>合江亭</x:v>
      </x:c>
      <x:c r="B377" s="6" t="str">
        <x:v>喜年广场</x:v>
      </x:c>
      <x:c r="C377" s="6" t="str">
        <x:v>1室1厅</x:v>
      </x:c>
      <x:c r="D377" s="6" t="n">
        <x:v>46.89</x:v>
      </x:c>
      <x:c r="E377" s="9" t="n">
        <x:v>98</x:v>
      </x:c>
      <x:c r="F377" s="6" t="n">
        <x:v>20899.97867349115</x:v>
      </x:c>
      <x:c r="G377" s="6" t="n">
        <x:v>23566.5</x:v>
      </x:c>
      <x:c r="H377" s="8" t="n">
        <x:f>F377/G377-1</x:f>
        <x:v>-0.11314880557184348</x:v>
      </x:c>
      <x:c r="I377" s="9" t="n">
        <x:f>G377*D377/10000</x:f>
        <x:v>110.5033185</x:v>
      </x:c>
      <x:c r="J377" s="6" t="n">
        <x:v>5</x:v>
      </x:c>
      <x:c r="K377" s="6" t="n">
        <x:v>4</x:v>
      </x:c>
      <x:c r="L377" s="6" t="str">
        <x:v>近12个月</x:v>
      </x:c>
      <x:c r="M377" s="6" t="str">
        <x:v>2026-02-01</x:v>
      </x:c>
      <x:c r="N377" s="6" t="str">
        <x:v>106128416793</x:v>
      </x:c>
      <x:c r="O377" s="6" t="str">
        <x:v>https://cd.lianjia.com/ershoufang/106128416793.html</x:v>
      </x:c>
      <x:c r="P377" s="8" t="n">
        <x:f>1-I377/E377</x:f>
        <x:v>-0.12758488265306123</x:v>
      </x:c>
    </x:row>
    <x:row r="378" ht="22" customHeight="1">
      <x:c r="A378" s="6" t="str">
        <x:v>合江亭</x:v>
      </x:c>
      <x:c r="B378" s="6" t="str">
        <x:v>喜年广场</x:v>
      </x:c>
      <x:c r="C378" s="6" t="str">
        <x:v>1室1厅</x:v>
      </x:c>
      <x:c r="D378" s="6" t="n">
        <x:v>46.81</x:v>
      </x:c>
      <x:c r="E378" s="9" t="n">
        <x:v>105</x:v>
      </x:c>
      <x:c r="F378" s="6" t="n">
        <x:v>22431.104464857934</x:v>
      </x:c>
      <x:c r="G378" s="6" t="n">
        <x:v>23566.5</x:v>
      </x:c>
      <x:c r="H378" s="8" t="n">
        <x:f>F378/G378-1</x:f>
        <x:v>-0.048178369089260875</x:v>
      </x:c>
      <x:c r="I378" s="9" t="n">
        <x:f>G378*D378/10000</x:f>
        <x:v>110.3147865</x:v>
      </x:c>
      <x:c r="J378" s="6" t="n">
        <x:v>5</x:v>
      </x:c>
      <x:c r="K378" s="6" t="n">
        <x:v>4</x:v>
      </x:c>
      <x:c r="L378" s="6" t="str">
        <x:v>近12个月</x:v>
      </x:c>
      <x:c r="M378" s="6" t="str">
        <x:v>2026-02-01</x:v>
      </x:c>
      <x:c r="N378" s="6" t="str">
        <x:v>106128196190</x:v>
      </x:c>
      <x:c r="O378" s="6" t="str">
        <x:v>https://cd.lianjia.com/ershoufang/106128196190.html</x:v>
      </x:c>
      <x:c r="P378" s="8" t="n">
        <x:f>1-I378/E378</x:f>
        <x:v>-0.0506170142857143</x:v>
      </x:c>
    </x:row>
    <x:row r="379" ht="22" customHeight="1">
      <x:c r="A379" s="6" t="str">
        <x:v>合江亭</x:v>
      </x:c>
      <x:c r="B379" s="6" t="str">
        <x:v>喜年广场</x:v>
      </x:c>
      <x:c r="C379" s="6" t="str">
        <x:v>1室1厅</x:v>
      </x:c>
      <x:c r="D379" s="6" t="n">
        <x:v>48.73</x:v>
      </x:c>
      <x:c r="E379" s="9" t="n">
        <x:v>120</x:v>
      </x:c>
      <x:c r="F379" s="6" t="n">
        <x:v>24625.48737943772</x:v>
      </x:c>
      <x:c r="G379" s="6" t="n">
        <x:v>23566.5</x:v>
      </x:c>
      <x:c r="H379" s="8" t="n">
        <x:f>F379/G379-1</x:f>
        <x:v>0.04493613304638866</x:v>
      </x:c>
      <x:c r="I379" s="9" t="n">
        <x:f>G379*D379/10000</x:f>
        <x:v>114.83955449999999</x:v>
      </x:c>
      <x:c r="J379" s="6" t="n">
        <x:v>5</x:v>
      </x:c>
      <x:c r="K379" s="6" t="n">
        <x:v>4</x:v>
      </x:c>
      <x:c r="L379" s="6" t="str">
        <x:v>近12个月</x:v>
      </x:c>
      <x:c r="M379" s="6" t="str">
        <x:v>2026-02-01</x:v>
      </x:c>
      <x:c r="N379" s="6" t="str">
        <x:v>106124226047</x:v>
      </x:c>
      <x:c r="O379" s="6" t="str">
        <x:v>https://cd.lianjia.com/ershoufang/106124226047.html</x:v>
      </x:c>
      <x:c r="P379" s="8" t="n">
        <x:f>1-I379/E379</x:f>
        <x:v>0.043003712500000124</x:v>
      </x:c>
    </x:row>
    <x:row r="380" ht="22" customHeight="1">
      <x:c r="A380" s="6" t="str">
        <x:v>合江亭</x:v>
      </x:c>
      <x:c r="B380" s="6" t="str">
        <x:v>蓉上坊一期</x:v>
      </x:c>
      <x:c r="C380" s="6" t="str">
        <x:v>1室1厅</x:v>
      </x:c>
      <x:c r="D380" s="6" t="n">
        <x:v>48.38</x:v>
      </x:c>
      <x:c r="E380" s="9" t="n">
        <x:v>120</x:v>
      </x:c>
      <x:c r="F380" s="6" t="n">
        <x:v>24803.637866887144</x:v>
      </x:c>
      <x:c r="G380" s="6" t="n">
        <x:v>16158</x:v>
      </x:c>
      <x:c r="H380" s="8" t="n">
        <x:f>F380/G380-1</x:f>
        <x:v>0.5350685646049724</x:v>
      </x:c>
      <x:c r="I380" s="9" t="n">
        <x:f>G380*D380/10000</x:f>
        <x:v>78.172404</x:v>
      </x:c>
      <x:c r="J380" s="6" t="n">
        <x:v>3</x:v>
      </x:c>
      <x:c r="K380" s="6" t="n">
        <x:v>2</x:v>
      </x:c>
      <x:c r="L380" s="6" t="str">
        <x:v>近12个月</x:v>
      </x:c>
      <x:c r="M380" s="6" t="str">
        <x:v>2026-02-22</x:v>
      </x:c>
      <x:c r="N380" s="6" t="str">
        <x:v>106127372141</x:v>
      </x:c>
      <x:c r="O380" s="6" t="str">
        <x:v>https://cd.lianjia.com/ershoufang/106127372141.html</x:v>
      </x:c>
      <x:c r="P380" s="8" t="n">
        <x:f>1-I380/E380</x:f>
        <x:v>0.3485633</x:v>
      </x:c>
    </x:row>
    <x:row r="381" ht="22" customHeight="1">
      <x:c r="A381" s="6" t="str">
        <x:v>合江亭</x:v>
      </x:c>
      <x:c r="B381" s="6" t="str">
        <x:v>锦江印象</x:v>
      </x:c>
      <x:c r="C381" s="6" t="str">
        <x:v>1室1厅</x:v>
      </x:c>
      <x:c r="D381" s="6" t="n">
        <x:v>45.46</x:v>
      </x:c>
      <x:c r="E381" s="9" t="n">
        <x:v>102</x:v>
      </x:c>
      <x:c r="F381" s="6" t="n">
        <x:v>22437.307523097228</x:v>
      </x:c>
      <x:c r="G381" s="6" t="n">
        <x:v>22077.5</x:v>
      </x:c>
      <x:c r="H381" s="8" t="n">
        <x:f>F381/G381-1</x:f>
        <x:v>0.01629747585085406</x:v>
      </x:c>
      <x:c r="I381" s="9" t="n">
        <x:f>G381*D381/10000</x:f>
        <x:v>100.364315</x:v>
      </x:c>
      <x:c r="J381" s="6" t="n">
        <x:v>12</x:v>
      </x:c>
      <x:c r="K381" s="6" t="n">
        <x:v>2</x:v>
      </x:c>
      <x:c r="L381" s="6" t="str">
        <x:v>近12个月</x:v>
      </x:c>
      <x:c r="M381" s="6" t="str">
        <x:v>2026-04-09</x:v>
      </x:c>
      <x:c r="N381" s="6" t="str">
        <x:v>106126044932</x:v>
      </x:c>
      <x:c r="O381" s="6" t="str">
        <x:v>https://cd.lianjia.com/ershoufang/106126044932.html</x:v>
      </x:c>
      <x:c r="P381" s="8" t="n">
        <x:f>1-I381/E381</x:f>
        <x:v>0.016036127450980375</x:v>
      </x:c>
    </x:row>
    <x:row r="382" ht="22" customHeight="1">
      <x:c r="A382" s="6" t="str">
        <x:v>盐市口</x:v>
      </x:c>
      <x:c r="B382" s="6" t="str">
        <x:v>科甲大厦</x:v>
      </x:c>
      <x:c r="C382" s="6" t="str">
        <x:v>2室1厅</x:v>
      </x:c>
      <x:c r="D382" s="6" t="n">
        <x:v>56.82</x:v>
      </x:c>
      <x:c r="E382" s="9" t="n">
        <x:v>105</x:v>
      </x:c>
      <x:c r="F382" s="6" t="n">
        <x:v>18479.408658922915</x:v>
      </x:c>
      <x:c r="G382" s="6"/>
      <x:c r="H382" s="8"/>
      <x:c r="I382" s="9"/>
      <x:c r="J382" s="6" t="n">
        <x:v>0</x:v>
      </x:c>
      <x:c r="K382" s="6" t="n">
        <x:v>0</x:v>
      </x:c>
      <x:c r="L382" s="6" t="str">
        <x:v>无可比</x:v>
      </x:c>
      <x:c r="M382" s="6" t="str"/>
      <x:c r="N382" s="6" t="str">
        <x:v>106124480572</x:v>
      </x:c>
      <x:c r="O382" s="6" t="str">
        <x:v>https://cd.lianjia.com/ershoufang/106124480572.html</x:v>
      </x:c>
      <x:c r="P382" s="8"/>
    </x:row>
    <x:row r="383" ht="22" customHeight="1">
      <x:c r="A383" s="6" t="str">
        <x:v>盐市口</x:v>
      </x:c>
      <x:c r="B383" s="6" t="str">
        <x:v>财富中心</x:v>
      </x:c>
      <x:c r="C383" s="6" t="str">
        <x:v>2室1厅</x:v>
      </x:c>
      <x:c r="D383" s="6" t="n">
        <x:v>50.13</x:v>
      </x:c>
      <x:c r="E383" s="9" t="n">
        <x:v>113</x:v>
      </x:c>
      <x:c r="F383" s="6" t="n">
        <x:v>22541.392379812485</x:v>
      </x:c>
      <x:c r="G383" s="6" t="n">
        <x:v>24196</x:v>
      </x:c>
      <x:c r="H383" s="8" t="n">
        <x:f>F383/G383-1</x:f>
        <x:v>-0.06838351877118176</x:v>
      </x:c>
      <x:c r="I383" s="9" t="n">
        <x:f>G383*D383/10000</x:f>
        <x:v>121.29454799999999</x:v>
      </x:c>
      <x:c r="J383" s="6" t="n">
        <x:v>2</x:v>
      </x:c>
      <x:c r="K383" s="6" t="n">
        <x:v>1</x:v>
      </x:c>
      <x:c r="L383" s="6" t="str">
        <x:v>近12个月</x:v>
      </x:c>
      <x:c r="M383" s="6" t="str">
        <x:v>2026-06-21</x:v>
      </x:c>
      <x:c r="N383" s="6" t="str">
        <x:v>106124740001</x:v>
      </x:c>
      <x:c r="O383" s="6" t="str">
        <x:v>https://cd.lianjia.com/ershoufang/106124740001.html</x:v>
      </x:c>
      <x:c r="P383" s="8" t="n">
        <x:f>1-I383/E383</x:f>
        <x:v>-0.07340307964601767</x:v>
      </x:c>
    </x:row>
    <x:row r="384" ht="22" customHeight="1">
      <x:c r="A384" s="6" t="str">
        <x:v>盐市口</x:v>
      </x:c>
      <x:c r="B384" s="6" t="str">
        <x:v>萧邦</x:v>
      </x:c>
      <x:c r="C384" s="6" t="str">
        <x:v>2室1厅</x:v>
      </x:c>
      <x:c r="D384" s="6" t="n">
        <x:v>49.97</x:v>
      </x:c>
      <x:c r="E384" s="9" t="n">
        <x:v>71</x:v>
      </x:c>
      <x:c r="F384" s="6" t="n">
        <x:v>14208.525115069042</x:v>
      </x:c>
      <x:c r="G384" s="6" t="n">
        <x:v>13824</x:v>
      </x:c>
      <x:c r="H384" s="8" t="n">
        <x:f>F384/G384-1</x:f>
        <x:v>0.027815763532193394</x:v>
      </x:c>
      <x:c r="I384" s="9" t="n">
        <x:f>G384*D384/10000</x:f>
        <x:v>69.078528</x:v>
      </x:c>
      <x:c r="J384" s="6" t="n">
        <x:v>3</x:v>
      </x:c>
      <x:c r="K384" s="6" t="n">
        <x:v>1</x:v>
      </x:c>
      <x:c r="L384" s="6" t="str">
        <x:v>近12个月</x:v>
      </x:c>
      <x:c r="M384" s="6" t="str">
        <x:v>2026-04-08</x:v>
      </x:c>
      <x:c r="N384" s="6" t="str">
        <x:v>106129705244</x:v>
      </x:c>
      <x:c r="O384" s="6" t="str">
        <x:v>https://cd.lianjia.com/ershoufang/106129705244.html</x:v>
      </x:c>
      <x:c r="P384" s="8" t="n">
        <x:f>1-I384/E384</x:f>
        <x:v>0.027062985915492832</x:v>
      </x:c>
    </x:row>
    <x:row r="385" ht="22" customHeight="1">
      <x:c r="A385" s="6" t="str">
        <x:v>盐市口</x:v>
      </x:c>
      <x:c r="B385" s="6" t="str">
        <x:v>萧邦</x:v>
      </x:c>
      <x:c r="C385" s="6" t="str">
        <x:v>2室1厅</x:v>
      </x:c>
      <x:c r="D385" s="6" t="n">
        <x:v>49.97</x:v>
      </x:c>
      <x:c r="E385" s="9" t="n">
        <x:v>69.8</x:v>
      </x:c>
      <x:c r="F385" s="6" t="n">
        <x:v>13968.38102861717</x:v>
      </x:c>
      <x:c r="G385" s="6" t="n">
        <x:v>13824</x:v>
      </x:c>
      <x:c r="H385" s="8" t="n">
        <x:f>F385/G385-1</x:f>
        <x:v>0.01044422950066326</x:v>
      </x:c>
      <x:c r="I385" s="9" t="n">
        <x:f>G385*D385/10000</x:f>
        <x:v>69.078528</x:v>
      </x:c>
      <x:c r="J385" s="6" t="n">
        <x:v>3</x:v>
      </x:c>
      <x:c r="K385" s="6" t="n">
        <x:v>1</x:v>
      </x:c>
      <x:c r="L385" s="6" t="str">
        <x:v>近12个月</x:v>
      </x:c>
      <x:c r="M385" s="6" t="str">
        <x:v>2026-04-08</x:v>
      </x:c>
      <x:c r="N385" s="6" t="str">
        <x:v>106126079339</x:v>
      </x:c>
      <x:c r="O385" s="6" t="str">
        <x:v>https://cd.lianjia.com/ershoufang/106126079339.html</x:v>
      </x:c>
      <x:c r="P385" s="8" t="n">
        <x:f>1-I385/E385</x:f>
        <x:v>0.01033627507163315</x:v>
      </x:c>
    </x:row>
    <x:row r="386" ht="22" customHeight="1">
      <x:c r="A386" s="6" t="str">
        <x:v>盐市口</x:v>
      </x:c>
      <x:c r="B386" s="6" t="str">
        <x:v>萧邦</x:v>
      </x:c>
      <x:c r="C386" s="6" t="str">
        <x:v>2室1厅</x:v>
      </x:c>
      <x:c r="D386" s="6" t="n">
        <x:v>49.97</x:v>
      </x:c>
      <x:c r="E386" s="9" t="n">
        <x:v>76</x:v>
      </x:c>
      <x:c r="F386" s="6" t="n">
        <x:v>15209.125475285171</x:v>
      </x:c>
      <x:c r="G386" s="6" t="n">
        <x:v>13824</x:v>
      </x:c>
      <x:c r="H386" s="8" t="n">
        <x:f>F386/G386-1</x:f>
        <x:v>0.10019715533023521</x:v>
      </x:c>
      <x:c r="I386" s="9" t="n">
        <x:f>G386*D386/10000</x:f>
        <x:v>69.078528</x:v>
      </x:c>
      <x:c r="J386" s="6" t="n">
        <x:v>3</x:v>
      </x:c>
      <x:c r="K386" s="6" t="n">
        <x:v>1</x:v>
      </x:c>
      <x:c r="L386" s="6" t="str">
        <x:v>近12个月</x:v>
      </x:c>
      <x:c r="M386" s="6" t="str">
        <x:v>2026-04-08</x:v>
      </x:c>
      <x:c r="N386" s="6" t="str">
        <x:v>106125112308</x:v>
      </x:c>
      <x:c r="O386" s="6" t="str">
        <x:v>https://cd.lianjia.com/ershoufang/106125112308.html</x:v>
      </x:c>
      <x:c r="P386" s="8" t="n">
        <x:f>1-I386/E386</x:f>
        <x:v>0.09107199999999993</x:v>
      </x:c>
    </x:row>
    <x:row r="387" ht="22" customHeight="1">
      <x:c r="A387" s="6" t="str">
        <x:v>盐市口</x:v>
      </x:c>
      <x:c r="B387" s="6" t="str">
        <x:v>财富中心</x:v>
      </x:c>
      <x:c r="C387" s="6" t="str">
        <x:v>1室1厅</x:v>
      </x:c>
      <x:c r="D387" s="6" t="n">
        <x:v>49.97</x:v>
      </x:c>
      <x:c r="E387" s="9" t="n">
        <x:v>109</x:v>
      </x:c>
      <x:c r="F387" s="6" t="n">
        <x:v>21813.08785271163</x:v>
      </x:c>
      <x:c r="G387" s="6" t="n">
        <x:v>22678</x:v>
      </x:c>
      <x:c r="H387" s="8" t="n">
        <x:f>F387/G387-1</x:f>
        <x:v>-0.03813881944123687</x:v>
      </x:c>
      <x:c r="I387" s="9" t="n">
        <x:f>G387*D387/10000</x:f>
        <x:v>113.32196599999999</x:v>
      </x:c>
      <x:c r="J387" s="6" t="n">
        <x:v>23</x:v>
      </x:c>
      <x:c r="K387" s="6" t="n">
        <x:v>21</x:v>
      </x:c>
      <x:c r="L387" s="6" t="str">
        <x:v>近12个月</x:v>
      </x:c>
      <x:c r="M387" s="6" t="str">
        <x:v>2026-09-04</x:v>
      </x:c>
      <x:c r="N387" s="6" t="str">
        <x:v>106129200125</x:v>
      </x:c>
      <x:c r="O387" s="6" t="str">
        <x:v>https://cd.lianjia.com/ershoufang/106129200125.html</x:v>
      </x:c>
      <x:c r="P387" s="8" t="n">
        <x:f>1-I387/E387</x:f>
        <x:v>-0.039651064220183496</x:v>
      </x:c>
    </x:row>
    <x:row r="388" ht="22" customHeight="1">
      <x:c r="A388" s="6" t="str">
        <x:v>盐市口</x:v>
      </x:c>
      <x:c r="B388" s="6" t="str">
        <x:v>美华大厦</x:v>
      </x:c>
      <x:c r="C388" s="6" t="str">
        <x:v>1室1厅</x:v>
      </x:c>
      <x:c r="D388" s="6" t="n">
        <x:v>46.15</x:v>
      </x:c>
      <x:c r="E388" s="9" t="n">
        <x:v>100</x:v>
      </x:c>
      <x:c r="F388" s="6" t="n">
        <x:v>21668.472372697724</x:v>
      </x:c>
      <x:c r="G388" s="6" t="n">
        <x:v>22709</x:v>
      </x:c>
      <x:c r="H388" s="8" t="n">
        <x:f>F388/G388-1</x:f>
        <x:v>-0.04582005492546015</x:v>
      </x:c>
      <x:c r="I388" s="9" t="n">
        <x:f>G388*D388/10000</x:f>
        <x:v>104.802035</x:v>
      </x:c>
      <x:c r="J388" s="6" t="n">
        <x:v>2</x:v>
      </x:c>
      <x:c r="K388" s="6" t="n">
        <x:v>1</x:v>
      </x:c>
      <x:c r="L388" s="6" t="str">
        <x:v>近12个月</x:v>
      </x:c>
      <x:c r="M388" s="6" t="str">
        <x:v>2026-07-31</x:v>
      </x:c>
      <x:c r="N388" s="6" t="str">
        <x:v>106128955088</x:v>
      </x:c>
      <x:c r="O388" s="6" t="str">
        <x:v>https://cd.lianjia.com/ershoufang/106128955088.html</x:v>
      </x:c>
      <x:c r="P388" s="8" t="n">
        <x:f>1-I388/E388</x:f>
        <x:v>-0.048020350000000045</x:v>
      </x:c>
    </x:row>
    <x:row r="389" ht="22" customHeight="1">
      <x:c r="A389" s="6" t="str">
        <x:v>盐市口</x:v>
      </x:c>
      <x:c r="B389" s="6" t="str">
        <x:v>财富中心</x:v>
      </x:c>
      <x:c r="C389" s="6" t="str">
        <x:v>1室1厅</x:v>
      </x:c>
      <x:c r="D389" s="6" t="n">
        <x:v>48.47</x:v>
      </x:c>
      <x:c r="E389" s="9" t="n">
        <x:v>120</x:v>
      </x:c>
      <x:c r="F389" s="6" t="n">
        <x:v>24757.58200949041</x:v>
      </x:c>
      <x:c r="G389" s="6" t="n">
        <x:v>22678</x:v>
      </x:c>
      <x:c r="H389" s="8" t="n">
        <x:f>F389/G389-1</x:f>
        <x:v>0.09170041491711833</x:v>
      </x:c>
      <x:c r="I389" s="9" t="n">
        <x:f>G389*D389/10000</x:f>
        <x:v>109.920266</x:v>
      </x:c>
      <x:c r="J389" s="6" t="n">
        <x:v>23</x:v>
      </x:c>
      <x:c r="K389" s="6" t="n">
        <x:v>21</x:v>
      </x:c>
      <x:c r="L389" s="6" t="str">
        <x:v>近12个月</x:v>
      </x:c>
      <x:c r="M389" s="6" t="str">
        <x:v>2026-09-04</x:v>
      </x:c>
      <x:c r="N389" s="6" t="str">
        <x:v>106127853791</x:v>
      </x:c>
      <x:c r="O389" s="6" t="str">
        <x:v>https://cd.lianjia.com/ershoufang/106127853791.html</x:v>
      </x:c>
      <x:c r="P389" s="8" t="n">
        <x:f>1-I389/E389</x:f>
        <x:v>0.0839977833333333</x:v>
      </x:c>
    </x:row>
    <x:row r="390" ht="22" customHeight="1">
      <x:c r="A390" s="6" t="str">
        <x:v>盐市口</x:v>
      </x:c>
      <x:c r="B390" s="6" t="str">
        <x:v>财富中心</x:v>
      </x:c>
      <x:c r="C390" s="6" t="str">
        <x:v>1室1厅</x:v>
      </x:c>
      <x:c r="D390" s="6" t="n">
        <x:v>49.27</x:v>
      </x:c>
      <x:c r="E390" s="9" t="n">
        <x:v>120</x:v>
      </x:c>
      <x:c r="F390" s="6" t="n">
        <x:v>24355.591637913538</x:v>
      </x:c>
      <x:c r="G390" s="6" t="n">
        <x:v>22678</x:v>
      </x:c>
      <x:c r="H390" s="8" t="n">
        <x:f>F390/G390-1</x:f>
        <x:v>0.07397440858601012</x:v>
      </x:c>
      <x:c r="I390" s="9" t="n">
        <x:f>G390*D390/10000</x:f>
        <x:v>111.73450600000001</x:v>
      </x:c>
      <x:c r="J390" s="6" t="n">
        <x:v>23</x:v>
      </x:c>
      <x:c r="K390" s="6" t="n">
        <x:v>21</x:v>
      </x:c>
      <x:c r="L390" s="6" t="str">
        <x:v>近12个月</x:v>
      </x:c>
      <x:c r="M390" s="6" t="str">
        <x:v>2026-09-04</x:v>
      </x:c>
      <x:c r="N390" s="6" t="str">
        <x:v>106127663753</x:v>
      </x:c>
      <x:c r="O390" s="6" t="str">
        <x:v>https://cd.lianjia.com/ershoufang/106127663753.html</x:v>
      </x:c>
      <x:c r="P390" s="8" t="n">
        <x:f>1-I390/E390</x:f>
        <x:v>0.06887911666666657</x:v>
      </x:c>
    </x:row>
    <x:row r="391" ht="22" customHeight="1">
      <x:c r="A391" s="6" t="str">
        <x:v>盐市口</x:v>
      </x:c>
      <x:c r="B391" s="6" t="str">
        <x:v>财富中心</x:v>
      </x:c>
      <x:c r="C391" s="6" t="str">
        <x:v>1室1厅</x:v>
      </x:c>
      <x:c r="D391" s="6" t="n">
        <x:v>48.95</x:v>
      </x:c>
      <x:c r="E391" s="9" t="n">
        <x:v>115</x:v>
      </x:c>
      <x:c r="F391" s="6" t="n">
        <x:v>23493.360572012258</x:v>
      </x:c>
      <x:c r="G391" s="6" t="n">
        <x:v>22678</x:v>
      </x:c>
      <x:c r="H391" s="8" t="n">
        <x:f>F391/G391-1</x:f>
        <x:v>0.03595381303519973</x:v>
      </x:c>
      <x:c r="I391" s="9" t="n">
        <x:f>G391*D391/10000</x:f>
        <x:v>111.00881000000001</x:v>
      </x:c>
      <x:c r="J391" s="6" t="n">
        <x:v>23</x:v>
      </x:c>
      <x:c r="K391" s="6" t="n">
        <x:v>21</x:v>
      </x:c>
      <x:c r="L391" s="6" t="str">
        <x:v>近12个月</x:v>
      </x:c>
      <x:c r="M391" s="6" t="str">
        <x:v>2026-09-04</x:v>
      </x:c>
      <x:c r="N391" s="6" t="str">
        <x:v>106127279224</x:v>
      </x:c>
      <x:c r="O391" s="6" t="str">
        <x:v>https://cd.lianjia.com/ershoufang/106127279224.html</x:v>
      </x:c>
      <x:c r="P391" s="8" t="n">
        <x:f>1-I391/E391</x:f>
        <x:v>0.034705999999999904</x:v>
      </x:c>
    </x:row>
    <x:row r="392" ht="22" customHeight="1">
      <x:c r="A392" s="6" t="str">
        <x:v>盐市口</x:v>
      </x:c>
      <x:c r="B392" s="6" t="str">
        <x:v>财富中心</x:v>
      </x:c>
      <x:c r="C392" s="6" t="str">
        <x:v>1室1厅</x:v>
      </x:c>
      <x:c r="D392" s="6" t="n">
        <x:v>49.97</x:v>
      </x:c>
      <x:c r="E392" s="9" t="n">
        <x:v>110</x:v>
      </x:c>
      <x:c r="F392" s="6" t="n">
        <x:v>22013.207924754854</x:v>
      </x:c>
      <x:c r="G392" s="6" t="n">
        <x:v>22678</x:v>
      </x:c>
      <x:c r="H392" s="8" t="n">
        <x:f>F392/G392-1</x:f>
        <x:v>-0.029314404940697925</x:v>
      </x:c>
      <x:c r="I392" s="9" t="n">
        <x:f>G392*D392/10000</x:f>
        <x:v>113.32196599999999</x:v>
      </x:c>
      <x:c r="J392" s="6" t="n">
        <x:v>23</x:v>
      </x:c>
      <x:c r="K392" s="6" t="n">
        <x:v>21</x:v>
      </x:c>
      <x:c r="L392" s="6" t="str">
        <x:v>近12个月</x:v>
      </x:c>
      <x:c r="M392" s="6" t="str">
        <x:v>2026-09-04</x:v>
      </x:c>
      <x:c r="N392" s="6" t="str">
        <x:v>106126469607</x:v>
      </x:c>
      <x:c r="O392" s="6" t="str">
        <x:v>https://cd.lianjia.com/ershoufang/106126469607.html</x:v>
      </x:c>
      <x:c r="P392" s="8" t="n">
        <x:f>1-I392/E392</x:f>
        <x:v>-0.030199690909090915</x:v>
      </x:c>
    </x:row>
    <x:row r="393" ht="22" customHeight="1">
      <x:c r="A393" s="6" t="str">
        <x:v>盐市口</x:v>
      </x:c>
      <x:c r="B393" s="6" t="str">
        <x:v>财富中心</x:v>
      </x:c>
      <x:c r="C393" s="6" t="str">
        <x:v>1室1厅</x:v>
      </x:c>
      <x:c r="D393" s="6" t="n">
        <x:v>47.92</x:v>
      </x:c>
      <x:c r="E393" s="9" t="n">
        <x:v>118</x:v>
      </x:c>
      <x:c r="F393" s="6" t="n">
        <x:v>24624.37395659432</x:v>
      </x:c>
      <x:c r="G393" s="6" t="n">
        <x:v>22678</x:v>
      </x:c>
      <x:c r="H393" s="8" t="n">
        <x:f>F393/G393-1</x:f>
        <x:v>0.08582652599851492</x:v>
      </x:c>
      <x:c r="I393" s="9" t="n">
        <x:f>G393*D393/10000</x:f>
        <x:v>108.672976</x:v>
      </x:c>
      <x:c r="J393" s="6" t="n">
        <x:v>23</x:v>
      </x:c>
      <x:c r="K393" s="6" t="n">
        <x:v>21</x:v>
      </x:c>
      <x:c r="L393" s="6" t="str">
        <x:v>近12个月</x:v>
      </x:c>
      <x:c r="M393" s="6" t="str">
        <x:v>2026-09-04</x:v>
      </x:c>
      <x:c r="N393" s="6" t="str">
        <x:v>106127690596</x:v>
      </x:c>
      <x:c r="O393" s="6" t="str">
        <x:v>https://cd.lianjia.com/ershoufang/106127690596.html</x:v>
      </x:c>
      <x:c r="P393" s="8" t="n">
        <x:f>1-I393/E393</x:f>
        <x:v>0.07904257627118638</x:v>
      </x:c>
    </x:row>
    <x:row r="394" ht="22" customHeight="1">
      <x:c r="A394" s="6" t="str">
        <x:v>盐市口</x:v>
      </x:c>
      <x:c r="B394" s="6" t="str">
        <x:v>财富中心</x:v>
      </x:c>
      <x:c r="C394" s="6" t="str">
        <x:v>1室1厅</x:v>
      </x:c>
      <x:c r="D394" s="6" t="n">
        <x:v>47.53</x:v>
      </x:c>
      <x:c r="E394" s="9" t="n">
        <x:v>112</x:v>
      </x:c>
      <x:c r="F394" s="6" t="n">
        <x:v>23564.064801178203</x:v>
      </x:c>
      <x:c r="G394" s="6" t="n">
        <x:v>22678</x:v>
      </x:c>
      <x:c r="H394" s="8" t="n">
        <x:f>F394/G394-1</x:f>
        <x:v>0.039071558390431305</x:v>
      </x:c>
      <x:c r="I394" s="9" t="n">
        <x:f>G394*D394/10000</x:f>
        <x:v>107.78853400000001</x:v>
      </x:c>
      <x:c r="J394" s="6" t="n">
        <x:v>23</x:v>
      </x:c>
      <x:c r="K394" s="6" t="n">
        <x:v>21</x:v>
      </x:c>
      <x:c r="L394" s="6" t="str">
        <x:v>近12个月</x:v>
      </x:c>
      <x:c r="M394" s="6" t="str">
        <x:v>2026-09-04</x:v>
      </x:c>
      <x:c r="N394" s="6" t="str">
        <x:v>106127643163</x:v>
      </x:c>
      <x:c r="O394" s="6" t="str">
        <x:v>https://cd.lianjia.com/ershoufang/106127643163.html</x:v>
      </x:c>
      <x:c r="P394" s="8" t="n">
        <x:f>1-I394/E394</x:f>
        <x:v>0.037602374999999855</x:v>
      </x:c>
    </x:row>
    <x:row r="395" ht="22" customHeight="1">
      <x:c r="A395" s="6" t="str">
        <x:v>盐市口</x:v>
      </x:c>
      <x:c r="B395" s="6" t="str">
        <x:v>美华大厦</x:v>
      </x:c>
      <x:c r="C395" s="6" t="str">
        <x:v>1室0厅</x:v>
      </x:c>
      <x:c r="D395" s="6" t="n">
        <x:v>46.15</x:v>
      </x:c>
      <x:c r="E395" s="9" t="n">
        <x:v>113</x:v>
      </x:c>
      <x:c r="F395" s="6" t="n">
        <x:v>24485.37378114843</x:v>
      </x:c>
      <x:c r="G395" s="6" t="n">
        <x:v>22387</x:v>
      </x:c>
      <x:c r="H395" s="8" t="n">
        <x:f>F395/G395-1</x:f>
        <x:v>0.09373179886310945</x:v>
      </x:c>
      <x:c r="I395" s="9" t="n">
        <x:f>G395*D395/10000</x:f>
        <x:v>103.31600499999999</x:v>
      </x:c>
      <x:c r="J395" s="6" t="n">
        <x:v>2</x:v>
      </x:c>
      <x:c r="K395" s="6" t="n">
        <x:v>1</x:v>
      </x:c>
      <x:c r="L395" s="6" t="str">
        <x:v>近12个月</x:v>
      </x:c>
      <x:c r="M395" s="6" t="str">
        <x:v>2025-12-05</x:v>
      </x:c>
      <x:c r="N395" s="6" t="str">
        <x:v>106127710193</x:v>
      </x:c>
      <x:c r="O395" s="6" t="str">
        <x:v>https://cd.lianjia.com/ershoufang/106127710193.html</x:v>
      </x:c>
      <x:c r="P395" s="8" t="n">
        <x:f>1-I395/E395</x:f>
        <x:v>0.08569907079646022</x:v>
      </x:c>
    </x:row>
    <x:row r="396" ht="22" customHeight="1">
      <x:c r="A396" s="6" t="str">
        <x:v>盐市口</x:v>
      </x:c>
      <x:c r="B396" s="6" t="str">
        <x:v>财富中心</x:v>
      </x:c>
      <x:c r="C396" s="6" t="str">
        <x:v>1室1厅</x:v>
      </x:c>
      <x:c r="D396" s="6" t="n">
        <x:v>47.92</x:v>
      </x:c>
      <x:c r="E396" s="9" t="n">
        <x:v>112</x:v>
      </x:c>
      <x:c r="F396" s="6" t="n">
        <x:v>23372.28714524207</x:v>
      </x:c>
      <x:c r="G396" s="6" t="n">
        <x:v>22678</x:v>
      </x:c>
      <x:c r="H396" s="8" t="n">
        <x:f>F396/G396-1</x:f>
        <x:v>0.03061500772740411</x:v>
      </x:c>
      <x:c r="I396" s="9" t="n">
        <x:f>G396*D396/10000</x:f>
        <x:v>108.672976</x:v>
      </x:c>
      <x:c r="J396" s="6" t="n">
        <x:v>23</x:v>
      </x:c>
      <x:c r="K396" s="6" t="n">
        <x:v>21</x:v>
      </x:c>
      <x:c r="L396" s="6" t="str">
        <x:v>近12个月</x:v>
      </x:c>
      <x:c r="M396" s="6" t="str">
        <x:v>2026-09-04</x:v>
      </x:c>
      <x:c r="N396" s="6" t="str">
        <x:v>106128429485</x:v>
      </x:c>
      <x:c r="O396" s="6" t="str">
        <x:v>https://cd.lianjia.com/ershoufang/106128429485.html</x:v>
      </x:c>
      <x:c r="P396" s="8" t="n">
        <x:f>1-I396/E396</x:f>
        <x:v>0.02970557142857133</x:v>
      </x:c>
    </x:row>
    <x:row r="397" ht="22" customHeight="1">
      <x:c r="A397" s="6" t="str">
        <x:v>盐市口</x:v>
      </x:c>
      <x:c r="B397" s="6" t="str">
        <x:v>新和春禧时代</x:v>
      </x:c>
      <x:c r="C397" s="6" t="str">
        <x:v>1室0厅</x:v>
      </x:c>
      <x:c r="D397" s="6" t="n">
        <x:v>49.94</x:v>
      </x:c>
      <x:c r="E397" s="9" t="n">
        <x:v>105</x:v>
      </x:c>
      <x:c r="F397" s="6" t="n">
        <x:v>21025.2302763316</x:v>
      </x:c>
      <x:c r="G397" s="6" t="n">
        <x:v>20825</x:v>
      </x:c>
      <x:c r="H397" s="8" t="n">
        <x:f>F397/G397-1</x:f>
        <x:v>0.009614899223606255</x:v>
      </x:c>
      <x:c r="I397" s="9" t="n">
        <x:f>G397*D397/10000</x:f>
        <x:v>104.00005</x:v>
      </x:c>
      <x:c r="J397" s="6" t="n">
        <x:v>2</x:v>
      </x:c>
      <x:c r="K397" s="6" t="n">
        <x:v>1</x:v>
      </x:c>
      <x:c r="L397" s="6" t="str">
        <x:v>近12个月</x:v>
      </x:c>
      <x:c r="M397" s="6" t="str">
        <x:v>2025-12-27</x:v>
      </x:c>
      <x:c r="N397" s="6" t="str">
        <x:v>106125927551</x:v>
      </x:c>
      <x:c r="O397" s="6" t="str">
        <x:v>https://cd.lianjia.com/ershoufang/106125927551.html</x:v>
      </x:c>
      <x:c r="P397" s="8" t="n">
        <x:f>1-I397/E397</x:f>
        <x:v>0.009523333333333328</x:v>
      </x:c>
    </x:row>
    <x:row r="398" ht="22" customHeight="1">
      <x:c r="A398" s="6" t="str">
        <x:v>盐市口</x:v>
      </x:c>
      <x:c r="B398" s="6" t="str">
        <x:v>城市理想</x:v>
      </x:c>
      <x:c r="C398" s="6" t="str">
        <x:v>1室1厅</x:v>
      </x:c>
      <x:c r="D398" s="6" t="n">
        <x:v>48.88</x:v>
      </x:c>
      <x:c r="E398" s="9" t="n">
        <x:v>103</x:v>
      </x:c>
      <x:c r="F398" s="6" t="n">
        <x:v>21072.013093289686</x:v>
      </x:c>
      <x:c r="G398" s="6" t="n">
        <x:v>20742</x:v>
      </x:c>
      <x:c r="H398" s="8" t="n">
        <x:f>F398/G398-1</x:f>
        <x:v>0.015910379581992373</x:v>
      </x:c>
      <x:c r="I398" s="9" t="n">
        <x:f>G398*D398/10000</x:f>
        <x:v>101.38689600000001</x:v>
      </x:c>
      <x:c r="J398" s="6" t="n">
        <x:v>7</x:v>
      </x:c>
      <x:c r="K398" s="6" t="n">
        <x:v>3</x:v>
      </x:c>
      <x:c r="L398" s="6" t="str">
        <x:v>近12个月</x:v>
      </x:c>
      <x:c r="M398" s="6" t="str">
        <x:v>2026-05-23</x:v>
      </x:c>
      <x:c r="N398" s="6" t="str">
        <x:v>106128606653</x:v>
      </x:c>
      <x:c r="O398" s="6" t="str">
        <x:v>https://cd.lianjia.com/ershoufang/106128606653.html</x:v>
      </x:c>
      <x:c r="P398" s="8" t="n">
        <x:f>1-I398/E398</x:f>
        <x:v>0.015661203883495123</x:v>
      </x:c>
    </x:row>
    <x:row r="399" ht="22" customHeight="1">
      <x:c r="A399" s="6" t="str">
        <x:v>盐市口</x:v>
      </x:c>
      <x:c r="B399" s="6" t="str">
        <x:v>新和春禧时代</x:v>
      </x:c>
      <x:c r="C399" s="6" t="str">
        <x:v>1室1厅</x:v>
      </x:c>
      <x:c r="D399" s="6" t="n">
        <x:v>49.94</x:v>
      </x:c>
      <x:c r="E399" s="9" t="n">
        <x:v>113</x:v>
      </x:c>
      <x:c r="F399" s="6" t="n">
        <x:v>22627.15258309972</x:v>
      </x:c>
      <x:c r="G399" s="6" t="n">
        <x:v>19023</x:v>
      </x:c>
      <x:c r="H399" s="8" t="n">
        <x:f>F399/G399-1</x:f>
        <x:v>0.18946289139986972</x:v>
      </x:c>
      <x:c r="I399" s="9" t="n">
        <x:f>G399*D399/10000</x:f>
        <x:v>95.000862</x:v>
      </x:c>
      <x:c r="J399" s="6" t="n">
        <x:v>1</x:v>
      </x:c>
      <x:c r="K399" s="6" t="n">
        <x:v>1</x:v>
      </x:c>
      <x:c r="L399" s="6" t="str">
        <x:v>近12个月</x:v>
      </x:c>
      <x:c r="M399" s="6" t="str">
        <x:v>2026-04-12</x:v>
      </x:c>
      <x:c r="N399" s="6" t="str">
        <x:v>106123226268</x:v>
      </x:c>
      <x:c r="O399" s="6" t="str">
        <x:v>https://cd.lianjia.com/ershoufang/106123226268.html</x:v>
      </x:c>
      <x:c r="P399" s="8" t="n">
        <x:f>1-I399/E399</x:f>
        <x:v>0.15928440707964608</x:v>
      </x:c>
    </x:row>
    <x:row r="400" ht="22" customHeight="1">
      <x:c r="A400" s="6" t="str">
        <x:v>盐市口</x:v>
      </x:c>
      <x:c r="B400" s="6" t="str">
        <x:v>雕墅</x:v>
      </x:c>
      <x:c r="C400" s="6" t="str">
        <x:v>1室1厅</x:v>
      </x:c>
      <x:c r="D400" s="6" t="n">
        <x:v>46.7</x:v>
      </x:c>
      <x:c r="E400" s="9" t="n">
        <x:v>119.8</x:v>
      </x:c>
      <x:c r="F400" s="6" t="n">
        <x:v>25653.104925053532</x:v>
      </x:c>
      <x:c r="G400" s="6"/>
      <x:c r="H400" s="8"/>
      <x:c r="I400" s="9"/>
      <x:c r="J400" s="6" t="n">
        <x:v>0</x:v>
      </x:c>
      <x:c r="K400" s="6" t="n">
        <x:v>0</x:v>
      </x:c>
      <x:c r="L400" s="6" t="str">
        <x:v>无可比</x:v>
      </x:c>
      <x:c r="M400" s="6" t="str"/>
      <x:c r="N400" s="6" t="str">
        <x:v>106127481270</x:v>
      </x:c>
      <x:c r="O400" s="6" t="str">
        <x:v>https://cd.lianjia.com/ershoufang/106127481270.html</x:v>
      </x:c>
      <x:c r="P400" s="8"/>
    </x:row>
    <x:row r="401" ht="22" customHeight="1">
      <x:c r="A401" s="6" t="str">
        <x:v>盐市口</x:v>
      </x:c>
      <x:c r="B401" s="6" t="str">
        <x:v>都市驿站</x:v>
      </x:c>
      <x:c r="C401" s="6" t="str">
        <x:v>1室1厅</x:v>
      </x:c>
      <x:c r="D401" s="6" t="n">
        <x:v>47.27</x:v>
      </x:c>
      <x:c r="E401" s="9" t="n">
        <x:v>92</x:v>
      </x:c>
      <x:c r="F401" s="6" t="n">
        <x:v>19462.661307383118</x:v>
      </x:c>
      <x:c r="G401" s="6" t="n">
        <x:v>18122</x:v>
      </x:c>
      <x:c r="H401" s="8" t="n">
        <x:f>F401/G401-1</x:f>
        <x:v>0.0739797653340204</x:v>
      </x:c>
      <x:c r="I401" s="9" t="n">
        <x:f>G401*D401/10000</x:f>
        <x:v>85.662694</x:v>
      </x:c>
      <x:c r="J401" s="6" t="n">
        <x:v>20</x:v>
      </x:c>
      <x:c r="K401" s="6" t="n">
        <x:v>9</x:v>
      </x:c>
      <x:c r="L401" s="6" t="str">
        <x:v>近12个月</x:v>
      </x:c>
      <x:c r="M401" s="6" t="str">
        <x:v>2026-09-13</x:v>
      </x:c>
      <x:c r="N401" s="6" t="str">
        <x:v>106125180560</x:v>
      </x:c>
      <x:c r="O401" s="6" t="str">
        <x:v>https://cd.lianjia.com/ershoufang/106125180560.html</x:v>
      </x:c>
      <x:c r="P401" s="8" t="n">
        <x:f>1-I401/E401</x:f>
        <x:v>0.06888376086956516</x:v>
      </x:c>
    </x:row>
    <x:row r="402" ht="22" customHeight="1">
      <x:c r="A402" s="6" t="str">
        <x:v>盐市口</x:v>
      </x:c>
      <x:c r="B402" s="6" t="str">
        <x:v>财富中心</x:v>
      </x:c>
      <x:c r="C402" s="6" t="str">
        <x:v>1室1厅</x:v>
      </x:c>
      <x:c r="D402" s="6" t="n">
        <x:v>48.47</x:v>
      </x:c>
      <x:c r="E402" s="9" t="n">
        <x:v>115</x:v>
      </x:c>
      <x:c r="F402" s="6" t="n">
        <x:v>23726.01609242831</x:v>
      </x:c>
      <x:c r="G402" s="6" t="n">
        <x:v>22678</x:v>
      </x:c>
      <x:c r="H402" s="8" t="n">
        <x:f>F402/G402-1</x:f>
        <x:v>0.046212897628905125</x:v>
      </x:c>
      <x:c r="I402" s="9" t="n">
        <x:f>G402*D402/10000</x:f>
        <x:v>109.920266</x:v>
      </x:c>
      <x:c r="J402" s="6" t="n">
        <x:v>23</x:v>
      </x:c>
      <x:c r="K402" s="6" t="n">
        <x:v>21</x:v>
      </x:c>
      <x:c r="L402" s="6" t="str">
        <x:v>近12个月</x:v>
      </x:c>
      <x:c r="M402" s="6" t="str">
        <x:v>2026-09-04</x:v>
      </x:c>
      <x:c r="N402" s="6" t="str">
        <x:v>106125110249</x:v>
      </x:c>
      <x:c r="O402" s="6" t="str">
        <x:v>https://cd.lianjia.com/ershoufang/106125110249.html</x:v>
      </x:c>
      <x:c r="P402" s="8" t="n">
        <x:f>1-I402/E402</x:f>
        <x:v>0.04417159999999998</x:v>
      </x:c>
    </x:row>
    <x:row r="403" ht="22" customHeight="1">
      <x:c r="A403" s="6" t="str">
        <x:v>盐市口</x:v>
      </x:c>
      <x:c r="B403" s="6" t="str">
        <x:v>新和春禧时代</x:v>
      </x:c>
      <x:c r="C403" s="6" t="str">
        <x:v>1室1厅</x:v>
      </x:c>
      <x:c r="D403" s="6" t="n">
        <x:v>49.94</x:v>
      </x:c>
      <x:c r="E403" s="9" t="n">
        <x:v>106</x:v>
      </x:c>
      <x:c r="F403" s="6" t="n">
        <x:v>21225.470564677613</x:v>
      </x:c>
      <x:c r="G403" s="6" t="n">
        <x:v>19023</x:v>
      </x:c>
      <x:c r="H403" s="8" t="n">
        <x:f>F403/G403-1</x:f>
        <x:v>0.115779349454745</x:v>
      </x:c>
      <x:c r="I403" s="9" t="n">
        <x:f>G403*D403/10000</x:f>
        <x:v>95.000862</x:v>
      </x:c>
      <x:c r="J403" s="6" t="n">
        <x:v>1</x:v>
      </x:c>
      <x:c r="K403" s="6" t="n">
        <x:v>1</x:v>
      </x:c>
      <x:c r="L403" s="6" t="str">
        <x:v>近12个月</x:v>
      </x:c>
      <x:c r="M403" s="6" t="str">
        <x:v>2026-04-12</x:v>
      </x:c>
      <x:c r="N403" s="6" t="str">
        <x:v>106124690295</x:v>
      </x:c>
      <x:c r="O403" s="6" t="str">
        <x:v>https://cd.lianjia.com/ershoufang/106124690295.html</x:v>
      </x:c>
      <x:c r="P403" s="8" t="n">
        <x:f>1-I403/E403</x:f>
        <x:v>0.10376545283018868</x:v>
      </x:c>
    </x:row>
    <x:row r="404" ht="22" customHeight="1">
      <x:c r="A404" s="6" t="str">
        <x:v>盐市口</x:v>
      </x:c>
      <x:c r="B404" s="6" t="str">
        <x:v>财富中心</x:v>
      </x:c>
      <x:c r="C404" s="6" t="str">
        <x:v>1室1厅</x:v>
      </x:c>
      <x:c r="D404" s="6" t="n">
        <x:v>49.88</x:v>
      </x:c>
      <x:c r="E404" s="9" t="n">
        <x:v>119.8</x:v>
      </x:c>
      <x:c r="F404" s="6" t="n">
        <x:v>24017.642341619885</x:v>
      </x:c>
      <x:c r="G404" s="6" t="n">
        <x:v>22678</x:v>
      </x:c>
      <x:c r="H404" s="8" t="n">
        <x:f>F404/G404-1</x:f>
        <x:v>0.05907233184671856</x:v>
      </x:c>
      <x:c r="I404" s="9" t="n">
        <x:f>G404*D404/10000</x:f>
        <x:v>113.11786400000001</x:v>
      </x:c>
      <x:c r="J404" s="6" t="n">
        <x:v>23</x:v>
      </x:c>
      <x:c r="K404" s="6" t="n">
        <x:v>21</x:v>
      </x:c>
      <x:c r="L404" s="6" t="str">
        <x:v>近12个月</x:v>
      </x:c>
      <x:c r="M404" s="6" t="str">
        <x:v>2026-09-04</x:v>
      </x:c>
      <x:c r="N404" s="6" t="str">
        <x:v>106128923784</x:v>
      </x:c>
      <x:c r="O404" s="6" t="str">
        <x:v>https://cd.lianjia.com/ershoufang/106128923784.html</x:v>
      </x:c>
      <x:c r="P404" s="8" t="n">
        <x:f>1-I404/E404</x:f>
        <x:v>0.055777429048413874</x:v>
      </x:c>
    </x:row>
    <x:row r="405" ht="22" customHeight="1">
      <x:c r="A405" s="6" t="str">
        <x:v>盐市口</x:v>
      </x:c>
      <x:c r="B405" s="6" t="str">
        <x:v>财富中心</x:v>
      </x:c>
      <x:c r="C405" s="6" t="str">
        <x:v>1室1厅</x:v>
      </x:c>
      <x:c r="D405" s="6" t="n">
        <x:v>49.96</x:v>
      </x:c>
      <x:c r="E405" s="9" t="n">
        <x:v>120</x:v>
      </x:c>
      <x:c r="F405" s="6" t="n">
        <x:v>24019.215372297836</x:v>
      </x:c>
      <x:c r="G405" s="6" t="n">
        <x:v>22678</x:v>
      </x:c>
      <x:c r="H405" s="8" t="n">
        <x:f>F405/G405-1</x:f>
        <x:v>0.059141695577116016</x:v>
      </x:c>
      <x:c r="I405" s="9" t="n">
        <x:f>G405*D405/10000</x:f>
        <x:v>113.29928800000002</x:v>
      </x:c>
      <x:c r="J405" s="6" t="n">
        <x:v>23</x:v>
      </x:c>
      <x:c r="K405" s="6" t="n">
        <x:v>21</x:v>
      </x:c>
      <x:c r="L405" s="6" t="str">
        <x:v>近12个月</x:v>
      </x:c>
      <x:c r="M405" s="6" t="str">
        <x:v>2026-09-04</x:v>
      </x:c>
      <x:c r="N405" s="6" t="str">
        <x:v>106129718826</x:v>
      </x:c>
      <x:c r="O405" s="6" t="str">
        <x:v>https://cd.lianjia.com/ershoufang/106129718826.html</x:v>
      </x:c>
      <x:c r="P405" s="8" t="n">
        <x:f>1-I405/E405</x:f>
        <x:v>0.0558392666666665</x:v>
      </x:c>
    </x:row>
    <x:row r="406" ht="22" customHeight="1">
      <x:c r="A406" s="6" t="str">
        <x:v>合江亭</x:v>
      </x:c>
      <x:c r="B406" s="6" t="str">
        <x:v>锦江印象</x:v>
      </x:c>
      <x:c r="C406" s="6" t="str">
        <x:v>1室1厅</x:v>
      </x:c>
      <x:c r="D406" s="6" t="n">
        <x:v>46.28</x:v>
      </x:c>
      <x:c r="E406" s="9" t="n">
        <x:v>98</x:v>
      </x:c>
      <x:c r="F406" s="6" t="n">
        <x:v>21175.453759723423</x:v>
      </x:c>
      <x:c r="G406" s="6" t="n">
        <x:v>22077.5</x:v>
      </x:c>
      <x:c r="H406" s="8" t="n">
        <x:f>F406/G406-1</x:f>
        <x:v>-0.04085816964224109</x:v>
      </x:c>
      <x:c r="I406" s="9" t="n">
        <x:f>G406*D406/10000</x:f>
        <x:v>102.17467</x:v>
      </x:c>
      <x:c r="J406" s="6" t="n">
        <x:v>12</x:v>
      </x:c>
      <x:c r="K406" s="6" t="n">
        <x:v>2</x:v>
      </x:c>
      <x:c r="L406" s="6" t="str">
        <x:v>近12个月</x:v>
      </x:c>
      <x:c r="M406" s="6" t="str">
        <x:v>2026-04-09</x:v>
      </x:c>
      <x:c r="N406" s="6" t="str">
        <x:v>106128993688</x:v>
      </x:c>
      <x:c r="O406" s="6" t="str">
        <x:v>https://cd.lianjia.com/ershoufang/106128993688.html</x:v>
      </x:c>
      <x:c r="P406" s="8" t="n">
        <x:f>1-I406/E406</x:f>
        <x:v>-0.04259867346938773</x:v>
      </x:c>
    </x:row>
    <x:row r="407" ht="22" customHeight="1">
      <x:c r="A407" s="6" t="str">
        <x:v>合江亭</x:v>
      </x:c>
      <x:c r="B407" s="6" t="str">
        <x:v>喜年广场</x:v>
      </x:c>
      <x:c r="C407" s="6" t="str">
        <x:v>1室0厅</x:v>
      </x:c>
      <x:c r="D407" s="6" t="n">
        <x:v>47.48</x:v>
      </x:c>
      <x:c r="E407" s="9" t="n">
        <x:v>110</x:v>
      </x:c>
      <x:c r="F407" s="6" t="n">
        <x:v>23167.64953664701</x:v>
      </x:c>
      <x:c r="G407" s="6" t="n">
        <x:v>22511</x:v>
      </x:c>
      <x:c r="H407" s="8" t="n">
        <x:f>F407/G407-1</x:f>
        <x:v>0.029170162882457884</x:v>
      </x:c>
      <x:c r="I407" s="9" t="n">
        <x:f>G407*D407/10000</x:f>
        <x:v>106.882228</x:v>
      </x:c>
      <x:c r="J407" s="6" t="n">
        <x:v>8</x:v>
      </x:c>
      <x:c r="K407" s="6" t="n">
        <x:v>7</x:v>
      </x:c>
      <x:c r="L407" s="6" t="str">
        <x:v>近12个月</x:v>
      </x:c>
      <x:c r="M407" s="6" t="str">
        <x:v>2026-07-19</x:v>
      </x:c>
      <x:c r="N407" s="6" t="str">
        <x:v>106128593594</x:v>
      </x:c>
      <x:c r="O407" s="6" t="str">
        <x:v>https://cd.lianjia.com/ershoufang/106128593594.html</x:v>
      </x:c>
      <x:c r="P407" s="8" t="n">
        <x:f>1-I407/E407</x:f>
        <x:v>0.028343381818181856</x:v>
      </x:c>
    </x:row>
    <x:row r="408" ht="22" customHeight="1">
      <x:c r="A408" s="6" t="str">
        <x:v>合江亭</x:v>
      </x:c>
      <x:c r="B408" s="6" t="str">
        <x:v>蓝光郁金香花园广场</x:v>
      </x:c>
      <x:c r="C408" s="6" t="str">
        <x:v>1室0厅</x:v>
      </x:c>
      <x:c r="D408" s="6" t="n">
        <x:v>45.58</x:v>
      </x:c>
      <x:c r="E408" s="9" t="n">
        <x:v>110</x:v>
      </x:c>
      <x:c r="F408" s="6" t="n">
        <x:v>24133.39183852567</x:v>
      </x:c>
      <x:c r="G408" s="6" t="n">
        <x:v>24749</x:v>
      </x:c>
      <x:c r="H408" s="8" t="n">
        <x:f>F408/G408-1</x:f>
        <x:v>-0.02487406204187359</x:v>
      </x:c>
      <x:c r="I408" s="9" t="n">
        <x:f>G408*D408/10000</x:f>
        <x:v>112.80594199999999</x:v>
      </x:c>
      <x:c r="J408" s="6" t="n">
        <x:v>3</x:v>
      </x:c>
      <x:c r="K408" s="6" t="n">
        <x:v>1</x:v>
      </x:c>
      <x:c r="L408" s="6" t="str">
        <x:v>近12个月</x:v>
      </x:c>
      <x:c r="M408" s="6" t="str">
        <x:v>2026-03-02</x:v>
      </x:c>
      <x:c r="N408" s="6" t="str">
        <x:v>106117376425</x:v>
      </x:c>
      <x:c r="O408" s="6" t="str">
        <x:v>https://cd.lianjia.com/ershoufang/106117376425.html</x:v>
      </x:c>
      <x:c r="P408" s="8" t="n">
        <x:f>1-I408/E408</x:f>
        <x:v>-0.025508563636363446</x:v>
      </x:c>
    </x:row>
    <x:row r="409" ht="22" customHeight="1">
      <x:c r="A409" s="6" t="str">
        <x:v>合江亭</x:v>
      </x:c>
      <x:c r="B409" s="6" t="str">
        <x:v>锦江印象</x:v>
      </x:c>
      <x:c r="C409" s="6" t="str">
        <x:v>1室1厅</x:v>
      </x:c>
      <x:c r="D409" s="6" t="n">
        <x:v>45.65</x:v>
      </x:c>
      <x:c r="E409" s="9" t="n">
        <x:v>109</x:v>
      </x:c>
      <x:c r="F409" s="6" t="n">
        <x:v>23877.327491785323</x:v>
      </x:c>
      <x:c r="G409" s="6" t="n">
        <x:v>22077.5</x:v>
      </x:c>
      <x:c r="H409" s="8" t="n">
        <x:f>F409/G409-1</x:f>
        <x:v>0.08152315668827192</x:v>
      </x:c>
      <x:c r="I409" s="9" t="n">
        <x:f>G409*D409/10000</x:f>
        <x:v>100.7837875</x:v>
      </x:c>
      <x:c r="J409" s="6" t="n">
        <x:v>12</x:v>
      </x:c>
      <x:c r="K409" s="6" t="n">
        <x:v>2</x:v>
      </x:c>
      <x:c r="L409" s="6" t="str">
        <x:v>近12个月</x:v>
      </x:c>
      <x:c r="M409" s="6" t="str">
        <x:v>2026-04-09</x:v>
      </x:c>
      <x:c r="N409" s="6" t="str">
        <x:v>106122195452</x:v>
      </x:c>
      <x:c r="O409" s="6" t="str">
        <x:v>https://cd.lianjia.com/ershoufang/106122195452.html</x:v>
      </x:c>
      <x:c r="P409" s="8" t="n">
        <x:f>1-I409/E409</x:f>
        <x:v>0.07537809633027526</x:v>
      </x:c>
    </x:row>
    <x:row r="410" ht="22" customHeight="1">
      <x:c r="A410" s="6" t="str">
        <x:v>合江亭</x:v>
      </x:c>
      <x:c r="B410" s="6" t="str">
        <x:v>星城银座</x:v>
      </x:c>
      <x:c r="C410" s="6" t="str">
        <x:v>1室1厅</x:v>
      </x:c>
      <x:c r="D410" s="6" t="n">
        <x:v>46.8</x:v>
      </x:c>
      <x:c r="E410" s="9" t="n">
        <x:v>91.8</x:v>
      </x:c>
      <x:c r="F410" s="6" t="n">
        <x:v>19615.384615384617</x:v>
      </x:c>
      <x:c r="G410" s="6" t="n">
        <x:v>17814</x:v>
      </x:c>
      <x:c r="H410" s="8" t="n">
        <x:f>F410/G410-1</x:f>
        <x:v>0.10112184884835629</x:v>
      </x:c>
      <x:c r="I410" s="9" t="n">
        <x:f>G410*D410/10000</x:f>
        <x:v>83.36952</x:v>
      </x:c>
      <x:c r="J410" s="6" t="n">
        <x:v>6</x:v>
      </x:c>
      <x:c r="K410" s="6" t="n">
        <x:v>2</x:v>
      </x:c>
      <x:c r="L410" s="6" t="str">
        <x:v>近12个月</x:v>
      </x:c>
      <x:c r="M410" s="6" t="str">
        <x:v>2026-04-16</x:v>
      </x:c>
      <x:c r="N410" s="6" t="str">
        <x:v>106127908876</x:v>
      </x:c>
      <x:c r="O410" s="6" t="str">
        <x:v>https://cd.lianjia.com/ershoufang/106127908876.html</x:v>
      </x:c>
      <x:c r="P410" s="8" t="n">
        <x:f>1-I410/E410</x:f>
        <x:v>0.09183529411764713</x:v>
      </x:c>
    </x:row>
    <x:row r="411" ht="22" customHeight="1">
      <x:c r="A411" s="6" t="str">
        <x:v>合江亭</x:v>
      </x:c>
      <x:c r="B411" s="6" t="str">
        <x:v>喜年广场</x:v>
      </x:c>
      <x:c r="C411" s="6" t="str">
        <x:v>1室1厅</x:v>
      </x:c>
      <x:c r="D411" s="6" t="n">
        <x:v>46.77</x:v>
      </x:c>
      <x:c r="E411" s="9" t="n">
        <x:v>105</x:v>
      </x:c>
      <x:c r="F411" s="6" t="n">
        <x:v>22450.28864656831</x:v>
      </x:c>
      <x:c r="G411" s="6" t="n">
        <x:v>23566.5</x:v>
      </x:c>
      <x:c r="H411" s="8" t="n">
        <x:f>F411/G411-1</x:f>
        <x:v>-0.0473643245043468</x:v>
      </x:c>
      <x:c r="I411" s="9" t="n">
        <x:f>G411*D411/10000</x:f>
        <x:v>110.2205205</x:v>
      </x:c>
      <x:c r="J411" s="6" t="n">
        <x:v>5</x:v>
      </x:c>
      <x:c r="K411" s="6" t="n">
        <x:v>4</x:v>
      </x:c>
      <x:c r="L411" s="6" t="str">
        <x:v>近12个月</x:v>
      </x:c>
      <x:c r="M411" s="6" t="str">
        <x:v>2026-02-01</x:v>
      </x:c>
      <x:c r="N411" s="6" t="str">
        <x:v>106125735818</x:v>
      </x:c>
      <x:c r="O411" s="6" t="str">
        <x:v>https://cd.lianjia.com/ershoufang/106125735818.html</x:v>
      </x:c>
      <x:c r="P411" s="8" t="n">
        <x:f>1-I411/E411</x:f>
        <x:v>-0.04971924285714291</x:v>
      </x:c>
    </x:row>
    <x:row r="412" ht="22" customHeight="1">
      <x:c r="A412" s="6" t="str">
        <x:v>合江亭</x:v>
      </x:c>
      <x:c r="B412" s="6" t="str">
        <x:v>锦江印象</x:v>
      </x:c>
      <x:c r="C412" s="6" t="str">
        <x:v>1室1厅</x:v>
      </x:c>
      <x:c r="D412" s="6" t="n">
        <x:v>45.48</x:v>
      </x:c>
      <x:c r="E412" s="9" t="n">
        <x:v>105</x:v>
      </x:c>
      <x:c r="F412" s="6" t="n">
        <x:v>23087.071240105543</x:v>
      </x:c>
      <x:c r="G412" s="6" t="n">
        <x:v>22077.5</x:v>
      </x:c>
      <x:c r="H412" s="8" t="n">
        <x:f>F412/G412-1</x:f>
        <x:v>0.04572851274399459</x:v>
      </x:c>
      <x:c r="I412" s="9" t="n">
        <x:f>G412*D412/10000</x:f>
        <x:v>100.40847</x:v>
      </x:c>
      <x:c r="J412" s="6" t="n">
        <x:v>12</x:v>
      </x:c>
      <x:c r="K412" s="6" t="n">
        <x:v>2</x:v>
      </x:c>
      <x:c r="L412" s="6" t="str">
        <x:v>近12个月</x:v>
      </x:c>
      <x:c r="M412" s="6" t="str">
        <x:v>2026-04-09</x:v>
      </x:c>
      <x:c r="N412" s="6" t="str">
        <x:v>106127541257</x:v>
      </x:c>
      <x:c r="O412" s="6" t="str">
        <x:v>https://cd.lianjia.com/ershoufang/106127541257.html</x:v>
      </x:c>
      <x:c r="P412" s="8" t="n">
        <x:f>1-I412/E412</x:f>
        <x:v>0.043728857142857236</x:v>
      </x:c>
    </x:row>
    <x:row r="413" ht="22" customHeight="1">
      <x:c r="A413" s="6" t="str">
        <x:v>合江亭</x:v>
      </x:c>
      <x:c r="B413" s="6" t="str">
        <x:v>喜年广场</x:v>
      </x:c>
      <x:c r="C413" s="6" t="str">
        <x:v>1室0厅</x:v>
      </x:c>
      <x:c r="D413" s="6" t="n">
        <x:v>46.89</x:v>
      </x:c>
      <x:c r="E413" s="9" t="n">
        <x:v>105</x:v>
      </x:c>
      <x:c r="F413" s="6" t="n">
        <x:v>22392.83429302623</x:v>
      </x:c>
      <x:c r="G413" s="6" t="n">
        <x:v>22511</x:v>
      </x:c>
      <x:c r="H413" s="8" t="n">
        <x:f>F413/G413-1</x:f>
        <x:v>-0.005249242902304219</x:v>
      </x:c>
      <x:c r="I413" s="9" t="n">
        <x:f>G413*D413/10000</x:f>
        <x:v>105.554079</x:v>
      </x:c>
      <x:c r="J413" s="6" t="n">
        <x:v>8</x:v>
      </x:c>
      <x:c r="K413" s="6" t="n">
        <x:v>7</x:v>
      </x:c>
      <x:c r="L413" s="6" t="str">
        <x:v>近12个月</x:v>
      </x:c>
      <x:c r="M413" s="6" t="str">
        <x:v>2026-07-19</x:v>
      </x:c>
      <x:c r="N413" s="6" t="str">
        <x:v>106129332186</x:v>
      </x:c>
      <x:c r="O413" s="6" t="str">
        <x:v>https://cd.lianjia.com/ershoufang/106129332186.html</x:v>
      </x:c>
      <x:c r="P413" s="8" t="n">
        <x:f>1-I413/E413</x:f>
        <x:v>-0.005276942857142863</x:v>
      </x:c>
    </x:row>
    <x:row r="414" ht="22" customHeight="1">
      <x:c r="A414" s="6" t="str">
        <x:v>合江亭</x:v>
      </x:c>
      <x:c r="B414" s="6" t="str">
        <x:v>喜年广场</x:v>
      </x:c>
      <x:c r="C414" s="6" t="str">
        <x:v>1室0厅</x:v>
      </x:c>
      <x:c r="D414" s="6" t="n">
        <x:v>46.76</x:v>
      </x:c>
      <x:c r="E414" s="9" t="n">
        <x:v>115</x:v>
      </x:c>
      <x:c r="F414" s="6" t="n">
        <x:v>24593.669803250643</x:v>
      </x:c>
      <x:c r="G414" s="6" t="n">
        <x:v>22511</x:v>
      </x:c>
      <x:c r="H414" s="8" t="n">
        <x:f>F414/G414-1</x:f>
        <x:v>0.09251787140734047</x:v>
      </x:c>
      <x:c r="I414" s="9" t="n">
        <x:f>G414*D414/10000</x:f>
        <x:v>105.26143599999999</x:v>
      </x:c>
      <x:c r="J414" s="6" t="n">
        <x:v>8</x:v>
      </x:c>
      <x:c r="K414" s="6" t="n">
        <x:v>7</x:v>
      </x:c>
      <x:c r="L414" s="6" t="str">
        <x:v>近12个月</x:v>
      </x:c>
      <x:c r="M414" s="6" t="str">
        <x:v>2026-07-19</x:v>
      </x:c>
      <x:c r="N414" s="6" t="str">
        <x:v>106127876380</x:v>
      </x:c>
      <x:c r="O414" s="6" t="str">
        <x:v>https://cd.lianjia.com/ershoufang/106127876380.html</x:v>
      </x:c>
      <x:c r="P414" s="8" t="n">
        <x:f>1-I414/E414</x:f>
        <x:v>0.08468316521739139</x:v>
      </x:c>
    </x:row>
    <x:row r="415" ht="22" customHeight="1">
      <x:c r="A415" s="6" t="str">
        <x:v>合江亭</x:v>
      </x:c>
      <x:c r="B415" s="6" t="str">
        <x:v>喜年广场</x:v>
      </x:c>
      <x:c r="C415" s="6" t="str">
        <x:v>1室0厅</x:v>
      </x:c>
      <x:c r="D415" s="6" t="n">
        <x:v>46.57</x:v>
      </x:c>
      <x:c r="E415" s="9" t="n">
        <x:v>95</x:v>
      </x:c>
      <x:c r="F415" s="6" t="n">
        <x:v>20399.398754563023</x:v>
      </x:c>
      <x:c r="G415" s="6" t="n">
        <x:v>22511</x:v>
      </x:c>
      <x:c r="H415" s="8" t="n">
        <x:f>F415/G415-1</x:f>
        <x:v>-0.09380308495566514</x:v>
      </x:c>
      <x:c r="I415" s="9" t="n">
        <x:f>G415*D415/10000</x:f>
        <x:v>104.833727</x:v>
      </x:c>
      <x:c r="J415" s="6" t="n">
        <x:v>8</x:v>
      </x:c>
      <x:c r="K415" s="6" t="n">
        <x:v>7</x:v>
      </x:c>
      <x:c r="L415" s="6" t="str">
        <x:v>近12个月</x:v>
      </x:c>
      <x:c r="M415" s="6" t="str">
        <x:v>2026-07-19</x:v>
      </x:c>
      <x:c r="N415" s="6" t="str">
        <x:v>106129248033</x:v>
      </x:c>
      <x:c r="O415" s="6" t="str">
        <x:v>https://cd.lianjia.com/ershoufang/106129248033.html</x:v>
      </x:c>
      <x:c r="P415" s="8" t="n">
        <x:f>1-I415/E415</x:f>
        <x:v>-0.10351291578947364</x:v>
      </x:c>
    </x:row>
    <x:row r="416" ht="22" customHeight="1">
      <x:c r="A416" s="6" t="str">
        <x:v>合江亭</x:v>
      </x:c>
      <x:c r="B416" s="6" t="str">
        <x:v>锦江印象</x:v>
      </x:c>
      <x:c r="C416" s="6" t="str">
        <x:v>1室1厅</x:v>
      </x:c>
      <x:c r="D416" s="6" t="n">
        <x:v>45.78</x:v>
      </x:c>
      <x:c r="E416" s="9" t="n">
        <x:v>109</x:v>
      </x:c>
      <x:c r="F416" s="6" t="n">
        <x:v>23809.52380952381</x:v>
      </x:c>
      <x:c r="G416" s="6" t="n">
        <x:v>22077.5</x:v>
      </x:c>
      <x:c r="H416" s="8" t="n">
        <x:f>F416/G416-1</x:f>
        <x:v>0.07845199001353453</x:v>
      </x:c>
      <x:c r="I416" s="9" t="n">
        <x:f>G416*D416/10000</x:f>
        <x:v>101.070795</x:v>
      </x:c>
      <x:c r="J416" s="6" t="n">
        <x:v>12</x:v>
      </x:c>
      <x:c r="K416" s="6" t="n">
        <x:v>2</x:v>
      </x:c>
      <x:c r="L416" s="6" t="str">
        <x:v>近12个月</x:v>
      </x:c>
      <x:c r="M416" s="6" t="str">
        <x:v>2026-04-09</x:v>
      </x:c>
      <x:c r="N416" s="6" t="str">
        <x:v>106128499062</x:v>
      </x:c>
      <x:c r="O416" s="6" t="str">
        <x:v>https://cd.lianjia.com/ershoufang/106128499062.html</x:v>
      </x:c>
      <x:c r="P416" s="8" t="n">
        <x:f>1-I416/E416</x:f>
        <x:v>0.07274499999999995</x:v>
      </x:c>
    </x:row>
    <x:row r="417" ht="22" customHeight="1">
      <x:c r="A417" s="6" t="str">
        <x:v>合江亭</x:v>
      </x:c>
      <x:c r="B417" s="6" t="str">
        <x:v>喜年广场</x:v>
      </x:c>
      <x:c r="C417" s="6" t="str">
        <x:v>1室1厅</x:v>
      </x:c>
      <x:c r="D417" s="6" t="n">
        <x:v>46.89</x:v>
      </x:c>
      <x:c r="E417" s="9" t="n">
        <x:v>115</x:v>
      </x:c>
      <x:c r="F417" s="6" t="n">
        <x:v>24525.48517807635</x:v>
      </x:c>
      <x:c r="G417" s="6" t="n">
        <x:v>23566.5</x:v>
      </x:c>
      <x:c r="H417" s="8" t="n">
        <x:f>F417/G417-1</x:f>
        <x:v>0.040692728155489855</x:v>
      </x:c>
      <x:c r="I417" s="9" t="n">
        <x:f>G417*D417/10000</x:f>
        <x:v>110.5033185</x:v>
      </x:c>
      <x:c r="J417" s="6" t="n">
        <x:v>5</x:v>
      </x:c>
      <x:c r="K417" s="6" t="n">
        <x:v>4</x:v>
      </x:c>
      <x:c r="L417" s="6" t="str">
        <x:v>近12个月</x:v>
      </x:c>
      <x:c r="M417" s="6" t="str">
        <x:v>2026-02-01</x:v>
      </x:c>
      <x:c r="N417" s="6" t="str">
        <x:v>106127476091</x:v>
      </x:c>
      <x:c r="O417" s="6" t="str">
        <x:v>https://cd.lianjia.com/ershoufang/106127476091.html</x:v>
      </x:c>
      <x:c r="P417" s="8" t="n">
        <x:f>1-I417/E417</x:f>
        <x:v>0.03910157826086946</x:v>
      </x:c>
    </x:row>
    <x:row r="418" ht="22" customHeight="1">
      <x:c r="A418" s="6" t="str">
        <x:v>合江亭</x:v>
      </x:c>
      <x:c r="B418" s="6" t="str">
        <x:v>喜年广场</x:v>
      </x:c>
      <x:c r="C418" s="6" t="str">
        <x:v>1室1厅</x:v>
      </x:c>
      <x:c r="D418" s="6" t="n">
        <x:v>47.06</x:v>
      </x:c>
      <x:c r="E418" s="9" t="n">
        <x:v>115</x:v>
      </x:c>
      <x:c r="F418" s="6" t="n">
        <x:v>24436.889077773056</x:v>
      </x:c>
      <x:c r="G418" s="6" t="n">
        <x:v>23566.5</x:v>
      </x:c>
      <x:c r="H418" s="8" t="n">
        <x:f>F418/G418-1</x:f>
        <x:v>0.03693331966024038</x:v>
      </x:c>
      <x:c r="I418" s="9" t="n">
        <x:f>G418*D418/10000</x:f>
        <x:v>110.903949</x:v>
      </x:c>
      <x:c r="J418" s="6" t="n">
        <x:v>5</x:v>
      </x:c>
      <x:c r="K418" s="6" t="n">
        <x:v>4</x:v>
      </x:c>
      <x:c r="L418" s="6" t="str">
        <x:v>近12个月</x:v>
      </x:c>
      <x:c r="M418" s="6" t="str">
        <x:v>2026-02-01</x:v>
      </x:c>
      <x:c r="N418" s="6" t="str">
        <x:v>106127193850</x:v>
      </x:c>
      <x:c r="O418" s="6" t="str">
        <x:v>https://cd.lianjia.com/ershoufang/106127193850.html</x:v>
      </x:c>
      <x:c r="P418" s="8" t="n">
        <x:f>1-I418/E418</x:f>
        <x:v>0.035617834782608715</x:v>
      </x:c>
    </x:row>
    <x:row r="419" ht="22" customHeight="1">
      <x:c r="A419" s="6" t="str">
        <x:v>合江亭</x:v>
      </x:c>
      <x:c r="B419" s="6" t="str">
        <x:v>锦江印象</x:v>
      </x:c>
      <x:c r="C419" s="6" t="str">
        <x:v>1室1厅</x:v>
      </x:c>
      <x:c r="D419" s="6" t="n">
        <x:v>45.33</x:v>
      </x:c>
      <x:c r="E419" s="9" t="n">
        <x:v>99</x:v>
      </x:c>
      <x:c r="F419" s="6" t="n">
        <x:v>21839.84116479153</x:v>
      </x:c>
      <x:c r="G419" s="6" t="n">
        <x:v>22077.5</x:v>
      </x:c>
      <x:c r="H419" s="8" t="n">
        <x:f>F419/G419-1</x:f>
        <x:v>-0.010764753038544628</x:v>
      </x:c>
      <x:c r="I419" s="9" t="n">
        <x:f>G419*D419/10000</x:f>
        <x:v>100.07730749999999</x:v>
      </x:c>
      <x:c r="J419" s="6" t="n">
        <x:v>12</x:v>
      </x:c>
      <x:c r="K419" s="6" t="n">
        <x:v>2</x:v>
      </x:c>
      <x:c r="L419" s="6" t="str">
        <x:v>近12个月</x:v>
      </x:c>
      <x:c r="M419" s="6" t="str">
        <x:v>2026-04-09</x:v>
      </x:c>
      <x:c r="N419" s="6" t="str">
        <x:v>106121562330</x:v>
      </x:c>
      <x:c r="O419" s="6" t="str">
        <x:v>https://cd.lianjia.com/ershoufang/106121562330.html</x:v>
      </x:c>
      <x:c r="P419" s="8" t="n">
        <x:f>1-I419/E419</x:f>
        <x:v>-0.01088189393939376</x:v>
      </x:c>
    </x:row>
    <x:row r="420" ht="22" customHeight="1">
      <x:c r="A420" s="6" t="str">
        <x:v>合江亭</x:v>
      </x:c>
      <x:c r="B420" s="6" t="str">
        <x:v>锦上花</x:v>
      </x:c>
      <x:c r="C420" s="6" t="str">
        <x:v>1室1厅</x:v>
      </x:c>
      <x:c r="D420" s="6" t="n">
        <x:v>50</x:v>
      </x:c>
      <x:c r="E420" s="9" t="n">
        <x:v>110</x:v>
      </x:c>
      <x:c r="F420" s="6" t="n">
        <x:v>22000</x:v>
      </x:c>
      <x:c r="G420" s="6" t="n">
        <x:v>17231</x:v>
      </x:c>
      <x:c r="H420" s="8" t="n">
        <x:f>F420/G420-1</x:f>
        <x:v>0.2767686147060531</x:v>
      </x:c>
      <x:c r="I420" s="9" t="n">
        <x:f>G420*D420/10000</x:f>
        <x:v>86.155</x:v>
      </x:c>
      <x:c r="J420" s="6" t="n">
        <x:v>5</x:v>
      </x:c>
      <x:c r="K420" s="6" t="n">
        <x:v>3</x:v>
      </x:c>
      <x:c r="L420" s="6" t="str">
        <x:v>近12个月</x:v>
      </x:c>
      <x:c r="M420" s="6" t="str">
        <x:v>2026-06-20</x:v>
      </x:c>
      <x:c r="N420" s="6" t="str">
        <x:v>106127353695</x:v>
      </x:c>
      <x:c r="O420" s="6" t="str">
        <x:v>https://cd.lianjia.com/ershoufang/106127353695.html</x:v>
      </x:c>
      <x:c r="P420" s="8" t="n">
        <x:f>1-I420/E420</x:f>
        <x:v>0.21677272727272723</x:v>
      </x:c>
    </x:row>
    <x:row r="421" ht="22" customHeight="1">
      <x:c r="A421" s="6" t="str">
        <x:v>合江亭</x:v>
      </x:c>
      <x:c r="B421" s="6" t="str">
        <x:v>星城银座</x:v>
      </x:c>
      <x:c r="C421" s="6" t="str">
        <x:v>1室1厅</x:v>
      </x:c>
      <x:c r="D421" s="6" t="n">
        <x:v>46.67</x:v>
      </x:c>
      <x:c r="E421" s="9" t="n">
        <x:v>92</x:v>
      </x:c>
      <x:c r="F421" s="6" t="n">
        <x:v>19712.877651596315</x:v>
      </x:c>
      <x:c r="G421" s="6" t="n">
        <x:v>17814</x:v>
      </x:c>
      <x:c r="H421" s="8" t="n">
        <x:f>F421/G421-1</x:f>
        <x:v>0.10659468123926774</x:v>
      </x:c>
      <x:c r="I421" s="9" t="n">
        <x:f>G421*D421/10000</x:f>
        <x:v>83.137938</x:v>
      </x:c>
      <x:c r="J421" s="6" t="n">
        <x:v>6</x:v>
      </x:c>
      <x:c r="K421" s="6" t="n">
        <x:v>2</x:v>
      </x:c>
      <x:c r="L421" s="6" t="str">
        <x:v>近12个月</x:v>
      </x:c>
      <x:c r="M421" s="6" t="str">
        <x:v>2026-04-16</x:v>
      </x:c>
      <x:c r="N421" s="6" t="str">
        <x:v>106127796651</x:v>
      </x:c>
      <x:c r="O421" s="6" t="str">
        <x:v>https://cd.lianjia.com/ershoufang/106127796651.html</x:v>
      </x:c>
      <x:c r="P421" s="8" t="n">
        <x:f>1-I421/E421</x:f>
        <x:v>0.09632676086956515</x:v>
      </x:c>
    </x:row>
    <x:row r="422" ht="22" customHeight="1">
      <x:c r="A422" s="6" t="str">
        <x:v>合江亭</x:v>
      </x:c>
      <x:c r="B422" s="6" t="str">
        <x:v>锦江印象</x:v>
      </x:c>
      <x:c r="C422" s="6" t="str">
        <x:v>1室1厅</x:v>
      </x:c>
      <x:c r="D422" s="6" t="n">
        <x:v>47.47</x:v>
      </x:c>
      <x:c r="E422" s="9" t="n">
        <x:v>95</x:v>
      </x:c>
      <x:c r="F422" s="6" t="n">
        <x:v>20012.639561828524</x:v>
      </x:c>
      <x:c r="G422" s="6" t="n">
        <x:v>22077.5</x:v>
      </x:c>
      <x:c r="H422" s="8" t="n">
        <x:f>F422/G422-1</x:f>
        <x:v>-0.09352781964314238</x:v>
      </x:c>
      <x:c r="I422" s="9" t="n">
        <x:f>G422*D422/10000</x:f>
        <x:v>104.8018925</x:v>
      </x:c>
      <x:c r="J422" s="6" t="n">
        <x:v>12</x:v>
      </x:c>
      <x:c r="K422" s="6" t="n">
        <x:v>2</x:v>
      </x:c>
      <x:c r="L422" s="6" t="str">
        <x:v>近12个月</x:v>
      </x:c>
      <x:c r="M422" s="6" t="str">
        <x:v>2026-04-09</x:v>
      </x:c>
      <x:c r="N422" s="6" t="str">
        <x:v>106127037012</x:v>
      </x:c>
      <x:c r="O422" s="6" t="str">
        <x:v>https://cd.lianjia.com/ershoufang/106127037012.html</x:v>
      </x:c>
      <x:c r="P422" s="8" t="n">
        <x:f>1-I422/E422</x:f>
        <x:v>-0.1031778157894736</x:v>
      </x:c>
    </x:row>
    <x:row r="423" ht="22" customHeight="1">
      <x:c r="A423" s="6" t="str">
        <x:v>合江亭</x:v>
      </x:c>
      <x:c r="B423" s="6" t="str">
        <x:v>喜年广场</x:v>
      </x:c>
      <x:c r="C423" s="6" t="str">
        <x:v>1室0厅</x:v>
      </x:c>
      <x:c r="D423" s="6" t="n">
        <x:v>47.48</x:v>
      </x:c>
      <x:c r="E423" s="9" t="n">
        <x:v>100</x:v>
      </x:c>
      <x:c r="F423" s="6" t="n">
        <x:v>21061.49957877001</x:v>
      </x:c>
      <x:c r="G423" s="6" t="n">
        <x:v>22511</x:v>
      </x:c>
      <x:c r="H423" s="8" t="n">
        <x:f>F423/G423-1</x:f>
        <x:v>-0.06439076101594732</x:v>
      </x:c>
      <x:c r="I423" s="9" t="n">
        <x:f>G423*D423/10000</x:f>
        <x:v>106.882228</x:v>
      </x:c>
      <x:c r="J423" s="6" t="n">
        <x:v>8</x:v>
      </x:c>
      <x:c r="K423" s="6" t="n">
        <x:v>7</x:v>
      </x:c>
      <x:c r="L423" s="6" t="str">
        <x:v>近12个月</x:v>
      </x:c>
      <x:c r="M423" s="6" t="str">
        <x:v>2026-07-19</x:v>
      </x:c>
      <x:c r="N423" s="6" t="str">
        <x:v>106127475947</x:v>
      </x:c>
      <x:c r="O423" s="6" t="str">
        <x:v>https://cd.lianjia.com/ershoufang/106127475947.html</x:v>
      </x:c>
      <x:c r="P423" s="8" t="n">
        <x:f>1-I423/E423</x:f>
        <x:v>-0.06882228000000001</x:v>
      </x:c>
    </x:row>
    <x:row r="424" ht="22" customHeight="1">
      <x:c r="A424" s="6" t="str">
        <x:v>合江亭</x:v>
      </x:c>
      <x:c r="B424" s="6" t="str">
        <x:v>喜年广场</x:v>
      </x:c>
      <x:c r="C424" s="6" t="str">
        <x:v>1室1厅</x:v>
      </x:c>
      <x:c r="D424" s="6" t="n">
        <x:v>46.78</x:v>
      </x:c>
      <x:c r="E424" s="9" t="n">
        <x:v>99</x:v>
      </x:c>
      <x:c r="F424" s="6" t="n">
        <x:v>21162.89012398461</x:v>
      </x:c>
      <x:c r="G424" s="6" t="n">
        <x:v>23566.5</x:v>
      </x:c>
      <x:c r="H424" s="8" t="n">
        <x:f>F424/G424-1</x:f>
        <x:v>-0.10199265381008593</x:v>
      </x:c>
      <x:c r="I424" s="9" t="n">
        <x:f>G424*D424/10000</x:f>
        <x:v>110.24408700000001</x:v>
      </x:c>
      <x:c r="J424" s="6" t="n">
        <x:v>5</x:v>
      </x:c>
      <x:c r="K424" s="6" t="n">
        <x:v>4</x:v>
      </x:c>
      <x:c r="L424" s="6" t="str">
        <x:v>近12个月</x:v>
      </x:c>
      <x:c r="M424" s="6" t="str">
        <x:v>2026-02-01</x:v>
      </x:c>
      <x:c r="N424" s="6" t="str">
        <x:v>106129659913</x:v>
      </x:c>
      <x:c r="O424" s="6" t="str">
        <x:v>https://cd.lianjia.com/ershoufang/106129659913.html</x:v>
      </x:c>
      <x:c r="P424" s="8" t="n">
        <x:f>1-I424/E424</x:f>
        <x:v>-0.11357663636363635</x:v>
      </x:c>
    </x:row>
    <x:row r="425" ht="22" customHeight="1">
      <x:c r="A425" s="6" t="str">
        <x:v>合江亭</x:v>
      </x:c>
      <x:c r="B425" s="6" t="str">
        <x:v>喜年广场</x:v>
      </x:c>
      <x:c r="C425" s="6" t="str">
        <x:v>1室1厅</x:v>
      </x:c>
      <x:c r="D425" s="6" t="n">
        <x:v>46.89</x:v>
      </x:c>
      <x:c r="E425" s="9" t="n">
        <x:v>98</x:v>
      </x:c>
      <x:c r="F425" s="6" t="n">
        <x:v>20899.97867349115</x:v>
      </x:c>
      <x:c r="G425" s="6" t="n">
        <x:v>23566.5</x:v>
      </x:c>
      <x:c r="H425" s="8" t="n">
        <x:f>F425/G425-1</x:f>
        <x:v>-0.11314880557184348</x:v>
      </x:c>
      <x:c r="I425" s="9" t="n">
        <x:f>G425*D425/10000</x:f>
        <x:v>110.5033185</x:v>
      </x:c>
      <x:c r="J425" s="6" t="n">
        <x:v>5</x:v>
      </x:c>
      <x:c r="K425" s="6" t="n">
        <x:v>4</x:v>
      </x:c>
      <x:c r="L425" s="6" t="str">
        <x:v>近12个月</x:v>
      </x:c>
      <x:c r="M425" s="6" t="str">
        <x:v>2026-02-01</x:v>
      </x:c>
      <x:c r="N425" s="6" t="str">
        <x:v>106124598987</x:v>
      </x:c>
      <x:c r="O425" s="6" t="str">
        <x:v>https://cd.lianjia.com/ershoufang/106124598987.html</x:v>
      </x:c>
      <x:c r="P425" s="8" t="n">
        <x:f>1-I425/E425</x:f>
        <x:v>-0.12758488265306123</x:v>
      </x:c>
    </x:row>
    <x:row r="426" ht="22" customHeight="1">
      <x:c r="A426" s="6" t="str">
        <x:v>合江亭</x:v>
      </x:c>
      <x:c r="B426" s="6" t="str">
        <x:v>SOHO我的寓所</x:v>
      </x:c>
      <x:c r="C426" s="6" t="str">
        <x:v>1室1厅</x:v>
      </x:c>
      <x:c r="D426" s="6" t="n">
        <x:v>28.01</x:v>
      </x:c>
      <x:c r="E426" s="9" t="n">
        <x:v>55</x:v>
      </x:c>
      <x:c r="F426" s="6" t="n">
        <x:v>19635.844341306674</x:v>
      </x:c>
      <x:c r="G426" s="6"/>
      <x:c r="H426" s="8"/>
      <x:c r="I426" s="9"/>
      <x:c r="J426" s="6" t="n">
        <x:v>0</x:v>
      </x:c>
      <x:c r="K426" s="6" t="n">
        <x:v>0</x:v>
      </x:c>
      <x:c r="L426" s="6" t="str">
        <x:v>无可比</x:v>
      </x:c>
      <x:c r="M426" s="6" t="str"/>
      <x:c r="N426" s="6" t="str">
        <x:v>106125247948</x:v>
      </x:c>
      <x:c r="O426" s="6" t="str">
        <x:v>https://cd.lianjia.com/ershoufang/106125247948.html</x:v>
      </x:c>
      <x:c r="P426" s="8"/>
    </x:row>
    <x:row r="427" ht="22" customHeight="1">
      <x:c r="A427" s="6" t="str">
        <x:v>合江亭</x:v>
      </x:c>
      <x:c r="B427" s="6" t="str">
        <x:v>国际商务大厦</x:v>
      </x:c>
      <x:c r="C427" s="6" t="str">
        <x:v>1室1厅</x:v>
      </x:c>
      <x:c r="D427" s="6" t="n">
        <x:v>42.94</x:v>
      </x:c>
      <x:c r="E427" s="9" t="n">
        <x:v>103</x:v>
      </x:c>
      <x:c r="F427" s="6" t="n">
        <x:v>23986.958546809503</x:v>
      </x:c>
      <x:c r="G427" s="6" t="n">
        <x:v>23810</x:v>
      </x:c>
      <x:c r="H427" s="8" t="n">
        <x:f>F427/G427-1</x:f>
        <x:v>0.007432110323792651</x:v>
      </x:c>
      <x:c r="I427" s="9" t="n">
        <x:f>G427*D427/10000</x:f>
        <x:v>102.24014</x:v>
      </x:c>
      <x:c r="J427" s="6" t="n">
        <x:v>3</x:v>
      </x:c>
      <x:c r="K427" s="6" t="n">
        <x:v>0</x:v>
      </x:c>
      <x:c r="L427" s="6" t="str">
        <x:v>超过12个月</x:v>
      </x:c>
      <x:c r="M427" s="6" t="str">
        <x:v>2025-08-30</x:v>
      </x:c>
      <x:c r="N427" s="6" t="str">
        <x:v>106127954891</x:v>
      </x:c>
      <x:c r="O427" s="6" t="str">
        <x:v>https://cd.lianjia.com/ershoufang/106127954891.html</x:v>
      </x:c>
      <x:c r="P427" s="8" t="n">
        <x:f>1-I427/E427</x:f>
        <x:v>0.007377281553398118</x:v>
      </x:c>
    </x:row>
    <x:row r="428" ht="22" customHeight="1">
      <x:c r="A428" s="6" t="str">
        <x:v>合江亭</x:v>
      </x:c>
      <x:c r="B428" s="6" t="str">
        <x:v>国际商务大厦</x:v>
      </x:c>
      <x:c r="C428" s="6" t="str">
        <x:v>1室1厅</x:v>
      </x:c>
      <x:c r="D428" s="6" t="n">
        <x:v>42.94</x:v>
      </x:c>
      <x:c r="E428" s="9" t="n">
        <x:v>103</x:v>
      </x:c>
      <x:c r="F428" s="6" t="n">
        <x:v>23986.958546809503</x:v>
      </x:c>
      <x:c r="G428" s="6" t="n">
        <x:v>23810</x:v>
      </x:c>
      <x:c r="H428" s="8" t="n">
        <x:f>F428/G428-1</x:f>
        <x:v>0.007432110323792651</x:v>
      </x:c>
      <x:c r="I428" s="9" t="n">
        <x:f>G428*D428/10000</x:f>
        <x:v>102.24014</x:v>
      </x:c>
      <x:c r="J428" s="6" t="n">
        <x:v>3</x:v>
      </x:c>
      <x:c r="K428" s="6" t="n">
        <x:v>0</x:v>
      </x:c>
      <x:c r="L428" s="6" t="str">
        <x:v>超过12个月</x:v>
      </x:c>
      <x:c r="M428" s="6" t="str">
        <x:v>2025-08-30</x:v>
      </x:c>
      <x:c r="N428" s="6" t="str">
        <x:v>106127954865</x:v>
      </x:c>
      <x:c r="O428" s="6" t="str">
        <x:v>https://cd.lianjia.com/ershoufang/106127954865.html</x:v>
      </x:c>
      <x:c r="P428" s="8" t="n">
        <x:f>1-I428/E428</x:f>
        <x:v>0.007377281553398118</x:v>
      </x:c>
    </x:row>
    <x:row r="429" ht="22" customHeight="1">
      <x:c r="A429" s="6" t="str">
        <x:v>盐市口</x:v>
      </x:c>
      <x:c r="B429" s="6" t="str">
        <x:v>萧邦</x:v>
      </x:c>
      <x:c r="C429" s="6" t="str">
        <x:v>1室1厅</x:v>
      </x:c>
      <x:c r="D429" s="6" t="n">
        <x:v>49.97</x:v>
      </x:c>
      <x:c r="E429" s="9" t="n">
        <x:v>100</x:v>
      </x:c>
      <x:c r="F429" s="6" t="n">
        <x:v>20012.007204322595</x:v>
      </x:c>
      <x:c r="G429" s="6" t="n">
        <x:v>14039.5</x:v>
      </x:c>
      <x:c r="H429" s="8" t="n">
        <x:f>F429/G429-1</x:f>
        <x:v>0.42540740085634066</x:v>
      </x:c>
      <x:c r="I429" s="9" t="n">
        <x:f>G429*D429/10000</x:f>
        <x:v>70.15538149999999</x:v>
      </x:c>
      <x:c r="J429" s="6" t="n">
        <x:v>4</x:v>
      </x:c>
      <x:c r="K429" s="6" t="n">
        <x:v>2</x:v>
      </x:c>
      <x:c r="L429" s="6" t="str">
        <x:v>近12个月</x:v>
      </x:c>
      <x:c r="M429" s="6" t="str">
        <x:v>2026-04-09</x:v>
      </x:c>
      <x:c r="N429" s="6" t="str">
        <x:v>106116558642</x:v>
      </x:c>
      <x:c r="O429" s="6" t="str">
        <x:v>https://cd.lianjia.com/ershoufang/106116558642.html</x:v>
      </x:c>
      <x:c r="P429" s="8" t="n">
        <x:f>1-I429/E429</x:f>
        <x:v>0.2984461850000001</x:v>
      </x:c>
    </x:row>
    <x:row r="430" ht="22" customHeight="1">
      <x:c r="A430" s="6" t="str">
        <x:v>盐市口</x:v>
      </x:c>
      <x:c r="B430" s="6" t="str">
        <x:v>财富中心</x:v>
      </x:c>
      <x:c r="C430" s="6" t="str">
        <x:v>1室1厅</x:v>
      </x:c>
      <x:c r="D430" s="6" t="n">
        <x:v>48.36</x:v>
      </x:c>
      <x:c r="E430" s="9" t="n">
        <x:v>108</x:v>
      </x:c>
      <x:c r="F430" s="6" t="n">
        <x:v>22332.506203473946</x:v>
      </x:c>
      <x:c r="G430" s="6" t="n">
        <x:v>22678</x:v>
      </x:c>
      <x:c r="H430" s="8" t="n">
        <x:f>F430/G430-1</x:f>
        <x:v>-0.015234755998150384</x:v>
      </x:c>
      <x:c r="I430" s="9" t="n">
        <x:f>G430*D430/10000</x:f>
        <x:v>109.67080800000001</x:v>
      </x:c>
      <x:c r="J430" s="6" t="n">
        <x:v>23</x:v>
      </x:c>
      <x:c r="K430" s="6" t="n">
        <x:v>21</x:v>
      </x:c>
      <x:c r="L430" s="6" t="str">
        <x:v>近12个月</x:v>
      </x:c>
      <x:c r="M430" s="6" t="str">
        <x:v>2026-09-04</x:v>
      </x:c>
      <x:c r="N430" s="6" t="str">
        <x:v>106129709598</x:v>
      </x:c>
      <x:c r="O430" s="6" t="str">
        <x:v>https://cd.lianjia.com/ershoufang/106129709598.html</x:v>
      </x:c>
      <x:c r="P430" s="8" t="n">
        <x:f>1-I430/E430</x:f>
        <x:v>-0.015470444444444453</x:v>
      </x:c>
    </x:row>
    <x:row r="431" ht="22" customHeight="1">
      <x:c r="A431" s="6" t="str">
        <x:v>盐市口</x:v>
      </x:c>
      <x:c r="B431" s="6" t="str">
        <x:v>财富中心</x:v>
      </x:c>
      <x:c r="C431" s="6" t="str">
        <x:v>1室1厅</x:v>
      </x:c>
      <x:c r="D431" s="6" t="n">
        <x:v>49.89</x:v>
      </x:c>
      <x:c r="E431" s="9" t="n">
        <x:v>118</x:v>
      </x:c>
      <x:c r="F431" s="6" t="n">
        <x:v>23652.034475846864</x:v>
      </x:c>
      <x:c r="G431" s="6" t="n">
        <x:v>22678</x:v>
      </x:c>
      <x:c r="H431" s="8" t="n">
        <x:f>F431/G431-1</x:f>
        <x:v>0.04295063391158238</x:v>
      </x:c>
      <x:c r="I431" s="9" t="n">
        <x:f>G431*D431/10000</x:f>
        <x:v>113.140542</x:v>
      </x:c>
      <x:c r="J431" s="6" t="n">
        <x:v>23</x:v>
      </x:c>
      <x:c r="K431" s="6" t="n">
        <x:v>21</x:v>
      </x:c>
      <x:c r="L431" s="6" t="str">
        <x:v>近12个月</x:v>
      </x:c>
      <x:c r="M431" s="6" t="str">
        <x:v>2026-09-04</x:v>
      </x:c>
      <x:c r="N431" s="6" t="str">
        <x:v>106129436764</x:v>
      </x:c>
      <x:c r="O431" s="6" t="str">
        <x:v>https://cd.lianjia.com/ershoufang/106129436764.html</x:v>
      </x:c>
      <x:c r="P431" s="8" t="n">
        <x:f>1-I431/E431</x:f>
        <x:v>0.0411818474576271</x:v>
      </x:c>
    </x:row>
    <x:row r="432" ht="22" customHeight="1">
      <x:c r="A432" s="6" t="str">
        <x:v>盐市口</x:v>
      </x:c>
      <x:c r="B432" s="6" t="str">
        <x:v>美华大厦</x:v>
      </x:c>
      <x:c r="C432" s="6" t="str">
        <x:v>1室1厅</x:v>
      </x:c>
      <x:c r="D432" s="6" t="n">
        <x:v>47.35</x:v>
      </x:c>
      <x:c r="E432" s="9" t="n">
        <x:v>119</x:v>
      </x:c>
      <x:c r="F432" s="6" t="n">
        <x:v>25131.99577613516</x:v>
      </x:c>
      <x:c r="G432" s="6" t="n">
        <x:v>22709</x:v>
      </x:c>
      <x:c r="H432" s="8" t="n">
        <x:f>F432/G432-1</x:f>
        <x:v>0.10669759901955889</x:v>
      </x:c>
      <x:c r="I432" s="9" t="n">
        <x:f>G432*D432/10000</x:f>
        <x:v>107.52711500000001</x:v>
      </x:c>
      <x:c r="J432" s="6" t="n">
        <x:v>2</x:v>
      </x:c>
      <x:c r="K432" s="6" t="n">
        <x:v>1</x:v>
      </x:c>
      <x:c r="L432" s="6" t="str">
        <x:v>近12个月</x:v>
      </x:c>
      <x:c r="M432" s="6" t="str">
        <x:v>2026-07-31</x:v>
      </x:c>
      <x:c r="N432" s="6" t="str">
        <x:v>106126977680</x:v>
      </x:c>
      <x:c r="O432" s="6" t="str">
        <x:v>https://cd.lianjia.com/ershoufang/106126977680.html</x:v>
      </x:c>
      <x:c r="P432" s="8" t="n">
        <x:f>1-I432/E432</x:f>
        <x:v>0.09641079831932764</x:v>
      </x:c>
    </x:row>
    <x:row r="433" ht="22" customHeight="1">
      <x:c r="A433" s="6" t="str">
        <x:v>盐市口</x:v>
      </x:c>
      <x:c r="B433" s="6" t="str">
        <x:v>新和春禧时代</x:v>
      </x:c>
      <x:c r="C433" s="6" t="str">
        <x:v>1室0厅</x:v>
      </x:c>
      <x:c r="D433" s="6" t="n">
        <x:v>49.94</x:v>
      </x:c>
      <x:c r="E433" s="9" t="n">
        <x:v>93</x:v>
      </x:c>
      <x:c r="F433" s="6" t="n">
        <x:v>18622.346816179415</x:v>
      </x:c>
      <x:c r="G433" s="6" t="n">
        <x:v>20825</x:v>
      </x:c>
      <x:c r="H433" s="8" t="n">
        <x:f>F433/G433-1</x:f>
        <x:v>-0.10576966068766314</x:v>
      </x:c>
      <x:c r="I433" s="9" t="n">
        <x:f>G433*D433/10000</x:f>
        <x:v>104.00005</x:v>
      </x:c>
      <x:c r="J433" s="6" t="n">
        <x:v>2</x:v>
      </x:c>
      <x:c r="K433" s="6" t="n">
        <x:v>1</x:v>
      </x:c>
      <x:c r="L433" s="6" t="str">
        <x:v>近12个月</x:v>
      </x:c>
      <x:c r="M433" s="6" t="str">
        <x:v>2025-12-27</x:v>
      </x:c>
      <x:c r="N433" s="6" t="str">
        <x:v>106119573681</x:v>
      </x:c>
      <x:c r="O433" s="6" t="str">
        <x:v>https://cd.lianjia.com/ershoufang/106119573681.html</x:v>
      </x:c>
      <x:c r="P433" s="8" t="n">
        <x:f>1-I433/E433</x:f>
        <x:v>-0.11828010752688178</x:v>
      </x:c>
    </x:row>
    <x:row r="434" ht="22" customHeight="1">
      <x:c r="A434" s="6" t="str">
        <x:v>盐市口</x:v>
      </x:c>
      <x:c r="B434" s="6" t="str">
        <x:v>财富中心</x:v>
      </x:c>
      <x:c r="C434" s="6" t="str">
        <x:v>1室1厅</x:v>
      </x:c>
      <x:c r="D434" s="6" t="n">
        <x:v>47.92</x:v>
      </x:c>
      <x:c r="E434" s="9" t="n">
        <x:v>110</x:v>
      </x:c>
      <x:c r="F434" s="6" t="n">
        <x:v>22954.92487479132</x:v>
      </x:c>
      <x:c r="G434" s="6" t="n">
        <x:v>22678</x:v>
      </x:c>
      <x:c r="H434" s="8" t="n">
        <x:f>F434/G434-1</x:f>
        <x:v>0.012211168303700504</x:v>
      </x:c>
      <x:c r="I434" s="9" t="n">
        <x:f>G434*D434/10000</x:f>
        <x:v>108.672976</x:v>
      </x:c>
      <x:c r="J434" s="6" t="n">
        <x:v>23</x:v>
      </x:c>
      <x:c r="K434" s="6" t="n">
        <x:v>21</x:v>
      </x:c>
      <x:c r="L434" s="6" t="str">
        <x:v>近12个月</x:v>
      </x:c>
      <x:c r="M434" s="6" t="str">
        <x:v>2026-09-04</x:v>
      </x:c>
      <x:c r="N434" s="6" t="str">
        <x:v>106128277594</x:v>
      </x:c>
      <x:c r="O434" s="6" t="str">
        <x:v>https://cd.lianjia.com/ershoufang/106128277594.html</x:v>
      </x:c>
      <x:c r="P434" s="8" t="n">
        <x:f>1-I434/E434</x:f>
        <x:v>0.012063854545454444</x:v>
      </x:c>
    </x:row>
    <x:row r="435" ht="22" customHeight="1">
      <x:c r="A435" s="6" t="str">
        <x:v>盐市口</x:v>
      </x:c>
      <x:c r="B435" s="6" t="str">
        <x:v>美华大厦</x:v>
      </x:c>
      <x:c r="C435" s="6" t="str">
        <x:v>1室0厅</x:v>
      </x:c>
      <x:c r="D435" s="6" t="n">
        <x:v>47.35</x:v>
      </x:c>
      <x:c r="E435" s="9" t="n">
        <x:v>117</x:v>
      </x:c>
      <x:c r="F435" s="6" t="n">
        <x:v>24709.60929250264</x:v>
      </x:c>
      <x:c r="G435" s="6" t="n">
        <x:v>22387</x:v>
      </x:c>
      <x:c r="H435" s="8" t="n">
        <x:f>F435/G435-1</x:f>
        <x:v>0.10374812580973947</x:v>
      </x:c>
      <x:c r="I435" s="9" t="n">
        <x:f>G435*D435/10000</x:f>
        <x:v>106.002445</x:v>
      </x:c>
      <x:c r="J435" s="6" t="n">
        <x:v>2</x:v>
      </x:c>
      <x:c r="K435" s="6" t="n">
        <x:v>1</x:v>
      </x:c>
      <x:c r="L435" s="6" t="str">
        <x:v>近12个月</x:v>
      </x:c>
      <x:c r="M435" s="6" t="str">
        <x:v>2025-12-05</x:v>
      </x:c>
      <x:c r="N435" s="6" t="str">
        <x:v>106126454551</x:v>
      </x:c>
      <x:c r="O435" s="6" t="str">
        <x:v>https://cd.lianjia.com/ershoufang/106126454551.html</x:v>
      </x:c>
      <x:c r="P435" s="8" t="n">
        <x:f>1-I435/E435</x:f>
        <x:v>0.09399619658119662</x:v>
      </x:c>
    </x:row>
    <x:row r="436" ht="22" customHeight="1">
      <x:c r="A436" s="6" t="str">
        <x:v>盐市口</x:v>
      </x:c>
      <x:c r="B436" s="6" t="str">
        <x:v>都市驿站</x:v>
      </x:c>
      <x:c r="C436" s="6" t="str">
        <x:v>1室1厅</x:v>
      </x:c>
      <x:c r="D436" s="6" t="n">
        <x:v>49.13</x:v>
      </x:c>
      <x:c r="E436" s="9" t="n">
        <x:v>100</x:v>
      </x:c>
      <x:c r="F436" s="6" t="n">
        <x:v>20354.16242621616</x:v>
      </x:c>
      <x:c r="G436" s="6" t="n">
        <x:v>18068</x:v>
      </x:c>
      <x:c r="H436" s="8" t="n">
        <x:f>F436/G436-1</x:f>
        <x:v>0.1265310176121408</x:v>
      </x:c>
      <x:c r="I436" s="9" t="n">
        <x:f>G436*D436/10000</x:f>
        <x:v>88.768084</x:v>
      </x:c>
      <x:c r="J436" s="6" t="n">
        <x:v>21</x:v>
      </x:c>
      <x:c r="K436" s="6" t="n">
        <x:v>10</x:v>
      </x:c>
      <x:c r="L436" s="6" t="str">
        <x:v>近12个月</x:v>
      </x:c>
      <x:c r="M436" s="6" t="str">
        <x:v>2026-09-13</x:v>
      </x:c>
      <x:c r="N436" s="6" t="str">
        <x:v>106129784720</x:v>
      </x:c>
      <x:c r="O436" s="6" t="str">
        <x:v>https://cd.lianjia.com/ershoufang/106129784720.html</x:v>
      </x:c>
      <x:c r="P436" s="8" t="n">
        <x:f>1-I436/E436</x:f>
        <x:v>0.11231915999999997</x:v>
      </x:c>
    </x:row>
    <x:row r="437" ht="22" customHeight="1">
      <x:c r="A437" s="6" t="str">
        <x:v>盐市口</x:v>
      </x:c>
      <x:c r="B437" s="6" t="str">
        <x:v>弘邦领邸</x:v>
      </x:c>
      <x:c r="C437" s="6" t="str">
        <x:v>1室1厅</x:v>
      </x:c>
      <x:c r="D437" s="6" t="n">
        <x:v>42.91</x:v>
      </x:c>
      <x:c r="E437" s="9" t="n">
        <x:v>113</x:v>
      </x:c>
      <x:c r="F437" s="6" t="n">
        <x:v>26334.187835003497</x:v>
      </x:c>
      <x:c r="G437" s="6"/>
      <x:c r="H437" s="8"/>
      <x:c r="I437" s="9"/>
      <x:c r="J437" s="6" t="n">
        <x:v>0</x:v>
      </x:c>
      <x:c r="K437" s="6" t="n">
        <x:v>0</x:v>
      </x:c>
      <x:c r="L437" s="6" t="str">
        <x:v>无可比</x:v>
      </x:c>
      <x:c r="M437" s="6" t="str"/>
      <x:c r="N437" s="6" t="str">
        <x:v>106128517610</x:v>
      </x:c>
      <x:c r="O437" s="6" t="str">
        <x:v>https://cd.lianjia.com/ershoufang/106128517610.html</x:v>
      </x:c>
      <x:c r="P437" s="8"/>
    </x:row>
    <x:row r="438" ht="22" customHeight="1">
      <x:c r="A438" s="6" t="str">
        <x:v>盐市口</x:v>
      </x:c>
      <x:c r="B438" s="6" t="str">
        <x:v>阳光365</x:v>
      </x:c>
      <x:c r="C438" s="6" t="str">
        <x:v>1室0厅</x:v>
      </x:c>
      <x:c r="D438" s="6" t="n">
        <x:v>33.11</x:v>
      </x:c>
      <x:c r="E438" s="9" t="n">
        <x:v>115</x:v>
      </x:c>
      <x:c r="F438" s="6" t="n">
        <x:v>34732.7091513138</x:v>
      </x:c>
      <x:c r="G438" s="6" t="n">
        <x:v>33525</x:v>
      </x:c>
      <x:c r="H438" s="8" t="n">
        <x:f>F438/G438-1</x:f>
        <x:v>0.036024135758800924</x:v>
      </x:c>
      <x:c r="I438" s="9" t="n">
        <x:f>G438*D438/10000</x:f>
        <x:v>111.001275</x:v>
      </x:c>
      <x:c r="J438" s="6" t="n">
        <x:v>10</x:v>
      </x:c>
      <x:c r="K438" s="6" t="n">
        <x:v>0</x:v>
      </x:c>
      <x:c r="L438" s="6" t="str">
        <x:v>超过12个月</x:v>
      </x:c>
      <x:c r="M438" s="6" t="str">
        <x:v>2025-08-13</x:v>
      </x:c>
      <x:c r="N438" s="6" t="str">
        <x:v>106126679280</x:v>
      </x:c>
      <x:c r="O438" s="6" t="str">
        <x:v>https://cd.lianjia.com/ershoufang/106126679280.html</x:v>
      </x:c>
      <x:c r="P438" s="8" t="n">
        <x:f>1-I438/E438</x:f>
        <x:v>0.03477152173913034</x:v>
      </x:c>
    </x:row>
    <x:row r="439" ht="22" customHeight="1">
      <x:c r="A439" s="6" t="str">
        <x:v>盐市口</x:v>
      </x:c>
      <x:c r="B439" s="6" t="str">
        <x:v>财富中心</x:v>
      </x:c>
      <x:c r="C439" s="6" t="str">
        <x:v>1室0厅</x:v>
      </x:c>
      <x:c r="D439" s="6" t="n">
        <x:v>33.85</x:v>
      </x:c>
      <x:c r="E439" s="9" t="n">
        <x:v>99</x:v>
      </x:c>
      <x:c r="F439" s="6" t="n">
        <x:v>29246.676514032493</x:v>
      </x:c>
      <x:c r="G439" s="6" t="n">
        <x:v>29358.5</x:v>
      </x:c>
      <x:c r="H439" s="8" t="n">
        <x:f>F439/G439-1</x:f>
        <x:v>-0.003808896434337794</x:v>
      </x:c>
      <x:c r="I439" s="9" t="n">
        <x:f>G439*D439/10000</x:f>
        <x:v>99.3785225</x:v>
      </x:c>
      <x:c r="J439" s="6" t="n">
        <x:v>15</x:v>
      </x:c>
      <x:c r="K439" s="6" t="n">
        <x:v>4</x:v>
      </x:c>
      <x:c r="L439" s="6" t="str">
        <x:v>近12个月</x:v>
      </x:c>
      <x:c r="M439" s="6" t="str">
        <x:v>2026-07-15</x:v>
      </x:c>
      <x:c r="N439" s="6" t="str">
        <x:v>106125998563</x:v>
      </x:c>
      <x:c r="O439" s="6" t="str">
        <x:v>https://cd.lianjia.com/ershoufang/106125998563.html</x:v>
      </x:c>
      <x:c r="P439" s="8" t="n">
        <x:f>1-I439/E439</x:f>
        <x:v>-0.003823459595959644</x:v>
      </x:c>
    </x:row>
    <x:row r="440" ht="22" customHeight="1">
      <x:c r="A440" s="6" t="str">
        <x:v>盐市口</x:v>
      </x:c>
      <x:c r="B440" s="6" t="str">
        <x:v>财富中心</x:v>
      </x:c>
      <x:c r="C440" s="6" t="str">
        <x:v>1室0厅</x:v>
      </x:c>
      <x:c r="D440" s="6" t="n">
        <x:v>29.14</x:v>
      </x:c>
      <x:c r="E440" s="9" t="n">
        <x:v>113</x:v>
      </x:c>
      <x:c r="F440" s="6" t="n">
        <x:v>38778.31159917639</x:v>
      </x:c>
      <x:c r="G440" s="6" t="n">
        <x:v>29442</x:v>
      </x:c>
      <x:c r="H440" s="8" t="n">
        <x:f>F440/G440-1</x:f>
        <x:v>0.31710860672428476</x:v>
      </x:c>
      <x:c r="I440" s="9" t="n">
        <x:f>G440*D440/10000</x:f>
        <x:v>85.793988</x:v>
      </x:c>
      <x:c r="J440" s="6" t="n">
        <x:v>15</x:v>
      </x:c>
      <x:c r="K440" s="6" t="n">
        <x:v>3</x:v>
      </x:c>
      <x:c r="L440" s="6" t="str">
        <x:v>近12个月</x:v>
      </x:c>
      <x:c r="M440" s="6" t="str">
        <x:v>2026-07-15</x:v>
      </x:c>
      <x:c r="N440" s="6" t="str">
        <x:v>106121418722</x:v>
      </x:c>
      <x:c r="O440" s="6" t="str">
        <x:v>https://cd.lianjia.com/ershoufang/106121418722.html</x:v>
      </x:c>
      <x:c r="P440" s="8" t="n">
        <x:f>1-I440/E440</x:f>
        <x:v>0.24076116814159298</x:v>
      </x:c>
    </x:row>
    <x:row r="441" ht="22" customHeight="1">
      <x:c r="A441" s="6" t="str">
        <x:v>盐市口</x:v>
      </x:c>
      <x:c r="B441" s="6" t="str">
        <x:v>财富中心</x:v>
      </x:c>
      <x:c r="C441" s="6" t="str">
        <x:v>1室0厅</x:v>
      </x:c>
      <x:c r="D441" s="6" t="n">
        <x:v>33.42</x:v>
      </x:c>
      <x:c r="E441" s="9" t="n">
        <x:v>112</x:v>
      </x:c>
      <x:c r="F441" s="6" t="n">
        <x:v>33512.86654697786</x:v>
      </x:c>
      <x:c r="G441" s="6" t="n">
        <x:v>29358.5</x:v>
      </x:c>
      <x:c r="H441" s="8" t="n">
        <x:f>F441/G441-1</x:f>
        <x:v>0.14150472765903777</x:v>
      </x:c>
      <x:c r="I441" s="9" t="n">
        <x:f>G441*D441/10000</x:f>
        <x:v>98.116107</x:v>
      </x:c>
      <x:c r="J441" s="6" t="n">
        <x:v>15</x:v>
      </x:c>
      <x:c r="K441" s="6" t="n">
        <x:v>4</x:v>
      </x:c>
      <x:c r="L441" s="6" t="str">
        <x:v>近12个月</x:v>
      </x:c>
      <x:c r="M441" s="6" t="str">
        <x:v>2026-07-15</x:v>
      </x:c>
      <x:c r="N441" s="6" t="str">
        <x:v>106125677866</x:v>
      </x:c>
      <x:c r="O441" s="6" t="str">
        <x:v>https://cd.lianjia.com/ershoufang/106125677866.html</x:v>
      </x:c>
      <x:c r="P441" s="8" t="n">
        <x:f>1-I441/E441</x:f>
        <x:v>0.12396333035714291</x:v>
      </x:c>
    </x:row>
    <x:row r="442" ht="22" customHeight="1">
      <x:c r="A442" s="6" t="str">
        <x:v>盐市口</x:v>
      </x:c>
      <x:c r="B442" s="6" t="str">
        <x:v>财富中心</x:v>
      </x:c>
      <x:c r="C442" s="6" t="str">
        <x:v>1室0厅</x:v>
      </x:c>
      <x:c r="D442" s="6" t="n">
        <x:v>28.27</x:v>
      </x:c>
      <x:c r="E442" s="9" t="n">
        <x:v>106</x:v>
      </x:c>
      <x:c r="F442" s="6" t="n">
        <x:v>37495.57835160948</x:v>
      </x:c>
      <x:c r="G442" s="6" t="n">
        <x:v>32018</x:v>
      </x:c>
      <x:c r="H442" s="8" t="n">
        <x:f>F442/G442-1</x:f>
        <x:v>0.171078092061012</x:v>
      </x:c>
      <x:c r="I442" s="9" t="n">
        <x:f>G442*D442/10000</x:f>
        <x:v>90.514886</x:v>
      </x:c>
      <x:c r="J442" s="6" t="n">
        <x:v>12</x:v>
      </x:c>
      <x:c r="K442" s="6" t="n">
        <x:v>3</x:v>
      </x:c>
      <x:c r="L442" s="6" t="str">
        <x:v>近12个月</x:v>
      </x:c>
      <x:c r="M442" s="6" t="str">
        <x:v>2026-07-15</x:v>
      </x:c>
      <x:c r="N442" s="6" t="str">
        <x:v>106126966367</x:v>
      </x:c>
      <x:c r="O442" s="6" t="str">
        <x:v>https://cd.lianjia.com/ershoufang/106126966367.html</x:v>
      </x:c>
      <x:c r="P442" s="8" t="n">
        <x:f>1-I442/E442</x:f>
        <x:v>0.14608598113207538</x:v>
      </x:c>
    </x:row>
    <x:row r="443" ht="22" customHeight="1">
      <x:c r="A443" s="6" t="str">
        <x:v>盐市口</x:v>
      </x:c>
      <x:c r="B443" s="6" t="str">
        <x:v>都市驿站</x:v>
      </x:c>
      <x:c r="C443" s="6" t="str">
        <x:v>1室1厅</x:v>
      </x:c>
      <x:c r="D443" s="6" t="n">
        <x:v>44.21</x:v>
      </x:c>
      <x:c r="E443" s="9" t="n">
        <x:v>99</x:v>
      </x:c>
      <x:c r="F443" s="6" t="n">
        <x:v>22393.123727663424</x:v>
      </x:c>
      <x:c r="G443" s="6" t="n">
        <x:v>18122</x:v>
      </x:c>
      <x:c r="H443" s="8" t="n">
        <x:f>F443/G443-1</x:f>
        <x:v>0.23568721596200337</x:v>
      </x:c>
      <x:c r="I443" s="9" t="n">
        <x:f>G443*D443/10000</x:f>
        <x:v>80.117362</x:v>
      </x:c>
      <x:c r="J443" s="6" t="n">
        <x:v>20</x:v>
      </x:c>
      <x:c r="K443" s="6" t="n">
        <x:v>9</x:v>
      </x:c>
      <x:c r="L443" s="6" t="str">
        <x:v>近12个月</x:v>
      </x:c>
      <x:c r="M443" s="6" t="str">
        <x:v>2026-09-13</x:v>
      </x:c>
      <x:c r="N443" s="6" t="str">
        <x:v>106128319301</x:v>
      </x:c>
      <x:c r="O443" s="6" t="str">
        <x:v>https://cd.lianjia.com/ershoufang/106128319301.html</x:v>
      </x:c>
      <x:c r="P443" s="8" t="n">
        <x:f>1-I443/E443</x:f>
        <x:v>0.19073371717171717</x:v>
      </x:c>
    </x:row>
    <x:row r="444" ht="22" customHeight="1">
      <x:c r="A444" s="6" t="str">
        <x:v>盐市口</x:v>
      </x:c>
      <x:c r="B444" s="6" t="str">
        <x:v>财富中心</x:v>
      </x:c>
      <x:c r="C444" s="6" t="str">
        <x:v>1室0厅</x:v>
      </x:c>
      <x:c r="D444" s="6" t="n">
        <x:v>30.71</x:v>
      </x:c>
      <x:c r="E444" s="9" t="n">
        <x:v>114.5</x:v>
      </x:c>
      <x:c r="F444" s="6" t="n">
        <x:v>37284.27222403126</x:v>
      </x:c>
      <x:c r="G444" s="6" t="n">
        <x:v>29358.5</x:v>
      </x:c>
      <x:c r="H444" s="8" t="n">
        <x:f>F444/G444-1</x:f>
        <x:v>0.26996516252639813</x:v>
      </x:c>
      <x:c r="I444" s="9" t="n">
        <x:f>G444*D444/10000</x:f>
        <x:v>90.1599535</x:v>
      </x:c>
      <x:c r="J444" s="6" t="n">
        <x:v>16</x:v>
      </x:c>
      <x:c r="K444" s="6" t="n">
        <x:v>4</x:v>
      </x:c>
      <x:c r="L444" s="6" t="str">
        <x:v>近12个月</x:v>
      </x:c>
      <x:c r="M444" s="6" t="str">
        <x:v>2026-07-15</x:v>
      </x:c>
      <x:c r="N444" s="6" t="str">
        <x:v>106122279734</x:v>
      </x:c>
      <x:c r="O444" s="6" t="str">
        <x:v>https://cd.lianjia.com/ershoufang/106122279734.html</x:v>
      </x:c>
      <x:c r="P444" s="8" t="n">
        <x:f>1-I444/E444</x:f>
        <x:v>0.21257682532751088</x:v>
      </x:c>
    </x:row>
    <x:row r="445" ht="22" customHeight="1">
      <x:c r="A445" s="6" t="str">
        <x:v>盐市口</x:v>
      </x:c>
      <x:c r="B445" s="6" t="str">
        <x:v>城市理想</x:v>
      </x:c>
      <x:c r="C445" s="6" t="str">
        <x:v>1室1厅</x:v>
      </x:c>
      <x:c r="D445" s="6" t="n">
        <x:v>40.13</x:v>
      </x:c>
      <x:c r="E445" s="9" t="n">
        <x:v>99</x:v>
      </x:c>
      <x:c r="F445" s="6" t="n">
        <x:v>24669.82307500623</x:v>
      </x:c>
      <x:c r="G445" s="6" t="n">
        <x:v>22269</x:v>
      </x:c>
      <x:c r="H445" s="8" t="n">
        <x:f>F445/G445-1</x:f>
        <x:v>0.10781009811874043</x:v>
      </x:c>
      <x:c r="I445" s="9" t="n">
        <x:f>G445*D445/10000</x:f>
        <x:v>89.365497</x:v>
      </x:c>
      <x:c r="J445" s="6" t="n">
        <x:v>2</x:v>
      </x:c>
      <x:c r="K445" s="6" t="n">
        <x:v>1</x:v>
      </x:c>
      <x:c r="L445" s="6" t="str">
        <x:v>近12个月</x:v>
      </x:c>
      <x:c r="M445" s="6" t="str">
        <x:v>2026-07-05</x:v>
      </x:c>
      <x:c r="N445" s="6" t="str">
        <x:v>106127127739</x:v>
      </x:c>
      <x:c r="O445" s="6" t="str">
        <x:v>https://cd.lianjia.com/ershoufang/106127127739.html</x:v>
      </x:c>
      <x:c r="P445" s="8" t="n">
        <x:f>1-I445/E445</x:f>
        <x:v>0.09731821212121206</x:v>
      </x:c>
    </x:row>
    <x:row r="446" ht="22" customHeight="1">
      <x:c r="A446" s="6" t="str">
        <x:v>盐市口</x:v>
      </x:c>
      <x:c r="B446" s="6" t="str">
        <x:v>财富中心</x:v>
      </x:c>
      <x:c r="C446" s="6" t="str">
        <x:v>1室0厅</x:v>
      </x:c>
      <x:c r="D446" s="6" t="n">
        <x:v>29.4</x:v>
      </x:c>
      <x:c r="E446" s="9" t="n">
        <x:v>94</x:v>
      </x:c>
      <x:c r="F446" s="6" t="n">
        <x:v>31972.78911564626</x:v>
      </x:c>
      <x:c r="G446" s="6" t="n">
        <x:v>29442</x:v>
      </x:c>
      <x:c r="H446" s="8" t="n">
        <x:f>F446/G446-1</x:f>
        <x:v>0.08595846463033285</x:v>
      </x:c>
      <x:c r="I446" s="9" t="n">
        <x:f>G446*D446/10000</x:f>
        <x:v>86.55948</x:v>
      </x:c>
      <x:c r="J446" s="6" t="n">
        <x:v>15</x:v>
      </x:c>
      <x:c r="K446" s="6" t="n">
        <x:v>3</x:v>
      </x:c>
      <x:c r="L446" s="6" t="str">
        <x:v>近12个月</x:v>
      </x:c>
      <x:c r="M446" s="6" t="str">
        <x:v>2026-07-15</x:v>
      </x:c>
      <x:c r="N446" s="6" t="str">
        <x:v>106127807615</x:v>
      </x:c>
      <x:c r="O446" s="6" t="str">
        <x:v>https://cd.lianjia.com/ershoufang/106127807615.html</x:v>
      </x:c>
      <x:c r="P446" s="8" t="n">
        <x:f>1-I446/E446</x:f>
        <x:v>0.0791544680851064</x:v>
      </x:c>
    </x:row>
    <x:row r="447" ht="22" customHeight="1">
      <x:c r="A447" s="6" t="str">
        <x:v>盐市口</x:v>
      </x:c>
      <x:c r="B447" s="6" t="str">
        <x:v>阳光365</x:v>
      </x:c>
      <x:c r="C447" s="6" t="str">
        <x:v>1室0厅</x:v>
      </x:c>
      <x:c r="D447" s="6" t="n">
        <x:v>33.51</x:v>
      </x:c>
      <x:c r="E447" s="9" t="n">
        <x:v>102</x:v>
      </x:c>
      <x:c r="F447" s="6" t="n">
        <x:v>30438.67502238138</x:v>
      </x:c>
      <x:c r="G447" s="6" t="n">
        <x:v>33525</x:v>
      </x:c>
      <x:c r="H447" s="8" t="n">
        <x:f>F447/G447-1</x:f>
        <x:v>-0.09206040201696108</x:v>
      </x:c>
      <x:c r="I447" s="9" t="n">
        <x:f>G447*D447/10000</x:f>
        <x:v>112.342275</x:v>
      </x:c>
      <x:c r="J447" s="6" t="n">
        <x:v>10</x:v>
      </x:c>
      <x:c r="K447" s="6" t="n">
        <x:v>0</x:v>
      </x:c>
      <x:c r="L447" s="6" t="str">
        <x:v>超过12个月</x:v>
      </x:c>
      <x:c r="M447" s="6" t="str">
        <x:v>2025-08-13</x:v>
      </x:c>
      <x:c r="N447" s="6" t="str">
        <x:v>106126110669</x:v>
      </x:c>
      <x:c r="O447" s="6" t="str">
        <x:v>https://cd.lianjia.com/ershoufang/106126110669.html</x:v>
      </x:c>
      <x:c r="P447" s="8" t="n">
        <x:f>1-I447/E447</x:f>
        <x:v>-0.10139485294117656</x:v>
      </x:c>
    </x:row>
    <x:row r="448" ht="22" customHeight="1">
      <x:c r="A448" s="6" t="str">
        <x:v>盐市口</x:v>
      </x:c>
      <x:c r="B448" s="6" t="str">
        <x:v>新和春禧时代</x:v>
      </x:c>
      <x:c r="C448" s="6" t="str">
        <x:v>1室0厅</x:v>
      </x:c>
      <x:c r="D448" s="6" t="n">
        <x:v>39.16</x:v>
      </x:c>
      <x:c r="E448" s="9" t="n">
        <x:v>100</x:v>
      </x:c>
      <x:c r="F448" s="6" t="n">
        <x:v>25536.261491317673</x:v>
      </x:c>
      <x:c r="G448" s="6" t="n">
        <x:v>24260</x:v>
      </x:c>
      <x:c r="H448" s="8" t="n">
        <x:f>F448/G448-1</x:f>
        <x:v>0.05260764597352319</x:v>
      </x:c>
      <x:c r="I448" s="9" t="n">
        <x:f>G448*D448/10000</x:f>
        <x:v>95.00215999999999</x:v>
      </x:c>
      <x:c r="J448" s="6" t="n">
        <x:v>2</x:v>
      </x:c>
      <x:c r="K448" s="6" t="n">
        <x:v>1</x:v>
      </x:c>
      <x:c r="L448" s="6" t="str">
        <x:v>近12个月</x:v>
      </x:c>
      <x:c r="M448" s="6" t="str">
        <x:v>2025-12-23</x:v>
      </x:c>
      <x:c r="N448" s="6" t="str">
        <x:v>106113397448</x:v>
      </x:c>
      <x:c r="O448" s="6" t="str">
        <x:v>https://cd.lianjia.com/ershoufang/106113397448.html</x:v>
      </x:c>
      <x:c r="P448" s="8" t="n">
        <x:f>1-I448/E448</x:f>
        <x:v>0.04997840000000009</x:v>
      </x:c>
    </x:row>
    <x:row r="449" ht="22" customHeight="1">
      <x:c r="A449" s="6" t="str">
        <x:v>合江亭</x:v>
      </x:c>
      <x:c r="B449" s="6" t="str">
        <x:v>锦上花</x:v>
      </x:c>
      <x:c r="C449" s="6" t="str">
        <x:v>1室1厅</x:v>
      </x:c>
      <x:c r="D449" s="6" t="n">
        <x:v>44.46</x:v>
      </x:c>
      <x:c r="E449" s="9" t="n">
        <x:v>92</x:v>
      </x:c>
      <x:c r="F449" s="6" t="n">
        <x:v>20692.757534862798</x:v>
      </x:c>
      <x:c r="G449" s="6" t="n">
        <x:v>18444</x:v>
      </x:c>
      <x:c r="H449" s="8" t="n">
        <x:f>F449/G449-1</x:f>
        <x:v>0.1219235271558663</x:v>
      </x:c>
      <x:c r="I449" s="9" t="n">
        <x:f>G449*D449/10000</x:f>
        <x:v>82.002024</x:v>
      </x:c>
      <x:c r="J449" s="6" t="n">
        <x:v>7</x:v>
      </x:c>
      <x:c r="K449" s="6" t="n">
        <x:v>5</x:v>
      </x:c>
      <x:c r="L449" s="6" t="str">
        <x:v>近12个月</x:v>
      </x:c>
      <x:c r="M449" s="6" t="str">
        <x:v>2026-08-22</x:v>
      </x:c>
      <x:c r="N449" s="6" t="str">
        <x:v>106127708451</x:v>
      </x:c>
      <x:c r="O449" s="6" t="str">
        <x:v>https://cd.lianjia.com/ershoufang/106127708451.html</x:v>
      </x:c>
      <x:c r="P449" s="8" t="n">
        <x:f>1-I449/E449</x:f>
        <x:v>0.108673652173913</x:v>
      </x:c>
    </x:row>
    <x:row r="450" ht="22" customHeight="1">
      <x:c r="A450" s="6" t="str">
        <x:v>合江亭</x:v>
      </x:c>
      <x:c r="B450" s="6" t="str">
        <x:v>蓝光时代华章</x:v>
      </x:c>
      <x:c r="C450" s="6" t="str">
        <x:v>1室0厅</x:v>
      </x:c>
      <x:c r="D450" s="6" t="n">
        <x:v>32.22</x:v>
      </x:c>
      <x:c r="E450" s="9" t="n">
        <x:v>94</x:v>
      </x:c>
      <x:c r="F450" s="6" t="n">
        <x:v>29174.425822470515</x:v>
      </x:c>
      <x:c r="G450" s="6" t="n">
        <x:v>26227</x:v>
      </x:c>
      <x:c r="H450" s="8" t="n">
        <x:f>F450/G450-1</x:f>
        <x:v>0.1123813559488509</x:v>
      </x:c>
      <x:c r="I450" s="9" t="n">
        <x:f>G450*D450/10000</x:f>
        <x:v>84.503394</x:v>
      </x:c>
      <x:c r="J450" s="6" t="n">
        <x:v>2</x:v>
      </x:c>
      <x:c r="K450" s="6" t="n">
        <x:v>1</x:v>
      </x:c>
      <x:c r="L450" s="6" t="str">
        <x:v>近12个月</x:v>
      </x:c>
      <x:c r="M450" s="6" t="str">
        <x:v>2025-12-07</x:v>
      </x:c>
      <x:c r="N450" s="6" t="str">
        <x:v>106127025537</x:v>
      </x:c>
      <x:c r="O450" s="6" t="str">
        <x:v>https://cd.lianjia.com/ershoufang/106127025537.html</x:v>
      </x:c>
      <x:c r="P450" s="8" t="n">
        <x:f>1-I450/E450</x:f>
        <x:v>0.10102772340425537</x:v>
      </x:c>
    </x:row>
    <x:row r="451" ht="22" customHeight="1">
      <x:c r="A451" s="6" t="str">
        <x:v>合江亭</x:v>
      </x:c>
      <x:c r="B451" s="6" t="str">
        <x:v>星城银座</x:v>
      </x:c>
      <x:c r="C451" s="6" t="str">
        <x:v>1室1厅</x:v>
      </x:c>
      <x:c r="D451" s="6" t="n">
        <x:v>44.39</x:v>
      </x:c>
      <x:c r="E451" s="9" t="n">
        <x:v>95</x:v>
      </x:c>
      <x:c r="F451" s="6" t="n">
        <x:v>21401.216490200495</x:v>
      </x:c>
      <x:c r="G451" s="6" t="n">
        <x:v>17298</x:v>
      </x:c>
      <x:c r="H451" s="8" t="n">
        <x:f>F451/G451-1</x:f>
        <x:v>0.2372075667823157</x:v>
      </x:c>
      <x:c r="I451" s="9" t="n">
        <x:f>G451*D451/10000</x:f>
        <x:v>76.785822</x:v>
      </x:c>
      <x:c r="J451" s="6" t="n">
        <x:v>3</x:v>
      </x:c>
      <x:c r="K451" s="6" t="n">
        <x:v>1</x:v>
      </x:c>
      <x:c r="L451" s="6" t="str">
        <x:v>近12个月</x:v>
      </x:c>
      <x:c r="M451" s="6" t="str">
        <x:v>2026-04-16</x:v>
      </x:c>
      <x:c r="N451" s="6" t="str">
        <x:v>106126519346</x:v>
      </x:c>
      <x:c r="O451" s="6" t="str">
        <x:v>https://cd.lianjia.com/ershoufang/106126519346.html</x:v>
      </x:c>
      <x:c r="P451" s="8" t="n">
        <x:f>1-I451/E451</x:f>
        <x:v>0.1917281894736843</x:v>
      </x:c>
    </x:row>
    <x:row r="452" ht="22" customHeight="1">
      <x:c r="A452" s="6" t="str">
        <x:v>合江亭</x:v>
      </x:c>
      <x:c r="B452" s="6" t="str">
        <x:v>星城银座</x:v>
      </x:c>
      <x:c r="C452" s="6" t="str">
        <x:v>1室1厅</x:v>
      </x:c>
      <x:c r="D452" s="6" t="n">
        <x:v>42.57</x:v>
      </x:c>
      <x:c r="E452" s="9" t="n">
        <x:v>108</x:v>
      </x:c>
      <x:c r="F452" s="6" t="n">
        <x:v>25369.97885835095</x:v>
      </x:c>
      <x:c r="G452" s="6" t="n">
        <x:v>21634.5</x:v>
      </x:c>
      <x:c r="H452" s="8" t="n">
        <x:f>F452/G452-1</x:f>
        <x:v>0.17266305476673605</x:v>
      </x:c>
      <x:c r="I452" s="9" t="n">
        <x:f>G452*D452/10000</x:f>
        <x:v>92.0980665</x:v>
      </x:c>
      <x:c r="J452" s="6" t="n">
        <x:v>4</x:v>
      </x:c>
      <x:c r="K452" s="6" t="n">
        <x:v>2</x:v>
      </x:c>
      <x:c r="L452" s="6" t="str">
        <x:v>近12个月</x:v>
      </x:c>
      <x:c r="M452" s="6" t="str">
        <x:v>2026-04-16</x:v>
      </x:c>
      <x:c r="N452" s="6" t="str">
        <x:v>106128674544</x:v>
      </x:c>
      <x:c r="O452" s="6" t="str">
        <x:v>https://cd.lianjia.com/ershoufang/106128674544.html</x:v>
      </x:c>
      <x:c r="P452" s="8" t="n">
        <x:f>1-I452/E452</x:f>
        <x:v>0.14724012499999994</x:v>
      </x:c>
    </x:row>
    <x:row r="453" ht="22" customHeight="1">
      <x:c r="A453" s="6" t="str">
        <x:v>合江亭</x:v>
      </x:c>
      <x:c r="B453" s="6" t="str">
        <x:v>蓝光时代华章</x:v>
      </x:c>
      <x:c r="C453" s="6" t="str">
        <x:v>1室1厅</x:v>
      </x:c>
      <x:c r="D453" s="6" t="n">
        <x:v>40.75</x:v>
      </x:c>
      <x:c r="E453" s="9" t="n">
        <x:v>91</x:v>
      </x:c>
      <x:c r="F453" s="6" t="n">
        <x:v>22331.28834355828</x:v>
      </x:c>
      <x:c r="G453" s="6" t="n">
        <x:v>21003</x:v>
      </x:c>
      <x:c r="H453" s="8" t="n">
        <x:f>F453/G453-1</x:f>
        <x:v>0.06324279119927056</x:v>
      </x:c>
      <x:c r="I453" s="9" t="n">
        <x:f>G453*D453/10000</x:f>
        <x:v>85.587225</x:v>
      </x:c>
      <x:c r="J453" s="6" t="n">
        <x:v>13</x:v>
      </x:c>
      <x:c r="K453" s="6" t="n">
        <x:v>4</x:v>
      </x:c>
      <x:c r="L453" s="6" t="str">
        <x:v>近12个月</x:v>
      </x:c>
      <x:c r="M453" s="6" t="str">
        <x:v>2026-09-20</x:v>
      </x:c>
      <x:c r="N453" s="6" t="str">
        <x:v>106127952151</x:v>
      </x:c>
      <x:c r="O453" s="6" t="str">
        <x:v>https://cd.lianjia.com/ershoufang/106127952151.html</x:v>
      </x:c>
      <x:c r="P453" s="8" t="n">
        <x:f>1-I453/E453</x:f>
        <x:v>0.05948104395604392</x:v>
      </x:c>
    </x:row>
    <x:row r="454" ht="22" customHeight="1">
      <x:c r="A454" s="6" t="str">
        <x:v>合江亭</x:v>
      </x:c>
      <x:c r="B454" s="6" t="str">
        <x:v>蓝光郁金香花园广场</x:v>
      </x:c>
      <x:c r="C454" s="6" t="str">
        <x:v>1室0厅</x:v>
      </x:c>
      <x:c r="D454" s="6" t="n">
        <x:v>41.41</x:v>
      </x:c>
      <x:c r="E454" s="9" t="n">
        <x:v>104</x:v>
      </x:c>
      <x:c r="F454" s="6" t="n">
        <x:v>25114.706592610484</x:v>
      </x:c>
      <x:c r="G454" s="6" t="n">
        <x:v>24749</x:v>
      </x:c>
      <x:c r="H454" s="8" t="n">
        <x:f>F454/G454-1</x:f>
        <x:v>0.014776620979048971</x:v>
      </x:c>
      <x:c r="I454" s="9" t="n">
        <x:f>G454*D454/10000</x:f>
        <x:v>102.485609</x:v>
      </x:c>
      <x:c r="J454" s="6" t="n">
        <x:v>3</x:v>
      </x:c>
      <x:c r="K454" s="6" t="n">
        <x:v>1</x:v>
      </x:c>
      <x:c r="L454" s="6" t="str">
        <x:v>近12个月</x:v>
      </x:c>
      <x:c r="M454" s="6" t="str">
        <x:v>2026-03-02</x:v>
      </x:c>
      <x:c r="N454" s="6" t="str">
        <x:v>106123800752</x:v>
      </x:c>
      <x:c r="O454" s="6" t="str">
        <x:v>https://cd.lianjia.com/ershoufang/106123800752.html</x:v>
      </x:c>
      <x:c r="P454" s="8" t="n">
        <x:f>1-I454/E454</x:f>
        <x:v>0.014561451923077007</x:v>
      </x:c>
    </x:row>
    <x:row r="455" ht="22" customHeight="1">
      <x:c r="A455" s="6" t="str">
        <x:v>合江亭</x:v>
      </x:c>
      <x:c r="B455" s="6" t="str">
        <x:v>星城银座</x:v>
      </x:c>
      <x:c r="C455" s="6" t="str">
        <x:v>1室0厅</x:v>
      </x:c>
      <x:c r="D455" s="6" t="n">
        <x:v>29.44</x:v>
      </x:c>
      <x:c r="E455" s="9" t="n">
        <x:v>94</x:v>
      </x:c>
      <x:c r="F455" s="6" t="n">
        <x:v>31929.347826086956</x:v>
      </x:c>
      <x:c r="G455" s="6" t="n">
        <x:v>29042</x:v>
      </x:c>
      <x:c r="H455" s="8" t="n">
        <x:f>F455/G455-1</x:f>
        <x:v>0.09941973094438938</x:v>
      </x:c>
      <x:c r="I455" s="9" t="n">
        <x:f>G455*D455/10000</x:f>
        <x:v>85.499648</x:v>
      </x:c>
      <x:c r="J455" s="6" t="n">
        <x:v>2</x:v>
      </x:c>
      <x:c r="K455" s="6" t="n">
        <x:v>0</x:v>
      </x:c>
      <x:c r="L455" s="6" t="str">
        <x:v>超过12个月</x:v>
      </x:c>
      <x:c r="M455" s="6" t="str">
        <x:v>2025-01-15</x:v>
      </x:c>
      <x:c r="N455" s="6" t="str">
        <x:v>106123706021</x:v>
      </x:c>
      <x:c r="O455" s="6" t="str">
        <x:v>https://cd.lianjia.com/ershoufang/106123706021.html</x:v>
      </x:c>
      <x:c r="P455" s="8" t="n">
        <x:f>1-I455/E455</x:f>
        <x:v>0.09042927659574473</x:v>
      </x:c>
    </x:row>
    <x:row r="456" ht="22" customHeight="1">
      <x:c r="A456" s="6" t="str">
        <x:v>合江亭</x:v>
      </x:c>
      <x:c r="B456" s="6" t="str">
        <x:v>蓝光时代华章</x:v>
      </x:c>
      <x:c r="C456" s="6" t="str">
        <x:v>1室0厅</x:v>
      </x:c>
      <x:c r="D456" s="6" t="n">
        <x:v>41.14</x:v>
      </x:c>
      <x:c r="E456" s="9" t="n">
        <x:v>100</x:v>
      </x:c>
      <x:c r="F456" s="6" t="n">
        <x:v>24307.243558580456</x:v>
      </x:c>
      <x:c r="G456" s="6" t="n">
        <x:v>24572</x:v>
      </x:c>
      <x:c r="H456" s="8" t="n">
        <x:f>F456/G456-1</x:f>
        <x:v>-0.010774720878216848</x:v>
      </x:c>
      <x:c r="I456" s="9" t="n">
        <x:f>G456*D456/10000</x:f>
        <x:v>101.089208</x:v>
      </x:c>
      <x:c r="J456" s="6" t="n">
        <x:v>17</x:v>
      </x:c>
      <x:c r="K456" s="6" t="n">
        <x:v>4</x:v>
      </x:c>
      <x:c r="L456" s="6" t="str">
        <x:v>近12个月</x:v>
      </x:c>
      <x:c r="M456" s="6" t="str">
        <x:v>2026-08-16</x:v>
      </x:c>
      <x:c r="N456" s="6" t="str">
        <x:v>106113857531</x:v>
      </x:c>
      <x:c r="O456" s="6" t="str">
        <x:v>https://cd.lianjia.com/ershoufang/106113857531.html</x:v>
      </x:c>
      <x:c r="P456" s="8" t="n">
        <x:f>1-I456/E456</x:f>
        <x:v>-0.010892080000000082</x:v>
      </x:c>
    </x:row>
    <x:row r="457" ht="22" customHeight="1">
      <x:c r="A457" s="6" t="str">
        <x:v>合江亭</x:v>
      </x:c>
      <x:c r="B457" s="6" t="str">
        <x:v>星城银座</x:v>
      </x:c>
      <x:c r="C457" s="6" t="str">
        <x:v>2室1厅</x:v>
      </x:c>
      <x:c r="D457" s="6" t="n">
        <x:v>56.46</x:v>
      </x:c>
      <x:c r="E457" s="9" t="n">
        <x:v>118</x:v>
      </x:c>
      <x:c r="F457" s="6" t="n">
        <x:v>20899.75203684024</x:v>
      </x:c>
      <x:c r="G457" s="6" t="n">
        <x:v>19995</x:v>
      </x:c>
      <x:c r="H457" s="8" t="n">
        <x:f>F457/G457-1</x:f>
        <x:v>0.04524891407052967</x:v>
      </x:c>
      <x:c r="I457" s="9" t="n">
        <x:f>G457*D457/10000</x:f>
        <x:v>112.89177</x:v>
      </x:c>
      <x:c r="J457" s="6" t="n">
        <x:v>2</x:v>
      </x:c>
      <x:c r="K457" s="6" t="n">
        <x:v>0</x:v>
      </x:c>
      <x:c r="L457" s="6" t="str">
        <x:v>超过12个月</x:v>
      </x:c>
      <x:c r="M457" s="6" t="str">
        <x:v>2025-07-19</x:v>
      </x:c>
      <x:c r="N457" s="6" t="str">
        <x:v>106127747705</x:v>
      </x:c>
      <x:c r="O457" s="6" t="str">
        <x:v>https://cd.lianjia.com/ershoufang/106127747705.html</x:v>
      </x:c>
      <x:c r="P457" s="8" t="n">
        <x:f>1-I457/E457</x:f>
        <x:v>0.04329008474576279</x:v>
      </x:c>
    </x:row>
    <x:row r="458" ht="22" customHeight="1">
      <x:c r="A458" s="6" t="str">
        <x:v>合江亭</x:v>
      </x:c>
      <x:c r="B458" s="6" t="str">
        <x:v>SOHO我的寓所</x:v>
      </x:c>
      <x:c r="C458" s="6" t="str">
        <x:v>2室1厅</x:v>
      </x:c>
      <x:c r="D458" s="6" t="n">
        <x:v>48.68</x:v>
      </x:c>
      <x:c r="E458" s="9" t="n">
        <x:v>80</x:v>
      </x:c>
      <x:c r="F458" s="6" t="n">
        <x:v>16433.853738701724</x:v>
      </x:c>
      <x:c r="G458" s="6" t="n">
        <x:v>23513</x:v>
      </x:c>
      <x:c r="H458" s="8" t="n">
        <x:f>F458/G458-1</x:f>
        <x:v>-0.3010737150214041</x:v>
      </x:c>
      <x:c r="I458" s="9" t="n">
        <x:f>G458*D458/10000</x:f>
        <x:v>114.461284</x:v>
      </x:c>
      <x:c r="J458" s="6" t="n">
        <x:v>1</x:v>
      </x:c>
      <x:c r="K458" s="6" t="n">
        <x:v>0</x:v>
      </x:c>
      <x:c r="L458" s="6" t="str">
        <x:v>超过12个月</x:v>
      </x:c>
      <x:c r="M458" s="6" t="str">
        <x:v>2024-12-05</x:v>
      </x:c>
      <x:c r="N458" s="6" t="str">
        <x:v>106123996551</x:v>
      </x:c>
      <x:c r="O458" s="6" t="str">
        <x:v>https://cd.lianjia.com/ershoufang/106123996551.html</x:v>
      </x:c>
      <x:c r="P458" s="8" t="n">
        <x:f>1-I458/E458</x:f>
        <x:v>-0.4307660500000001</x:v>
      </x:c>
    </x:row>
    <x:row r="459" ht="22" customHeight="1">
      <x:c r="A459" s="6" t="str">
        <x:v>合江亭</x:v>
      </x:c>
      <x:c r="B459" s="6" t="str">
        <x:v>星城银座</x:v>
      </x:c>
      <x:c r="C459" s="6" t="str">
        <x:v>2室1厅</x:v>
      </x:c>
      <x:c r="D459" s="6" t="n">
        <x:v>42.57</x:v>
      </x:c>
      <x:c r="E459" s="9" t="n">
        <x:v>76</x:v>
      </x:c>
      <x:c r="F459" s="6" t="n">
        <x:v>17852.948085506225</x:v>
      </x:c>
      <x:c r="G459" s="6"/>
      <x:c r="H459" s="8"/>
      <x:c r="I459" s="9"/>
      <x:c r="J459" s="6" t="n">
        <x:v>0</x:v>
      </x:c>
      <x:c r="K459" s="6" t="n">
        <x:v>0</x:v>
      </x:c>
      <x:c r="L459" s="6" t="str">
        <x:v>无可比</x:v>
      </x:c>
      <x:c r="M459" s="6" t="str"/>
      <x:c r="N459" s="6" t="str">
        <x:v>106127370771</x:v>
      </x:c>
      <x:c r="O459" s="6" t="str">
        <x:v>https://cd.lianjia.com/ershoufang/106127370771.html</x:v>
      </x:c>
      <x:c r="P459" s="8"/>
    </x:row>
    <x:row r="460" ht="22" customHeight="1">
      <x:c r="A460" s="6" t="str">
        <x:v>盐市口</x:v>
      </x:c>
      <x:c r="B460" s="6" t="str">
        <x:v>城市理想</x:v>
      </x:c>
      <x:c r="C460" s="6" t="str">
        <x:v>1室0厅</x:v>
      </x:c>
      <x:c r="D460" s="6" t="n">
        <x:v>40.1</x:v>
      </x:c>
      <x:c r="E460" s="9" t="n">
        <x:v>96</x:v>
      </x:c>
      <x:c r="F460" s="6" t="n">
        <x:v>23940.149625935162</x:v>
      </x:c>
      <x:c r="G460" s="6" t="n">
        <x:v>22667</x:v>
      </x:c>
      <x:c r="H460" s="8" t="n">
        <x:f>F460/G460-1</x:f>
        <x:v>0.056167539856847526</x:v>
      </x:c>
      <x:c r="I460" s="9" t="n">
        <x:f>G460*D460/10000</x:f>
        <x:v>90.89467</x:v>
      </x:c>
      <x:c r="J460" s="6" t="n">
        <x:v>18</x:v>
      </x:c>
      <x:c r="K460" s="6" t="n">
        <x:v>4</x:v>
      </x:c>
      <x:c r="L460" s="6" t="str">
        <x:v>近12个月</x:v>
      </x:c>
      <x:c r="M460" s="6" t="str">
        <x:v>2026-08-09</x:v>
      </x:c>
      <x:c r="N460" s="6" t="str">
        <x:v>106128324848</x:v>
      </x:c>
      <x:c r="O460" s="6" t="str">
        <x:v>https://cd.lianjia.com/ershoufang/106128324848.html</x:v>
      </x:c>
      <x:c r="P460" s="8" t="n">
        <x:f>1-I460/E460</x:f>
        <x:v>0.053180520833333245</x:v>
      </x:c>
    </x:row>
    <x:row r="461" ht="22" customHeight="1">
      <x:c r="A461" s="6" t="str">
        <x:v>盐市口</x:v>
      </x:c>
      <x:c r="B461" s="6" t="str">
        <x:v>财富中心</x:v>
      </x:c>
      <x:c r="C461" s="6" t="str">
        <x:v>1室0厅</x:v>
      </x:c>
      <x:c r="D461" s="6" t="n">
        <x:v>33.69</x:v>
      </x:c>
      <x:c r="E461" s="9" t="n">
        <x:v>115</x:v>
      </x:c>
      <x:c r="F461" s="6" t="n">
        <x:v>34134.75808845355</x:v>
      </x:c>
      <x:c r="G461" s="6" t="n">
        <x:v>29358.5</x:v>
      </x:c>
      <x:c r="H461" s="8" t="n">
        <x:f>F461/G461-1</x:f>
        <x:v>0.1626874018922475</x:v>
      </x:c>
      <x:c r="I461" s="9" t="n">
        <x:f>G461*D461/10000</x:f>
        <x:v>98.9087865</x:v>
      </x:c>
      <x:c r="J461" s="6" t="n">
        <x:v>15</x:v>
      </x:c>
      <x:c r="K461" s="6" t="n">
        <x:v>4</x:v>
      </x:c>
      <x:c r="L461" s="6" t="str">
        <x:v>近12个月</x:v>
      </x:c>
      <x:c r="M461" s="6" t="str">
        <x:v>2026-07-15</x:v>
      </x:c>
      <x:c r="N461" s="6" t="str">
        <x:v>106126867671</x:v>
      </x:c>
      <x:c r="O461" s="6" t="str">
        <x:v>https://cd.lianjia.com/ershoufang/106126867671.html</x:v>
      </x:c>
      <x:c r="P461" s="8" t="n">
        <x:f>1-I461/E461</x:f>
        <x:v>0.13992359565217383</x:v>
      </x:c>
    </x:row>
    <x:row r="462" ht="22" customHeight="1">
      <x:c r="A462" s="6" t="str">
        <x:v>盐市口</x:v>
      </x:c>
      <x:c r="B462" s="6" t="str">
        <x:v>城市理想</x:v>
      </x:c>
      <x:c r="C462" s="6" t="str">
        <x:v>1室0厅</x:v>
      </x:c>
      <x:c r="D462" s="6" t="n">
        <x:v>40.31</x:v>
      </x:c>
      <x:c r="E462" s="9" t="n">
        <x:v>103</x:v>
      </x:c>
      <x:c r="F462" s="6" t="n">
        <x:v>25551.97221533118</x:v>
      </x:c>
      <x:c r="G462" s="6" t="n">
        <x:v>22667</x:v>
      </x:c>
      <x:c r="H462" s="8" t="n">
        <x:f>F462/G462-1</x:f>
        <x:v>0.12727631425998953</x:v>
      </x:c>
      <x:c r="I462" s="9" t="n">
        <x:f>G462*D462/10000</x:f>
        <x:v>91.370677</x:v>
      </x:c>
      <x:c r="J462" s="6" t="n">
        <x:v>18</x:v>
      </x:c>
      <x:c r="K462" s="6" t="n">
        <x:v>4</x:v>
      </x:c>
      <x:c r="L462" s="6" t="str">
        <x:v>近12个月</x:v>
      </x:c>
      <x:c r="M462" s="6" t="str">
        <x:v>2026-08-09</x:v>
      </x:c>
      <x:c r="N462" s="6" t="str">
        <x:v>106124512770</x:v>
      </x:c>
      <x:c r="O462" s="6" t="str">
        <x:v>https://cd.lianjia.com/ershoufang/106124512770.html</x:v>
      </x:c>
      <x:c r="P462" s="8" t="n">
        <x:f>1-I462/E462</x:f>
        <x:v>0.11290604854368935</x:v>
      </x:c>
    </x:row>
    <x:row r="463" ht="22" customHeight="1">
      <x:c r="A463" s="6" t="str">
        <x:v>盐市口</x:v>
      </x:c>
      <x:c r="B463" s="6" t="str">
        <x:v>财富中心</x:v>
      </x:c>
      <x:c r="C463" s="6" t="str">
        <x:v>1室0厅</x:v>
      </x:c>
      <x:c r="D463" s="6" t="n">
        <x:v>31</x:v>
      </x:c>
      <x:c r="E463" s="9" t="n">
        <x:v>100</x:v>
      </x:c>
      <x:c r="F463" s="6" t="n">
        <x:v>32258.064516129034</x:v>
      </x:c>
      <x:c r="G463" s="6" t="n">
        <x:v>29358.5</x:v>
      </x:c>
      <x:c r="H463" s="8" t="n">
        <x:f>F463/G463-1</x:f>
        <x:v>0.09876405525244936</x:v>
      </x:c>
      <x:c r="I463" s="9" t="n">
        <x:f>G463*D463/10000</x:f>
        <x:v>91.01135</x:v>
      </x:c>
      <x:c r="J463" s="6" t="n">
        <x:v>16</x:v>
      </x:c>
      <x:c r="K463" s="6" t="n">
        <x:v>4</x:v>
      </x:c>
      <x:c r="L463" s="6" t="str">
        <x:v>近12个月</x:v>
      </x:c>
      <x:c r="M463" s="6" t="str">
        <x:v>2026-07-15</x:v>
      </x:c>
      <x:c r="N463" s="6" t="str">
        <x:v>106125706788</x:v>
      </x:c>
      <x:c r="O463" s="6" t="str">
        <x:v>https://cd.lianjia.com/ershoufang/106125706788.html</x:v>
      </x:c>
      <x:c r="P463" s="8" t="n">
        <x:f>1-I463/E463</x:f>
        <x:v>0.08988650000000009</x:v>
      </x:c>
    </x:row>
    <x:row r="464" ht="22" customHeight="1">
      <x:c r="A464" s="6" t="str">
        <x:v>盐市口</x:v>
      </x:c>
      <x:c r="B464" s="6" t="str">
        <x:v>城市理想</x:v>
      </x:c>
      <x:c r="C464" s="6" t="str">
        <x:v>1室0厅</x:v>
      </x:c>
      <x:c r="D464" s="6" t="n">
        <x:v>40.12</x:v>
      </x:c>
      <x:c r="E464" s="9" t="n">
        <x:v>116</x:v>
      </x:c>
      <x:c r="F464" s="6" t="n">
        <x:v>28913.260219341977</x:v>
      </x:c>
      <x:c r="G464" s="6" t="n">
        <x:v>22667</x:v>
      </x:c>
      <x:c r="H464" s="8" t="n">
        <x:f>F464/G464-1</x:f>
        <x:v>0.2755662513496262</x:v>
      </x:c>
      <x:c r="I464" s="9" t="n">
        <x:f>G464*D464/10000</x:f>
        <x:v>90.94000399999999</x:v>
      </x:c>
      <x:c r="J464" s="6" t="n">
        <x:v>18</x:v>
      </x:c>
      <x:c r="K464" s="6" t="n">
        <x:v>4</x:v>
      </x:c>
      <x:c r="L464" s="6" t="str">
        <x:v>近12个月</x:v>
      </x:c>
      <x:c r="M464" s="6" t="str">
        <x:v>2026-08-09</x:v>
      </x:c>
      <x:c r="N464" s="6" t="str">
        <x:v>106122624244</x:v>
      </x:c>
      <x:c r="O464" s="6" t="str">
        <x:v>https://cd.lianjia.com/ershoufang/106122624244.html</x:v>
      </x:c>
      <x:c r="P464" s="8" t="n">
        <x:f>1-I464/E464</x:f>
        <x:v>0.21603444827586216</x:v>
      </x:c>
    </x:row>
    <x:row r="465" ht="22" customHeight="1">
      <x:c r="A465" s="6" t="str">
        <x:v>盐市口</x:v>
      </x:c>
      <x:c r="B465" s="6" t="str">
        <x:v>财富中心</x:v>
      </x:c>
      <x:c r="C465" s="6" t="str">
        <x:v>1室1厅</x:v>
      </x:c>
      <x:c r="D465" s="6" t="n">
        <x:v>33.42</x:v>
      </x:c>
      <x:c r="E465" s="9" t="n">
        <x:v>99</x:v>
      </x:c>
      <x:c r="F465" s="6" t="n">
        <x:v>29622.980251346497</x:v>
      </x:c>
      <x:c r="G465" s="6" t="n">
        <x:v>32778</x:v>
      </x:c>
      <x:c r="H465" s="8" t="n">
        <x:f>F465/G465-1</x:f>
        <x:v>-0.09625418721866807</x:v>
      </x:c>
      <x:c r="I465" s="9" t="n">
        <x:f>G465*D465/10000</x:f>
        <x:v>109.544076</x:v>
      </x:c>
      <x:c r="J465" s="6" t="n">
        <x:v>1</x:v>
      </x:c>
      <x:c r="K465" s="6" t="n">
        <x:v>0</x:v>
      </x:c>
      <x:c r="L465" s="6" t="str">
        <x:v>超过12个月</x:v>
      </x:c>
      <x:c r="M465" s="6" t="str">
        <x:v>2025-01-24</x:v>
      </x:c>
      <x:c r="N465" s="6" t="str">
        <x:v>106111383371</x:v>
      </x:c>
      <x:c r="O465" s="6" t="str">
        <x:v>https://cd.lianjia.com/ershoufang/106111383371.html</x:v>
      </x:c>
      <x:c r="P465" s="8" t="n">
        <x:f>1-I465/E465</x:f>
        <x:v>-0.10650581818181815</x:v>
      </x:c>
    </x:row>
    <x:row r="466" ht="22" customHeight="1">
      <x:c r="A466" s="6" t="str">
        <x:v>盐市口</x:v>
      </x:c>
      <x:c r="B466" s="6" t="str">
        <x:v>阳光365</x:v>
      </x:c>
      <x:c r="C466" s="6" t="str">
        <x:v>1室0厅</x:v>
      </x:c>
      <x:c r="D466" s="6" t="n">
        <x:v>42.81</x:v>
      </x:c>
      <x:c r="E466" s="9" t="n">
        <x:v>117</x:v>
      </x:c>
      <x:c r="F466" s="6" t="n">
        <x:v>27330.063069376312</x:v>
      </x:c>
      <x:c r="G466" s="6"/>
      <x:c r="H466" s="8"/>
      <x:c r="I466" s="9"/>
      <x:c r="J466" s="6" t="n">
        <x:v>0</x:v>
      </x:c>
      <x:c r="K466" s="6" t="n">
        <x:v>0</x:v>
      </x:c>
      <x:c r="L466" s="6" t="str">
        <x:v>无可比</x:v>
      </x:c>
      <x:c r="M466" s="6" t="str"/>
      <x:c r="N466" s="6" t="str">
        <x:v>106125397669</x:v>
      </x:c>
      <x:c r="O466" s="6" t="str">
        <x:v>https://cd.lianjia.com/ershoufang/106125397669.html</x:v>
      </x:c>
      <x:c r="P466" s="8"/>
    </x:row>
    <x:row r="467" ht="22" customHeight="1">
      <x:c r="A467" s="6" t="str">
        <x:v>盐市口</x:v>
      </x:c>
      <x:c r="B467" s="6" t="str">
        <x:v>阳光365</x:v>
      </x:c>
      <x:c r="C467" s="6" t="str">
        <x:v>1室0厅</x:v>
      </x:c>
      <x:c r="D467" s="6" t="n">
        <x:v>33.11</x:v>
      </x:c>
      <x:c r="E467" s="9" t="n">
        <x:v>96</x:v>
      </x:c>
      <x:c r="F467" s="6" t="n">
        <x:v>28994.261552401087</x:v>
      </x:c>
      <x:c r="G467" s="6" t="n">
        <x:v>33525</x:v>
      </x:c>
      <x:c r="H467" s="8" t="n">
        <x:f>F467/G467-1</x:f>
        <x:v>-0.13514506927960968</x:v>
      </x:c>
      <x:c r="I467" s="9" t="n">
        <x:f>G467*D467/10000</x:f>
        <x:v>111.001275</x:v>
      </x:c>
      <x:c r="J467" s="6" t="n">
        <x:v>10</x:v>
      </x:c>
      <x:c r="K467" s="6" t="n">
        <x:v>0</x:v>
      </x:c>
      <x:c r="L467" s="6" t="str">
        <x:v>超过12个月</x:v>
      </x:c>
      <x:c r="M467" s="6" t="str">
        <x:v>2025-08-13</x:v>
      </x:c>
      <x:c r="N467" s="6" t="str">
        <x:v>106127273299</x:v>
      </x:c>
      <x:c r="O467" s="6" t="str">
        <x:v>https://cd.lianjia.com/ershoufang/106127273299.html</x:v>
      </x:c>
      <x:c r="P467" s="8" t="n">
        <x:f>1-I467/E467</x:f>
        <x:v>-0.15626328125</x:v>
      </x:c>
    </x:row>
    <x:row r="468" ht="22" customHeight="1">
      <x:c r="A468" s="6" t="str">
        <x:v>盐市口</x:v>
      </x:c>
      <x:c r="B468" s="6" t="str">
        <x:v>阳光365</x:v>
      </x:c>
      <x:c r="C468" s="6" t="str">
        <x:v>1室0厅</x:v>
      </x:c>
      <x:c r="D468" s="6" t="n">
        <x:v>33.11</x:v>
      </x:c>
      <x:c r="E468" s="9" t="n">
        <x:v>105</x:v>
      </x:c>
      <x:c r="F468" s="6" t="n">
        <x:v>31712.47357293869</x:v>
      </x:c>
      <x:c r="G468" s="6" t="n">
        <x:v>33525</x:v>
      </x:c>
      <x:c r="H468" s="8" t="n">
        <x:f>F468/G468-1</x:f>
        <x:v>-0.05406491952457304</x:v>
      </x:c>
      <x:c r="I468" s="9" t="n">
        <x:f>G468*D468/10000</x:f>
        <x:v>111.001275</x:v>
      </x:c>
      <x:c r="J468" s="6" t="n">
        <x:v>10</x:v>
      </x:c>
      <x:c r="K468" s="6" t="n">
        <x:v>0</x:v>
      </x:c>
      <x:c r="L468" s="6" t="str">
        <x:v>超过12个月</x:v>
      </x:c>
      <x:c r="M468" s="6" t="str">
        <x:v>2025-08-13</x:v>
      </x:c>
      <x:c r="N468" s="6" t="str">
        <x:v>106124062519</x:v>
      </x:c>
      <x:c r="O468" s="6" t="str">
        <x:v>https://cd.lianjia.com/ershoufang/106124062519.html</x:v>
      </x:c>
      <x:c r="P468" s="8" t="n">
        <x:f>1-I468/E468</x:f>
        <x:v>-0.05715500000000007</x:v>
      </x:c>
    </x:row>
    <x:row r="469" ht="22" customHeight="1">
      <x:c r="A469" s="6" t="str">
        <x:v>盐市口</x:v>
      </x:c>
      <x:c r="B469" s="6" t="str">
        <x:v>城市理想</x:v>
      </x:c>
      <x:c r="C469" s="6" t="str">
        <x:v>1室0厅</x:v>
      </x:c>
      <x:c r="D469" s="6" t="n">
        <x:v>40.02</x:v>
      </x:c>
      <x:c r="E469" s="9" t="n">
        <x:v>110</x:v>
      </x:c>
      <x:c r="F469" s="6" t="n">
        <x:v>27486.256871564216</x:v>
      </x:c>
      <x:c r="G469" s="6" t="n">
        <x:v>22667</x:v>
      </x:c>
      <x:c r="H469" s="8" t="n">
        <x:f>F469/G469-1</x:f>
        <x:v>0.21261114711096374</x:v>
      </x:c>
      <x:c r="I469" s="9" t="n">
        <x:f>G469*D469/10000</x:f>
        <x:v>90.713334</x:v>
      </x:c>
      <x:c r="J469" s="6" t="n">
        <x:v>18</x:v>
      </x:c>
      <x:c r="K469" s="6" t="n">
        <x:v>4</x:v>
      </x:c>
      <x:c r="L469" s="6" t="str">
        <x:v>近12个月</x:v>
      </x:c>
      <x:c r="M469" s="6" t="str">
        <x:v>2026-08-09</x:v>
      </x:c>
      <x:c r="N469" s="6" t="str">
        <x:v>106119008878</x:v>
      </x:c>
      <x:c r="O469" s="6" t="str">
        <x:v>https://cd.lianjia.com/ershoufang/106119008878.html</x:v>
      </x:c>
      <x:c r="P469" s="8" t="n">
        <x:f>1-I469/E469</x:f>
        <x:v>0.1753333272727272</x:v>
      </x:c>
    </x:row>
    <x:row r="470" ht="22" customHeight="1">
      <x:c r="A470" s="6" t="str">
        <x:v>盐市口</x:v>
      </x:c>
      <x:c r="B470" s="6" t="str">
        <x:v>美华大厦</x:v>
      </x:c>
      <x:c r="C470" s="6" t="str">
        <x:v>1室0厅</x:v>
      </x:c>
      <x:c r="D470" s="6" t="n">
        <x:v>39.62</x:v>
      </x:c>
      <x:c r="E470" s="9" t="n">
        <x:v>110</x:v>
      </x:c>
      <x:c r="F470" s="6" t="n">
        <x:v>27763.755678950027</x:v>
      </x:c>
      <x:c r="G470" s="6" t="n">
        <x:v>25686</x:v>
      </x:c>
      <x:c r="H470" s="8" t="n">
        <x:f>F470/G470-1</x:f>
        <x:v>0.08089058938526938</x:v>
      </x:c>
      <x:c r="I470" s="9" t="n">
        <x:f>G470*D470/10000</x:f>
        <x:v>101.767932</x:v>
      </x:c>
      <x:c r="J470" s="6" t="n">
        <x:v>1</x:v>
      </x:c>
      <x:c r="K470" s="6" t="n">
        <x:v>1</x:v>
      </x:c>
      <x:c r="L470" s="6" t="str">
        <x:v>近12个月</x:v>
      </x:c>
      <x:c r="M470" s="6" t="str">
        <x:v>2026-07-20</x:v>
      </x:c>
      <x:c r="N470" s="6" t="str">
        <x:v>106128385572</x:v>
      </x:c>
      <x:c r="O470" s="6" t="str">
        <x:v>https://cd.lianjia.com/ershoufang/106128385572.html</x:v>
      </x:c>
      <x:c r="P470" s="8" t="n">
        <x:f>1-I470/E470</x:f>
        <x:v>0.07483698181818177</x:v>
      </x:c>
    </x:row>
    <x:row r="471" ht="22" customHeight="1">
      <x:c r="A471" s="6" t="str">
        <x:v>盐市口</x:v>
      </x:c>
      <x:c r="B471" s="6" t="str">
        <x:v>财富中心</x:v>
      </x:c>
      <x:c r="C471" s="6" t="str">
        <x:v>1室0厅</x:v>
      </x:c>
      <x:c r="D471" s="6" t="n">
        <x:v>29.14</x:v>
      </x:c>
      <x:c r="E471" s="9" t="n">
        <x:v>110</x:v>
      </x:c>
      <x:c r="F471" s="6" t="n">
        <x:v>37748.79890185312</x:v>
      </x:c>
      <x:c r="G471" s="6" t="n">
        <x:v>29442</x:v>
      </x:c>
      <x:c r="H471" s="8" t="n">
        <x:f>F471/G471-1</x:f>
        <x:v>0.2821411215900116</x:v>
      </x:c>
      <x:c r="I471" s="9" t="n">
        <x:f>G471*D471/10000</x:f>
        <x:v>85.793988</x:v>
      </x:c>
      <x:c r="J471" s="6" t="n">
        <x:v>15</x:v>
      </x:c>
      <x:c r="K471" s="6" t="n">
        <x:v>3</x:v>
      </x:c>
      <x:c r="L471" s="6" t="str">
        <x:v>近12个月</x:v>
      </x:c>
      <x:c r="M471" s="6" t="str">
        <x:v>2026-07-15</x:v>
      </x:c>
      <x:c r="N471" s="6" t="str">
        <x:v>106128012171</x:v>
      </x:c>
      <x:c r="O471" s="6" t="str">
        <x:v>https://cd.lianjia.com/ershoufang/106128012171.html</x:v>
      </x:c>
      <x:c r="P471" s="8" t="n">
        <x:f>1-I471/E471</x:f>
        <x:v>0.2200546545454546</x:v>
      </x:c>
    </x:row>
    <x:row r="472" ht="22" customHeight="1">
      <x:c r="A472" s="6" t="str">
        <x:v>盐市口</x:v>
      </x:c>
      <x:c r="B472" s="6" t="str">
        <x:v>财富中心</x:v>
      </x:c>
      <x:c r="C472" s="6" t="str">
        <x:v>1室0厅</x:v>
      </x:c>
      <x:c r="D472" s="6" t="n">
        <x:v>33.85</x:v>
      </x:c>
      <x:c r="E472" s="9" t="n">
        <x:v>92</x:v>
      </x:c>
      <x:c r="F472" s="6" t="n">
        <x:v>27178.729689807977</x:v>
      </x:c>
      <x:c r="G472" s="6" t="n">
        <x:v>29358.5</x:v>
      </x:c>
      <x:c r="H472" s="8" t="n">
        <x:f>F472/G472-1</x:f>
        <x:v>-0.07424665123190977</x:v>
      </x:c>
      <x:c r="I472" s="9" t="n">
        <x:f>G472*D472/10000</x:f>
        <x:v>99.3785225</x:v>
      </x:c>
      <x:c r="J472" s="6" t="n">
        <x:v>15</x:v>
      </x:c>
      <x:c r="K472" s="6" t="n">
        <x:v>4</x:v>
      </x:c>
      <x:c r="L472" s="6" t="str">
        <x:v>近12个月</x:v>
      </x:c>
      <x:c r="M472" s="6" t="str">
        <x:v>2026-07-15</x:v>
      </x:c>
      <x:c r="N472" s="6" t="str">
        <x:v>106128355835</x:v>
      </x:c>
      <x:c r="O472" s="6" t="str">
        <x:v>https://cd.lianjia.com/ershoufang/106128355835.html</x:v>
      </x:c>
      <x:c r="P472" s="8" t="n">
        <x:f>1-I472/E472</x:f>
        <x:v>-0.08020133152173914</x:v>
      </x:c>
    </x:row>
    <x:row r="473" ht="22" customHeight="1">
      <x:c r="A473" s="6" t="str">
        <x:v>盐市口</x:v>
      </x:c>
      <x:c r="B473" s="6" t="str">
        <x:v>城市理想</x:v>
      </x:c>
      <x:c r="C473" s="6" t="str">
        <x:v>1室0厅</x:v>
      </x:c>
      <x:c r="D473" s="6" t="n">
        <x:v>42.85</x:v>
      </x:c>
      <x:c r="E473" s="9" t="n">
        <x:v>95</x:v>
      </x:c>
      <x:c r="F473" s="6" t="n">
        <x:v>22170.361726954492</x:v>
      </x:c>
      <x:c r="G473" s="6" t="n">
        <x:v>22667</x:v>
      </x:c>
      <x:c r="H473" s="8" t="n">
        <x:f>F473/G473-1</x:f>
        <x:v>-0.0219101898374513</x:v>
      </x:c>
      <x:c r="I473" s="9" t="n">
        <x:f>G473*D473/10000</x:f>
        <x:v>97.128095</x:v>
      </x:c>
      <x:c r="J473" s="6" t="n">
        <x:v>17</x:v>
      </x:c>
      <x:c r="K473" s="6" t="n">
        <x:v>4</x:v>
      </x:c>
      <x:c r="L473" s="6" t="str">
        <x:v>近12个月</x:v>
      </x:c>
      <x:c r="M473" s="6" t="str">
        <x:v>2026-08-09</x:v>
      </x:c>
      <x:c r="N473" s="6" t="str">
        <x:v>106129384192</x:v>
      </x:c>
      <x:c r="O473" s="6" t="str">
        <x:v>https://cd.lianjia.com/ershoufang/106129384192.html</x:v>
      </x:c>
      <x:c r="P473" s="8" t="n">
        <x:f>1-I473/E473</x:f>
        <x:v>-0.022401000000000115</x:v>
      </x:c>
    </x:row>
    <x:row r="474" ht="22" customHeight="1">
      <x:c r="A474" s="6" t="str">
        <x:v>盐市口</x:v>
      </x:c>
      <x:c r="B474" s="6" t="str">
        <x:v>美华大厦</x:v>
      </x:c>
      <x:c r="C474" s="6" t="str">
        <x:v>1室1厅</x:v>
      </x:c>
      <x:c r="D474" s="6" t="n">
        <x:v>34.26</x:v>
      </x:c>
      <x:c r="E474" s="9" t="n">
        <x:v>105</x:v>
      </x:c>
      <x:c r="F474" s="6" t="n">
        <x:v>30647.98598949212</x:v>
      </x:c>
      <x:c r="G474" s="6"/>
      <x:c r="H474" s="8"/>
      <x:c r="I474" s="9"/>
      <x:c r="J474" s="6" t="n">
        <x:v>0</x:v>
      </x:c>
      <x:c r="K474" s="6" t="n">
        <x:v>0</x:v>
      </x:c>
      <x:c r="L474" s="6" t="str">
        <x:v>无可比</x:v>
      </x:c>
      <x:c r="M474" s="6" t="str"/>
      <x:c r="N474" s="6" t="str">
        <x:v>106125704650</x:v>
      </x:c>
      <x:c r="O474" s="6" t="str">
        <x:v>https://cd.lianjia.com/ershoufang/106125704650.html</x:v>
      </x:c>
      <x:c r="P474" s="8"/>
    </x:row>
    <x:row r="475" ht="22" customHeight="1">
      <x:c r="A475" s="6" t="str">
        <x:v>盐市口</x:v>
      </x:c>
      <x:c r="B475" s="6" t="str">
        <x:v>城市理想</x:v>
      </x:c>
      <x:c r="C475" s="6" t="str">
        <x:v>1室0厅</x:v>
      </x:c>
      <x:c r="D475" s="6" t="n">
        <x:v>37.27</x:v>
      </x:c>
      <x:c r="E475" s="9" t="n">
        <x:v>98</x:v>
      </x:c>
      <x:c r="F475" s="6" t="n">
        <x:v>26294.606922457737</x:v>
      </x:c>
      <x:c r="G475" s="6" t="n">
        <x:v>22667</x:v>
      </x:c>
      <x:c r="H475" s="8" t="n">
        <x:f>F475/G475-1</x:f>
        <x:v>0.16003912835654188</x:v>
      </x:c>
      <x:c r="I475" s="9" t="n">
        <x:f>G475*D475/10000</x:f>
        <x:v>84.479909</x:v>
      </x:c>
      <x:c r="J475" s="6" t="n">
        <x:v>17</x:v>
      </x:c>
      <x:c r="K475" s="6" t="n">
        <x:v>4</x:v>
      </x:c>
      <x:c r="L475" s="6" t="str">
        <x:v>近12个月</x:v>
      </x:c>
      <x:c r="M475" s="6" t="str">
        <x:v>2026-08-09</x:v>
      </x:c>
      <x:c r="N475" s="6" t="str">
        <x:v>106128393445</x:v>
      </x:c>
      <x:c r="O475" s="6" t="str">
        <x:v>https://cd.lianjia.com/ershoufang/106128393445.html</x:v>
      </x:c>
      <x:c r="P475" s="8" t="n">
        <x:f>1-I475/E475</x:f>
        <x:v>0.1379601122448979</x:v>
      </x:c>
    </x:row>
    <x:row r="476" ht="22" customHeight="1">
      <x:c r="A476" s="6" t="str">
        <x:v>盐市口</x:v>
      </x:c>
      <x:c r="B476" s="6" t="str">
        <x:v>新和春禧时代</x:v>
      </x:c>
      <x:c r="C476" s="6" t="str">
        <x:v>1室0厅</x:v>
      </x:c>
      <x:c r="D476" s="6" t="n">
        <x:v>39.16</x:v>
      </x:c>
      <x:c r="E476" s="9" t="n">
        <x:v>92</x:v>
      </x:c>
      <x:c r="F476" s="6" t="n">
        <x:v>23493.360572012258</x:v>
      </x:c>
      <x:c r="G476" s="6" t="n">
        <x:v>24260</x:v>
      </x:c>
      <x:c r="H476" s="8" t="n">
        <x:f>F476/G476-1</x:f>
        <x:v>-0.03160096570435866</x:v>
      </x:c>
      <x:c r="I476" s="9" t="n">
        <x:f>G476*D476/10000</x:f>
        <x:v>95.00215999999999</x:v>
      </x:c>
      <x:c r="J476" s="6" t="n">
        <x:v>2</x:v>
      </x:c>
      <x:c r="K476" s="6" t="n">
        <x:v>1</x:v>
      </x:c>
      <x:c r="L476" s="6" t="str">
        <x:v>近12个月</x:v>
      </x:c>
      <x:c r="M476" s="6" t="str">
        <x:v>2025-12-23</x:v>
      </x:c>
      <x:c r="N476" s="6" t="str">
        <x:v>106123420475</x:v>
      </x:c>
      <x:c r="O476" s="6" t="str">
        <x:v>https://cd.lianjia.com/ershoufang/106123420475.html</x:v>
      </x:c>
      <x:c r="P476" s="8" t="n">
        <x:f>1-I476/E476</x:f>
        <x:v>-0.032632173913043294</x:v>
      </x:c>
    </x:row>
    <x:row r="477" ht="22" customHeight="1">
      <x:c r="A477" s="6" t="str">
        <x:v>盐市口</x:v>
      </x:c>
      <x:c r="B477" s="6" t="str">
        <x:v>财富中心</x:v>
      </x:c>
      <x:c r="C477" s="6" t="str">
        <x:v>1室0厅</x:v>
      </x:c>
      <x:c r="D477" s="6" t="n">
        <x:v>30.09</x:v>
      </x:c>
      <x:c r="E477" s="9" t="n">
        <x:v>92</x:v>
      </x:c>
      <x:c r="F477" s="6" t="n">
        <x:v>30574.941841143238</x:v>
      </x:c>
      <x:c r="G477" s="6" t="n">
        <x:v>29358.5</x:v>
      </x:c>
      <x:c r="H477" s="8" t="n">
        <x:f>F477/G477-1</x:f>
        <x:v>0.04143405968095237</x:v>
      </x:c>
      <x:c r="I477" s="9" t="n">
        <x:f>G477*D477/10000</x:f>
        <x:v>88.3397265</x:v>
      </x:c>
      <x:c r="J477" s="6" t="n">
        <x:v>16</x:v>
      </x:c>
      <x:c r="K477" s="6" t="n">
        <x:v>4</x:v>
      </x:c>
      <x:c r="L477" s="6" t="str">
        <x:v>近12个月</x:v>
      </x:c>
      <x:c r="M477" s="6" t="str">
        <x:v>2026-07-15</x:v>
      </x:c>
      <x:c r="N477" s="6" t="str">
        <x:v>106126199258</x:v>
      </x:c>
      <x:c r="O477" s="6" t="str">
        <x:v>https://cd.lianjia.com/ershoufang/106126199258.html</x:v>
      </x:c>
      <x:c r="P477" s="8" t="n">
        <x:f>1-I477/E477</x:f>
        <x:v>0.039785581521739166</x:v>
      </x:c>
    </x:row>
    <x:row r="478" ht="22" customHeight="1">
      <x:c r="A478" s="6" t="str">
        <x:v>盐市口</x:v>
      </x:c>
      <x:c r="B478" s="6" t="str">
        <x:v>阳光365</x:v>
      </x:c>
      <x:c r="C478" s="6" t="str">
        <x:v>1室0厅</x:v>
      </x:c>
      <x:c r="D478" s="6" t="n">
        <x:v>33.11</x:v>
      </x:c>
      <x:c r="E478" s="9" t="n">
        <x:v>97</x:v>
      </x:c>
      <x:c r="F478" s="6" t="n">
        <x:v>29296.285110238598</x:v>
      </x:c>
      <x:c r="G478" s="6" t="n">
        <x:v>33525</x:v>
      </x:c>
      <x:c r="H478" s="8" t="n">
        <x:f>F478/G478-1</x:f>
        <x:v>-0.12613616375127223</x:v>
      </x:c>
      <x:c r="I478" s="9" t="n">
        <x:f>G478*D478/10000</x:f>
        <x:v>111.001275</x:v>
      </x:c>
      <x:c r="J478" s="6" t="n">
        <x:v>10</x:v>
      </x:c>
      <x:c r="K478" s="6" t="n">
        <x:v>0</x:v>
      </x:c>
      <x:c r="L478" s="6" t="str">
        <x:v>超过12个月</x:v>
      </x:c>
      <x:c r="M478" s="6" t="str">
        <x:v>2025-08-13</x:v>
      </x:c>
      <x:c r="N478" s="6" t="str">
        <x:v>106126219494</x:v>
      </x:c>
      <x:c r="O478" s="6" t="str">
        <x:v>https://cd.lianjia.com/ershoufang/106126219494.html</x:v>
      </x:c>
      <x:c r="P478" s="8" t="n">
        <x:f>1-I478/E478</x:f>
        <x:v>-0.1443430412371134</x:v>
      </x:c>
    </x:row>
    <x:row r="479" ht="22" customHeight="1">
      <x:c r="A479" s="6" t="str">
        <x:v>盐市口</x:v>
      </x:c>
      <x:c r="B479" s="6" t="str">
        <x:v>城市理想</x:v>
      </x:c>
      <x:c r="C479" s="6" t="str">
        <x:v>1室0厅</x:v>
      </x:c>
      <x:c r="D479" s="6" t="n">
        <x:v>37.96</x:v>
      </x:c>
      <x:c r="E479" s="9" t="n">
        <x:v>115</x:v>
      </x:c>
      <x:c r="F479" s="6" t="n">
        <x:v>30295.04741833509</x:v>
      </x:c>
      <x:c r="G479" s="6" t="n">
        <x:v>22667</x:v>
      </x:c>
      <x:c r="H479" s="8" t="n">
        <x:f>F479/G479-1</x:f>
        <x:v>0.3365265548301535</x:v>
      </x:c>
      <x:c r="I479" s="9" t="n">
        <x:f>G479*D479/10000</x:f>
        <x:v>86.04393200000001</x:v>
      </x:c>
      <x:c r="J479" s="6" t="n">
        <x:v>17</x:v>
      </x:c>
      <x:c r="K479" s="6" t="n">
        <x:v>4</x:v>
      </x:c>
      <x:c r="L479" s="6" t="str">
        <x:v>近12个月</x:v>
      </x:c>
      <x:c r="M479" s="6" t="str">
        <x:v>2026-08-09</x:v>
      </x:c>
      <x:c r="N479" s="6" t="str">
        <x:v>106125473380</x:v>
      </x:c>
      <x:c r="O479" s="6" t="str">
        <x:v>https://cd.lianjia.com/ershoufang/106125473380.html</x:v>
      </x:c>
      <x:c r="P479" s="8" t="n">
        <x:f>1-I479/E479</x:f>
        <x:v>0.25179189565217386</x:v>
      </x:c>
    </x:row>
    <x:row r="480" ht="22" customHeight="1">
      <x:c r="A480" s="6" t="str">
        <x:v>合江亭</x:v>
      </x:c>
      <x:c r="B480" s="6" t="str">
        <x:v>锦上花</x:v>
      </x:c>
      <x:c r="C480" s="6" t="str">
        <x:v>2室1厅</x:v>
      </x:c>
      <x:c r="D480" s="6" t="n">
        <x:v>27.83</x:v>
      </x:c>
      <x:c r="E480" s="9" t="n">
        <x:v>99</x:v>
      </x:c>
      <x:c r="F480" s="6" t="n">
        <x:v>35573.12252964427</x:v>
      </x:c>
      <x:c r="G480" s="6"/>
      <x:c r="H480" s="8"/>
      <x:c r="I480" s="9"/>
      <x:c r="J480" s="6" t="n">
        <x:v>0</x:v>
      </x:c>
      <x:c r="K480" s="6" t="n">
        <x:v>0</x:v>
      </x:c>
      <x:c r="L480" s="6" t="str">
        <x:v>无可比</x:v>
      </x:c>
      <x:c r="M480" s="6" t="str"/>
      <x:c r="N480" s="6" t="str">
        <x:v>106127248280</x:v>
      </x:c>
      <x:c r="O480" s="6" t="str">
        <x:v>https://cd.lianjia.com/ershoufang/106127248280.html</x:v>
      </x:c>
      <x:c r="P480" s="8"/>
    </x:row>
    <x:row r="481" ht="22" customHeight="1">
      <x:c r="A481" s="6" t="str">
        <x:v>合江亭</x:v>
      </x:c>
      <x:c r="B481" s="6" t="str">
        <x:v>蓉上坊一期</x:v>
      </x:c>
      <x:c r="C481" s="6" t="str">
        <x:v>1室1厅</x:v>
      </x:c>
      <x:c r="D481" s="6" t="n">
        <x:v>50.01</x:v>
      </x:c>
      <x:c r="E481" s="9" t="n">
        <x:v>86</x:v>
      </x:c>
      <x:c r="F481" s="6" t="n">
        <x:v>17196.560687862428</x:v>
      </x:c>
      <x:c r="G481" s="6" t="n">
        <x:v>16158</x:v>
      </x:c>
      <x:c r="H481" s="8" t="n">
        <x:f>F481/G481-1</x:f>
        <x:v>0.0642753241652696</x:v>
      </x:c>
      <x:c r="I481" s="9" t="n">
        <x:f>G481*D481/10000</x:f>
        <x:v>80.806158</x:v>
      </x:c>
      <x:c r="J481" s="6" t="n">
        <x:v>3</x:v>
      </x:c>
      <x:c r="K481" s="6" t="n">
        <x:v>2</x:v>
      </x:c>
      <x:c r="L481" s="6" t="str">
        <x:v>近12个月</x:v>
      </x:c>
      <x:c r="M481" s="6" t="str">
        <x:v>2026-02-22</x:v>
      </x:c>
      <x:c r="N481" s="6" t="str">
        <x:v>106122927097</x:v>
      </x:c>
      <x:c r="O481" s="6" t="str">
        <x:v>https://cd.lianjia.com/ershoufang/106122927097.html</x:v>
      </x:c>
      <x:c r="P481" s="8" t="n">
        <x:f>1-I481/E481</x:f>
        <x:v>0.06039351162790707</x:v>
      </x:c>
    </x:row>
    <x:row r="482" ht="22" customHeight="1">
      <x:c r="A482" s="6" t="str">
        <x:v>合江亭</x:v>
      </x:c>
      <x:c r="B482" s="6" t="str">
        <x:v>蓉上坊一期</x:v>
      </x:c>
      <x:c r="C482" s="6" t="str">
        <x:v>1室1厅</x:v>
      </x:c>
      <x:c r="D482" s="6" t="n">
        <x:v>50.01</x:v>
      </x:c>
      <x:c r="E482" s="9" t="n">
        <x:v>88</x:v>
      </x:c>
      <x:c r="F482" s="6" t="n">
        <x:v>17596.48070385923</x:v>
      </x:c>
      <x:c r="G482" s="6" t="n">
        <x:v>16158</x:v>
      </x:c>
      <x:c r="H482" s="8" t="n">
        <x:f>F482/G482-1</x:f>
        <x:v>0.08902591309934582</x:v>
      </x:c>
      <x:c r="I482" s="9" t="n">
        <x:f>G482*D482/10000</x:f>
        <x:v>80.806158</x:v>
      </x:c>
      <x:c r="J482" s="6" t="n">
        <x:v>3</x:v>
      </x:c>
      <x:c r="K482" s="6" t="n">
        <x:v>2</x:v>
      </x:c>
      <x:c r="L482" s="6" t="str">
        <x:v>近12个月</x:v>
      </x:c>
      <x:c r="M482" s="6" t="str">
        <x:v>2026-02-22</x:v>
      </x:c>
      <x:c r="N482" s="6" t="str">
        <x:v>106119524660</x:v>
      </x:c>
      <x:c r="O482" s="6" t="str">
        <x:v>https://cd.lianjia.com/ershoufang/106119524660.html</x:v>
      </x:c>
      <x:c r="P482" s="8" t="n">
        <x:f>1-I482/E482</x:f>
        <x:v>0.08174820454545462</x:v>
      </x:c>
    </x:row>
    <x:row r="483" ht="22" customHeight="1">
      <x:c r="A483" s="6" t="str">
        <x:v>合江亭</x:v>
      </x:c>
      <x:c r="B483" s="6" t="str">
        <x:v>流星花园</x:v>
      </x:c>
      <x:c r="C483" s="6" t="str">
        <x:v>1室0厅</x:v>
      </x:c>
      <x:c r="D483" s="6" t="n">
        <x:v>39.42</x:v>
      </x:c>
      <x:c r="E483" s="9" t="n">
        <x:v>72</x:v>
      </x:c>
      <x:c r="F483" s="6" t="n">
        <x:v>18264.8401826484</x:v>
      </x:c>
      <x:c r="G483" s="6" t="n">
        <x:v>17709</x:v>
      </x:c>
      <x:c r="H483" s="8" t="n">
        <x:f>F483/G483-1</x:f>
        <x:v>0.03138744043415209</x:v>
      </x:c>
      <x:c r="I483" s="9" t="n">
        <x:f>G483*D483/10000</x:f>
        <x:v>69.808878</x:v>
      </x:c>
      <x:c r="J483" s="6" t="n">
        <x:v>21</x:v>
      </x:c>
      <x:c r="K483" s="6" t="n">
        <x:v>6</x:v>
      </x:c>
      <x:c r="L483" s="6" t="str">
        <x:v>近12个月</x:v>
      </x:c>
      <x:c r="M483" s="6" t="str">
        <x:v>2026-07-22</x:v>
      </x:c>
      <x:c r="N483" s="6" t="str">
        <x:v>106129681163</x:v>
      </x:c>
      <x:c r="O483" s="6" t="str">
        <x:v>https://cd.lianjia.com/ershoufang/106129681163.html</x:v>
      </x:c>
      <x:c r="P483" s="8" t="n">
        <x:f>1-I483/E483</x:f>
        <x:v>0.03043224999999994</x:v>
      </x:c>
    </x:row>
    <x:row r="484" ht="22" customHeight="1">
      <x:c r="A484" s="6" t="str">
        <x:v>合江亭</x:v>
      </x:c>
      <x:c r="B484" s="6" t="str">
        <x:v>流星花园</x:v>
      </x:c>
      <x:c r="C484" s="6" t="str">
        <x:v>1室0厅</x:v>
      </x:c>
      <x:c r="D484" s="6" t="n">
        <x:v>39.67</x:v>
      </x:c>
      <x:c r="E484" s="9" t="n">
        <x:v>78</x:v>
      </x:c>
      <x:c r="F484" s="6" t="n">
        <x:v>19662.213259389966</x:v>
      </x:c>
      <x:c r="G484" s="6" t="n">
        <x:v>17709</x:v>
      </x:c>
      <x:c r="H484" s="8" t="n">
        <x:f>F484/G484-1</x:f>
        <x:v>0.1102949494262786</x:v>
      </x:c>
      <x:c r="I484" s="9" t="n">
        <x:f>G484*D484/10000</x:f>
        <x:v>70.251603</x:v>
      </x:c>
      <x:c r="J484" s="6" t="n">
        <x:v>19</x:v>
      </x:c>
      <x:c r="K484" s="6" t="n">
        <x:v>6</x:v>
      </x:c>
      <x:c r="L484" s="6" t="str">
        <x:v>近12个月</x:v>
      </x:c>
      <x:c r="M484" s="6" t="str">
        <x:v>2026-07-22</x:v>
      </x:c>
      <x:c r="N484" s="6" t="str">
        <x:v>106122620307</x:v>
      </x:c>
      <x:c r="O484" s="6" t="str">
        <x:v>https://cd.lianjia.com/ershoufang/106122620307.html</x:v>
      </x:c>
      <x:c r="P484" s="8" t="n">
        <x:f>1-I484/E484</x:f>
        <x:v>0.09933842307692309</x:v>
      </x:c>
    </x:row>
    <x:row r="485" ht="22" customHeight="1">
      <x:c r="A485" s="6" t="str">
        <x:v>合江亭</x:v>
      </x:c>
      <x:c r="B485" s="6" t="str">
        <x:v>流星花园</x:v>
      </x:c>
      <x:c r="C485" s="6" t="str">
        <x:v>1室0厅</x:v>
      </x:c>
      <x:c r="D485" s="6" t="n">
        <x:v>39.67</x:v>
      </x:c>
      <x:c r="E485" s="9" t="n">
        <x:v>72</x:v>
      </x:c>
      <x:c r="F485" s="6" t="n">
        <x:v>18149.73531635997</x:v>
      </x:c>
      <x:c r="G485" s="6" t="n">
        <x:v>17709</x:v>
      </x:c>
      <x:c r="H485" s="8" t="n">
        <x:f>F485/G485-1</x:f>
        <x:v>0.02488764562425705</x:v>
      </x:c>
      <x:c r="I485" s="9" t="n">
        <x:f>G485*D485/10000</x:f>
        <x:v>70.251603</x:v>
      </x:c>
      <x:c r="J485" s="6" t="n">
        <x:v>19</x:v>
      </x:c>
      <x:c r="K485" s="6" t="n">
        <x:v>6</x:v>
      </x:c>
      <x:c r="L485" s="6" t="str">
        <x:v>近12个月</x:v>
      </x:c>
      <x:c r="M485" s="6" t="str">
        <x:v>2026-07-22</x:v>
      </x:c>
      <x:c r="N485" s="6" t="str">
        <x:v>106123153160</x:v>
      </x:c>
      <x:c r="O485" s="6" t="str">
        <x:v>https://cd.lianjia.com/ershoufang/106123153160.html</x:v>
      </x:c>
      <x:c r="P485" s="8" t="n">
        <x:f>1-I485/E485</x:f>
        <x:v>0.02428329166666665</x:v>
      </x:c>
    </x:row>
    <x:row r="486" ht="22" customHeight="1">
      <x:c r="A486" s="6" t="str">
        <x:v>合江亭</x:v>
      </x:c>
      <x:c r="B486" s="6" t="str">
        <x:v>蓝光时代华章</x:v>
      </x:c>
      <x:c r="C486" s="6" t="str">
        <x:v>1室0厅</x:v>
      </x:c>
      <x:c r="D486" s="6" t="n">
        <x:v>37.49</x:v>
      </x:c>
      <x:c r="E486" s="9" t="n">
        <x:v>88</x:v>
      </x:c>
      <x:c r="F486" s="6" t="n">
        <x:v>23472.9261136303</x:v>
      </x:c>
      <x:c r="G486" s="6" t="n">
        <x:v>24572</x:v>
      </x:c>
      <x:c r="H486" s="8" t="n">
        <x:f>F486/G486-1</x:f>
        <x:v>-0.04472871098688347</x:v>
      </x:c>
      <x:c r="I486" s="9" t="n">
        <x:f>G486*D486/10000</x:f>
        <x:v>92.120428</x:v>
      </x:c>
      <x:c r="J486" s="6" t="n">
        <x:v>16</x:v>
      </x:c>
      <x:c r="K486" s="6" t="n">
        <x:v>4</x:v>
      </x:c>
      <x:c r="L486" s="6" t="str">
        <x:v>近12个月</x:v>
      </x:c>
      <x:c r="M486" s="6" t="str">
        <x:v>2026-08-16</x:v>
      </x:c>
      <x:c r="N486" s="6" t="str">
        <x:v>106129708832</x:v>
      </x:c>
      <x:c r="O486" s="6" t="str">
        <x:v>https://cd.lianjia.com/ershoufang/106129708832.html</x:v>
      </x:c>
      <x:c r="P486" s="8" t="n">
        <x:f>1-I486/E486</x:f>
        <x:v>-0.04682304545454552</x:v>
      </x:c>
    </x:row>
    <x:row r="487" ht="22" customHeight="1">
      <x:c r="A487" s="6" t="str">
        <x:v>合江亭</x:v>
      </x:c>
      <x:c r="B487" s="6" t="str">
        <x:v>蓝光时代华章</x:v>
      </x:c>
      <x:c r="C487" s="6" t="str">
        <x:v>1室0厅</x:v>
      </x:c>
      <x:c r="D487" s="6" t="n">
        <x:v>37.91</x:v>
      </x:c>
      <x:c r="E487" s="9" t="n">
        <x:v>85</x:v>
      </x:c>
      <x:c r="F487" s="6" t="n">
        <x:v>22421.524663677134</x:v>
      </x:c>
      <x:c r="G487" s="6" t="n">
        <x:v>24572</x:v>
      </x:c>
      <x:c r="H487" s="8" t="n">
        <x:f>F487/G487-1</x:f>
        <x:v>-0.08751730979663297</x:v>
      </x:c>
      <x:c r="I487" s="9" t="n">
        <x:f>G487*D487/10000</x:f>
        <x:v>93.152452</x:v>
      </x:c>
      <x:c r="J487" s="6" t="n">
        <x:v>16</x:v>
      </x:c>
      <x:c r="K487" s="6" t="n">
        <x:v>4</x:v>
      </x:c>
      <x:c r="L487" s="6" t="str">
        <x:v>近12个月</x:v>
      </x:c>
      <x:c r="M487" s="6" t="str">
        <x:v>2026-08-16</x:v>
      </x:c>
      <x:c r="N487" s="6" t="str">
        <x:v>106125886304</x:v>
      </x:c>
      <x:c r="O487" s="6" t="str">
        <x:v>https://cd.lianjia.com/ershoufang/106125886304.html</x:v>
      </x:c>
      <x:c r="P487" s="8" t="n">
        <x:f>1-I487/E487</x:f>
        <x:v>-0.09591119999999997</x:v>
      </x:c>
    </x:row>
    <x:row r="488" ht="22" customHeight="1">
      <x:c r="A488" s="6" t="str">
        <x:v>合江亭</x:v>
      </x:c>
      <x:c r="B488" s="6" t="str">
        <x:v>蓝光时代华章</x:v>
      </x:c>
      <x:c r="C488" s="6" t="str">
        <x:v>1室0厅</x:v>
      </x:c>
      <x:c r="D488" s="6" t="n">
        <x:v>37.44</x:v>
      </x:c>
      <x:c r="E488" s="9" t="n">
        <x:v>86</x:v>
      </x:c>
      <x:c r="F488" s="6" t="n">
        <x:v>22970.085470085472</x:v>
      </x:c>
      <x:c r="G488" s="6" t="n">
        <x:v>24572</x:v>
      </x:c>
      <x:c r="H488" s="8" t="n">
        <x:f>F488/G488-1</x:f>
        <x:v>-0.06519267987605926</x:v>
      </x:c>
      <x:c r="I488" s="9" t="n">
        <x:f>G488*D488/10000</x:f>
        <x:v>91.99756799999999</x:v>
      </x:c>
      <x:c r="J488" s="6" t="n">
        <x:v>16</x:v>
      </x:c>
      <x:c r="K488" s="6" t="n">
        <x:v>4</x:v>
      </x:c>
      <x:c r="L488" s="6" t="str">
        <x:v>近12个月</x:v>
      </x:c>
      <x:c r="M488" s="6" t="str">
        <x:v>2026-08-16</x:v>
      </x:c>
      <x:c r="N488" s="6" t="str">
        <x:v>106129777220</x:v>
      </x:c>
      <x:c r="O488" s="6" t="str">
        <x:v>https://cd.lianjia.com/ershoufang/106129777220.html</x:v>
      </x:c>
      <x:c r="P488" s="8" t="n">
        <x:f>1-I488/E488</x:f>
        <x:v>-0.06973916279069758</x:v>
      </x:c>
    </x:row>
    <x:row r="489" ht="22" customHeight="1">
      <x:c r="A489" s="6" t="str">
        <x:v>合江亭</x:v>
      </x:c>
      <x:c r="B489" s="6" t="str">
        <x:v>锦上花</x:v>
      </x:c>
      <x:c r="C489" s="6" t="str">
        <x:v>1室1厅</x:v>
      </x:c>
      <x:c r="D489" s="6" t="n">
        <x:v>50.85</x:v>
      </x:c>
      <x:c r="E489" s="9" t="n">
        <x:v>98</x:v>
      </x:c>
      <x:c r="F489" s="6" t="n">
        <x:v>19272.36971484759</x:v>
      </x:c>
      <x:c r="G489" s="6" t="n">
        <x:v>17231</x:v>
      </x:c>
      <x:c r="H489" s="8" t="n">
        <x:f>F489/G489-1</x:f>
        <x:v>0.11847076286040226</x:v>
      </x:c>
      <x:c r="I489" s="9" t="n">
        <x:f>G489*D489/10000</x:f>
        <x:v>87.619635</x:v>
      </x:c>
      <x:c r="J489" s="6" t="n">
        <x:v>4</x:v>
      </x:c>
      <x:c r="K489" s="6" t="n">
        <x:v>3</x:v>
      </x:c>
      <x:c r="L489" s="6" t="str">
        <x:v>近12个月</x:v>
      </x:c>
      <x:c r="M489" s="6" t="str">
        <x:v>2026-06-20</x:v>
      </x:c>
      <x:c r="N489" s="6" t="str">
        <x:v>106123368376</x:v>
      </x:c>
      <x:c r="O489" s="6" t="str">
        <x:v>https://cd.lianjia.com/ershoufang/106123368376.html</x:v>
      </x:c>
      <x:c r="P489" s="8" t="n">
        <x:f>1-I489/E489</x:f>
        <x:v>0.10592209183673462</x:v>
      </x:c>
    </x:row>
    <x:row r="490" ht="22" customHeight="1">
      <x:c r="A490" s="6" t="str">
        <x:v>合江亭</x:v>
      </x:c>
      <x:c r="B490" s="6" t="str">
        <x:v>水岸银座</x:v>
      </x:c>
      <x:c r="C490" s="6" t="str">
        <x:v>1室1厅</x:v>
      </x:c>
      <x:c r="D490" s="6" t="n">
        <x:v>52.78</x:v>
      </x:c>
      <x:c r="E490" s="9" t="n">
        <x:v>99</x:v>
      </x:c>
      <x:c r="F490" s="6" t="n">
        <x:v>18757.104964001515</x:v>
      </x:c>
      <x:c r="G490" s="6"/>
      <x:c r="H490" s="8"/>
      <x:c r="I490" s="9"/>
      <x:c r="J490" s="6" t="n">
        <x:v>0</x:v>
      </x:c>
      <x:c r="K490" s="6" t="n">
        <x:v>0</x:v>
      </x:c>
      <x:c r="L490" s="6" t="str">
        <x:v>无可比</x:v>
      </x:c>
      <x:c r="M490" s="6" t="str"/>
      <x:c r="N490" s="6" t="str">
        <x:v>106120630753</x:v>
      </x:c>
      <x:c r="O490" s="6" t="str">
        <x:v>https://cd.lianjia.com/ershoufang/106120630753.html</x:v>
      </x:c>
      <x:c r="P490" s="8"/>
    </x:row>
    <x:row r="491" ht="22" customHeight="1">
      <x:c r="A491" s="6" t="str">
        <x:v>合江亭</x:v>
      </x:c>
      <x:c r="B491" s="6" t="str">
        <x:v>美丽合江</x:v>
      </x:c>
      <x:c r="C491" s="6" t="str">
        <x:v>1室1厅</x:v>
      </x:c>
      <x:c r="D491" s="6" t="n">
        <x:v>52.23</x:v>
      </x:c>
      <x:c r="E491" s="9" t="n">
        <x:v>100</x:v>
      </x:c>
      <x:c r="F491" s="6" t="n">
        <x:v>19146.084625694046</x:v>
      </x:c>
      <x:c r="G491" s="6" t="n">
        <x:v>19357.5</x:v>
      </x:c>
      <x:c r="H491" s="8" t="n">
        <x:f>F491/G491-1</x:f>
        <x:v>-0.010921625948906333</x:v>
      </x:c>
      <x:c r="I491" s="9" t="n">
        <x:f>G491*D491/10000</x:f>
        <x:v>101.10422249999999</x:v>
      </x:c>
      <x:c r="J491" s="6" t="n">
        <x:v>5</x:v>
      </x:c>
      <x:c r="K491" s="6" t="n">
        <x:v>2</x:v>
      </x:c>
      <x:c r="L491" s="6" t="str">
        <x:v>近12个月</x:v>
      </x:c>
      <x:c r="M491" s="6" t="str">
        <x:v>2026-06-23</x:v>
      </x:c>
      <x:c r="N491" s="6" t="str">
        <x:v>106129594044</x:v>
      </x:c>
      <x:c r="O491" s="6" t="str">
        <x:v>https://cd.lianjia.com/ershoufang/106129594044.html</x:v>
      </x:c>
      <x:c r="P491" s="8" t="n">
        <x:f>1-I491/E491</x:f>
        <x:v>-0.011042224999999961</x:v>
      </x:c>
    </x:row>
    <x:row r="492" ht="22" customHeight="1">
      <x:c r="A492" s="6" t="str">
        <x:v>合江亭</x:v>
      </x:c>
      <x:c r="B492" s="6" t="str">
        <x:v>锦江印象</x:v>
      </x:c>
      <x:c r="C492" s="6" t="str">
        <x:v>1室1厅</x:v>
      </x:c>
      <x:c r="D492" s="6" t="n">
        <x:v>45.47</x:v>
      </x:c>
      <x:c r="E492" s="9" t="n">
        <x:v>86</x:v>
      </x:c>
      <x:c r="F492" s="6" t="n">
        <x:v>18913.56938640862</x:v>
      </x:c>
      <x:c r="G492" s="6" t="n">
        <x:v>22077.5</x:v>
      </x:c>
      <x:c r="H492" s="8" t="n">
        <x:f>F492/G492-1</x:f>
        <x:v>-0.14331018519267935</x:v>
      </x:c>
      <x:c r="I492" s="9" t="n">
        <x:f>G492*D492/10000</x:f>
        <x:v>100.3863925</x:v>
      </x:c>
      <x:c r="J492" s="6" t="n">
        <x:v>12</x:v>
      </x:c>
      <x:c r="K492" s="6" t="n">
        <x:v>2</x:v>
      </x:c>
      <x:c r="L492" s="6" t="str">
        <x:v>近12个月</x:v>
      </x:c>
      <x:c r="M492" s="6" t="str">
        <x:v>2026-04-09</x:v>
      </x:c>
      <x:c r="N492" s="6" t="str">
        <x:v>106129785664</x:v>
      </x:c>
      <x:c r="O492" s="6" t="str">
        <x:v>https://cd.lianjia.com/ershoufang/106129785664.html</x:v>
      </x:c>
      <x:c r="P492" s="8" t="n">
        <x:f>1-I492/E492</x:f>
        <x:v>-0.16728363372093025</x:v>
      </x:c>
    </x:row>
    <x:row r="493" ht="22" customHeight="1">
      <x:c r="A493" s="6" t="str">
        <x:v>合江亭</x:v>
      </x:c>
      <x:c r="B493" s="6" t="str">
        <x:v>锦上花</x:v>
      </x:c>
      <x:c r="C493" s="6" t="str">
        <x:v>1室1厅</x:v>
      </x:c>
      <x:c r="D493" s="6" t="n">
        <x:v>48.17</x:v>
      </x:c>
      <x:c r="E493" s="9" t="n">
        <x:v>83.9</x:v>
      </x:c>
      <x:c r="F493" s="6" t="n">
        <x:v>17417.479759186215</x:v>
      </x:c>
      <x:c r="G493" s="6" t="n">
        <x:v>17231</x:v>
      </x:c>
      <x:c r="H493" s="8" t="n">
        <x:f>F493/G493-1</x:f>
        <x:v>0.010822341082131981</x:v>
      </x:c>
      <x:c r="I493" s="9" t="n">
        <x:f>G493*D493/10000</x:f>
        <x:v>83.001727</x:v>
      </x:c>
      <x:c r="J493" s="6" t="n">
        <x:v>5</x:v>
      </x:c>
      <x:c r="K493" s="6" t="n">
        <x:v>3</x:v>
      </x:c>
      <x:c r="L493" s="6" t="str">
        <x:v>近12个月</x:v>
      </x:c>
      <x:c r="M493" s="6" t="str">
        <x:v>2026-06-20</x:v>
      </x:c>
      <x:c r="N493" s="6" t="str">
        <x:v>106119514566</x:v>
      </x:c>
      <x:c r="O493" s="6" t="str">
        <x:v>https://cd.lianjia.com/ershoufang/106119514566.html</x:v>
      </x:c>
      <x:c r="P493" s="8" t="n">
        <x:f>1-I493/E493</x:f>
        <x:v>0.010706471990464927</x:v>
      </x:c>
    </x:row>
    <x:row r="494" ht="22" customHeight="1">
      <x:c r="A494" s="6" t="str">
        <x:v>合江亭</x:v>
      </x:c>
      <x:c r="B494" s="6" t="str">
        <x:v>喜年广场</x:v>
      </x:c>
      <x:c r="C494" s="6" t="str">
        <x:v>1室1厅</x:v>
      </x:c>
      <x:c r="D494" s="6" t="n">
        <x:v>46.89</x:v>
      </x:c>
      <x:c r="E494" s="9" t="n">
        <x:v>88</x:v>
      </x:c>
      <x:c r="F494" s="6" t="n">
        <x:v>18767.32778844103</x:v>
      </x:c>
      <x:c r="G494" s="6" t="n">
        <x:v>23566.5</x:v>
      </x:c>
      <x:c r="H494" s="8" t="n">
        <x:f>F494/G494-1</x:f>
        <x:v>-0.20364382541145143</x:v>
      </x:c>
      <x:c r="I494" s="9" t="n">
        <x:f>G494*D494/10000</x:f>
        <x:v>110.5033185</x:v>
      </x:c>
      <x:c r="J494" s="6" t="n">
        <x:v>5</x:v>
      </x:c>
      <x:c r="K494" s="6" t="n">
        <x:v>4</x:v>
      </x:c>
      <x:c r="L494" s="6" t="str">
        <x:v>近12个月</x:v>
      </x:c>
      <x:c r="M494" s="6" t="str">
        <x:v>2026-02-01</x:v>
      </x:c>
      <x:c r="N494" s="6" t="str">
        <x:v>106129739034</x:v>
      </x:c>
      <x:c r="O494" s="6" t="str">
        <x:v>https://cd.lianjia.com/ershoufang/106129739034.html</x:v>
      </x:c>
      <x:c r="P494" s="8" t="n">
        <x:f>1-I494/E494</x:f>
        <x:v>-0.25571952840909096</x:v>
      </x:c>
    </x:row>
    <x:row r="495" ht="22" customHeight="1">
      <x:c r="A495" s="6" t="str">
        <x:v>合江亭</x:v>
      </x:c>
      <x:c r="B495" s="6" t="str">
        <x:v>蓝光时代华章</x:v>
      </x:c>
      <x:c r="C495" s="6" t="str">
        <x:v>1室0厅</x:v>
      </x:c>
      <x:c r="D495" s="6" t="n">
        <x:v>37.19</x:v>
      </x:c>
      <x:c r="E495" s="9" t="n">
        <x:v>100</x:v>
      </x:c>
      <x:c r="F495" s="6" t="n">
        <x:v>26888.948642108095</x:v>
      </x:c>
      <x:c r="G495" s="6" t="n">
        <x:v>24572</x:v>
      </x:c>
      <x:c r="H495" s="8" t="n">
        <x:f>F495/G495-1</x:f>
        <x:v>0.09429222863861697</x:v>
      </x:c>
      <x:c r="I495" s="9" t="n">
        <x:f>G495*D495/10000</x:f>
        <x:v>91.38326799999999</x:v>
      </x:c>
      <x:c r="J495" s="6" t="n">
        <x:v>17</x:v>
      </x:c>
      <x:c r="K495" s="6" t="n">
        <x:v>4</x:v>
      </x:c>
      <x:c r="L495" s="6" t="str">
        <x:v>近12个月</x:v>
      </x:c>
      <x:c r="M495" s="6" t="str">
        <x:v>2026-08-16</x:v>
      </x:c>
      <x:c r="N495" s="6" t="str">
        <x:v>106126903785</x:v>
      </x:c>
      <x:c r="O495" s="6" t="str">
        <x:v>https://cd.lianjia.com/ershoufang/106126903785.html</x:v>
      </x:c>
      <x:c r="P495" s="8" t="n">
        <x:f>1-I495/E495</x:f>
        <x:v>0.08616732000000016</x:v>
      </x:c>
    </x:row>
    <x:row r="496" ht="22" customHeight="1">
      <x:c r="A496" s="6" t="str">
        <x:v>合江亭</x:v>
      </x:c>
      <x:c r="B496" s="6" t="str">
        <x:v>蓝光时代华章</x:v>
      </x:c>
      <x:c r="C496" s="6" t="str">
        <x:v>1室0厅</x:v>
      </x:c>
      <x:c r="D496" s="6" t="n">
        <x:v>37.15</x:v>
      </x:c>
      <x:c r="E496" s="9" t="n">
        <x:v>95</x:v>
      </x:c>
      <x:c r="F496" s="6" t="n">
        <x:v>25572.005383580083</x:v>
      </x:c>
      <x:c r="G496" s="6" t="n">
        <x:v>24572</x:v>
      </x:c>
      <x:c r="H496" s="8" t="n">
        <x:f>F496/G496-1</x:f>
        <x:v>0.040696947077164314</x:v>
      </x:c>
      <x:c r="I496" s="9" t="n">
        <x:f>G496*D496/10000</x:f>
        <x:v>91.28497999999999</x:v>
      </x:c>
      <x:c r="J496" s="6" t="n">
        <x:v>17</x:v>
      </x:c>
      <x:c r="K496" s="6" t="n">
        <x:v>4</x:v>
      </x:c>
      <x:c r="L496" s="6" t="str">
        <x:v>近12个月</x:v>
      </x:c>
      <x:c r="M496" s="6" t="str">
        <x:v>2026-08-16</x:v>
      </x:c>
      <x:c r="N496" s="6" t="str">
        <x:v>106121959272</x:v>
      </x:c>
      <x:c r="O496" s="6" t="str">
        <x:v>https://cd.lianjia.com/ershoufang/106121959272.html</x:v>
      </x:c>
      <x:c r="P496" s="8" t="n">
        <x:f>1-I496/E496</x:f>
        <x:v>0.03910547368421058</x:v>
      </x:c>
    </x:row>
    <x:row r="497" ht="22" customHeight="1">
      <x:c r="A497" s="6" t="str">
        <x:v>合江亭</x:v>
      </x:c>
      <x:c r="B497" s="6" t="str">
        <x:v>锦上花</x:v>
      </x:c>
      <x:c r="C497" s="6" t="str">
        <x:v>1室1厅</x:v>
      </x:c>
      <x:c r="D497" s="6" t="n">
        <x:v>49.39</x:v>
      </x:c>
      <x:c r="E497" s="9" t="n">
        <x:v>95.9</x:v>
      </x:c>
      <x:c r="F497" s="6" t="n">
        <x:v>19416.886009313625</x:v>
      </x:c>
      <x:c r="G497" s="6" t="n">
        <x:v>17231</x:v>
      </x:c>
      <x:c r="H497" s="8" t="n">
        <x:f>F497/G497-1</x:f>
        <x:v>0.1268577569098499</x:v>
      </x:c>
      <x:c r="I497" s="9" t="n">
        <x:f>G497*D497/10000</x:f>
        <x:v>85.103909</x:v>
      </x:c>
      <x:c r="J497" s="6" t="n">
        <x:v>5</x:v>
      </x:c>
      <x:c r="K497" s="6" t="n">
        <x:v>3</x:v>
      </x:c>
      <x:c r="L497" s="6" t="str">
        <x:v>近12个月</x:v>
      </x:c>
      <x:c r="M497" s="6" t="str">
        <x:v>2026-06-20</x:v>
      </x:c>
      <x:c r="N497" s="6" t="str">
        <x:v>106128693130</x:v>
      </x:c>
      <x:c r="O497" s="6" t="str">
        <x:v>https://cd.lianjia.com/ershoufang/106128693130.html</x:v>
      </x:c>
      <x:c r="P497" s="8" t="n">
        <x:f>1-I497/E497</x:f>
        <x:v>0.11257654848800835</x:v>
      </x:c>
    </x:row>
    <x:row r="498" ht="22" customHeight="1">
      <x:c r="A498" s="6" t="str">
        <x:v>合江亭</x:v>
      </x:c>
      <x:c r="B498" s="6" t="str">
        <x:v>喜年广场</x:v>
      </x:c>
      <x:c r="C498" s="6" t="str">
        <x:v>1室0厅</x:v>
      </x:c>
      <x:c r="D498" s="6" t="n">
        <x:v>47.39</x:v>
      </x:c>
      <x:c r="E498" s="9" t="n">
        <x:v>105.5</x:v>
      </x:c>
      <x:c r="F498" s="6" t="n">
        <x:v>22262.080607723146</x:v>
      </x:c>
      <x:c r="G498" s="6" t="n">
        <x:v>22511</x:v>
      </x:c>
      <x:c r="H498" s="8" t="n">
        <x:f>F498/G498-1</x:f>
        <x:v>-0.011057678125221182</x:v>
      </x:c>
      <x:c r="I498" s="9" t="n">
        <x:f>G498*D498/10000</x:f>
        <x:v>106.679629</x:v>
      </x:c>
      <x:c r="J498" s="6" t="n">
        <x:v>8</x:v>
      </x:c>
      <x:c r="K498" s="6" t="n">
        <x:v>7</x:v>
      </x:c>
      <x:c r="L498" s="6" t="str">
        <x:v>近12个月</x:v>
      </x:c>
      <x:c r="M498" s="6" t="str">
        <x:v>2026-07-19</x:v>
      </x:c>
      <x:c r="N498" s="6" t="str">
        <x:v>106124080499</x:v>
      </x:c>
      <x:c r="O498" s="6" t="str">
        <x:v>https://cd.lianjia.com/ershoufang/106124080499.html</x:v>
      </x:c>
      <x:c r="P498" s="8" t="n">
        <x:f>1-I498/E498</x:f>
        <x:v>-0.011181317535545077</x:v>
      </x:c>
    </x:row>
    <x:row r="499" ht="22" customHeight="1">
      <x:c r="A499" s="6" t="str">
        <x:v>合江亭</x:v>
      </x:c>
      <x:c r="B499" s="6" t="str">
        <x:v>喜年广场</x:v>
      </x:c>
      <x:c r="C499" s="6" t="str">
        <x:v>1室1厅</x:v>
      </x:c>
      <x:c r="D499" s="6" t="n">
        <x:v>46.89</x:v>
      </x:c>
      <x:c r="E499" s="9" t="n">
        <x:v>106</x:v>
      </x:c>
      <x:c r="F499" s="6" t="n">
        <x:v>22606.099381531243</x:v>
      </x:c>
      <x:c r="G499" s="6" t="n">
        <x:v>23566.5</x:v>
      </x:c>
      <x:c r="H499" s="8" t="n">
        <x:f>F499/G499-1</x:f>
        <x:v>-0.04075278970015728</x:v>
      </x:c>
      <x:c r="I499" s="9" t="n">
        <x:f>G499*D499/10000</x:f>
        <x:v>110.5033185</x:v>
      </x:c>
      <x:c r="J499" s="6" t="n">
        <x:v>5</x:v>
      </x:c>
      <x:c r="K499" s="6" t="n">
        <x:v>4</x:v>
      </x:c>
      <x:c r="L499" s="6" t="str">
        <x:v>近12个月</x:v>
      </x:c>
      <x:c r="M499" s="6" t="str">
        <x:v>2026-02-01</x:v>
      </x:c>
      <x:c r="N499" s="6" t="str">
        <x:v>106124518344</x:v>
      </x:c>
      <x:c r="O499" s="6" t="str">
        <x:v>https://cd.lianjia.com/ershoufang/106124518344.html</x:v>
      </x:c>
      <x:c r="P499" s="8" t="n">
        <x:f>1-I499/E499</x:f>
        <x:v>-0.04248413679245289</x:v>
      </x:c>
    </x:row>
    <x:row r="500" ht="22" customHeight="1">
      <x:c r="A500" s="6" t="str">
        <x:v>合江亭</x:v>
      </x:c>
      <x:c r="B500" s="6" t="str">
        <x:v>国际商务大厦</x:v>
      </x:c>
      <x:c r="C500" s="6" t="str">
        <x:v>1室1厅</x:v>
      </x:c>
      <x:c r="D500" s="6" t="n">
        <x:v>45.71</x:v>
      </x:c>
      <x:c r="E500" s="9" t="n">
        <x:v>108</x:v>
      </x:c>
      <x:c r="F500" s="6" t="n">
        <x:v>23627.21505141107</x:v>
      </x:c>
      <x:c r="G500" s="6" t="n">
        <x:v>23810</x:v>
      </x:c>
      <x:c r="H500" s="8" t="n">
        <x:f>F500/G500-1</x:f>
        <x:v>-0.007676814304448998</x:v>
      </x:c>
      <x:c r="I500" s="9" t="n">
        <x:f>G500*D500/10000</x:f>
        <x:v>108.83551000000001</x:v>
      </x:c>
      <x:c r="J500" s="6" t="n">
        <x:v>3</x:v>
      </x:c>
      <x:c r="K500" s="6" t="n">
        <x:v>0</x:v>
      </x:c>
      <x:c r="L500" s="6" t="str">
        <x:v>超过12个月</x:v>
      </x:c>
      <x:c r="M500" s="6" t="str">
        <x:v>2025-08-30</x:v>
      </x:c>
      <x:c r="N500" s="6" t="str">
        <x:v>106128532608</x:v>
      </x:c>
      <x:c r="O500" s="6" t="str">
        <x:v>https://cd.lianjia.com/ershoufang/106128532608.html</x:v>
      </x:c>
      <x:c r="P500" s="8" t="n">
        <x:f>1-I500/E500</x:f>
        <x:v>-0.00773620370370387</x:v>
      </x:c>
    </x:row>
    <x:row r="501" ht="22" customHeight="1">
      <x:c r="A501" s="6" t="str">
        <x:v>合江亭</x:v>
      </x:c>
      <x:c r="B501" s="6" t="str">
        <x:v>喜年广场</x:v>
      </x:c>
      <x:c r="C501" s="6" t="str">
        <x:v>1室0厅</x:v>
      </x:c>
      <x:c r="D501" s="6" t="n">
        <x:v>46.89</x:v>
      </x:c>
      <x:c r="E501" s="9" t="n">
        <x:v>105</x:v>
      </x:c>
      <x:c r="F501" s="6" t="n">
        <x:v>22392.83429302623</x:v>
      </x:c>
      <x:c r="G501" s="6" t="n">
        <x:v>22511</x:v>
      </x:c>
      <x:c r="H501" s="8" t="n">
        <x:f>F501/G501-1</x:f>
        <x:v>-0.005249242902304219</x:v>
      </x:c>
      <x:c r="I501" s="9" t="n">
        <x:f>G501*D501/10000</x:f>
        <x:v>105.554079</x:v>
      </x:c>
      <x:c r="J501" s="6" t="n">
        <x:v>8</x:v>
      </x:c>
      <x:c r="K501" s="6" t="n">
        <x:v>7</x:v>
      </x:c>
      <x:c r="L501" s="6" t="str">
        <x:v>近12个月</x:v>
      </x:c>
      <x:c r="M501" s="6" t="str">
        <x:v>2026-07-19</x:v>
      </x:c>
      <x:c r="N501" s="6" t="str">
        <x:v>106129694247</x:v>
      </x:c>
      <x:c r="O501" s="6" t="str">
        <x:v>https://cd.lianjia.com/ershoufang/106129694247.html</x:v>
      </x:c>
      <x:c r="P501" s="8" t="n">
        <x:f>1-I501/E501</x:f>
        <x:v>-0.005276942857142863</x:v>
      </x:c>
    </x:row>
    <x:row r="502" ht="22" customHeight="1">
      <x:c r="A502" s="6" t="str">
        <x:v>盐市口</x:v>
      </x:c>
      <x:c r="B502" s="6" t="str">
        <x:v>阳光365</x:v>
      </x:c>
      <x:c r="C502" s="6" t="str">
        <x:v>1室0厅</x:v>
      </x:c>
      <x:c r="D502" s="6" t="n">
        <x:v>42.81</x:v>
      </x:c>
      <x:c r="E502" s="9" t="n">
        <x:v>108</x:v>
      </x:c>
      <x:c r="F502" s="6" t="n">
        <x:v>25227.750525578136</x:v>
      </x:c>
      <x:c r="G502" s="6"/>
      <x:c r="H502" s="8"/>
      <x:c r="I502" s="9"/>
      <x:c r="J502" s="6" t="n">
        <x:v>0</x:v>
      </x:c>
      <x:c r="K502" s="6" t="n">
        <x:v>0</x:v>
      </x:c>
      <x:c r="L502" s="6" t="str">
        <x:v>无可比</x:v>
      </x:c>
      <x:c r="M502" s="6" t="str"/>
      <x:c r="N502" s="6" t="str">
        <x:v>106128819602</x:v>
      </x:c>
      <x:c r="O502" s="6" t="str">
        <x:v>https://cd.lianjia.com/ershoufang/106128819602.html</x:v>
      </x:c>
      <x:c r="P502" s="8"/>
    </x:row>
    <x:row r="503" ht="22" customHeight="1">
      <x:c r="A503" s="6" t="str">
        <x:v>盐市口</x:v>
      </x:c>
      <x:c r="B503" s="6" t="str">
        <x:v>新和春禧时代</x:v>
      </x:c>
      <x:c r="C503" s="6" t="str">
        <x:v>1室1厅</x:v>
      </x:c>
      <x:c r="D503" s="6" t="n">
        <x:v>36.11</x:v>
      </x:c>
      <x:c r="E503" s="9" t="n">
        <x:v>112</x:v>
      </x:c>
      <x:c r="F503" s="6" t="n">
        <x:v>31016.338964275823</x:v>
      </x:c>
      <x:c r="G503" s="6"/>
      <x:c r="H503" s="8"/>
      <x:c r="I503" s="9"/>
      <x:c r="J503" s="6" t="n">
        <x:v>0</x:v>
      </x:c>
      <x:c r="K503" s="6" t="n">
        <x:v>0</x:v>
      </x:c>
      <x:c r="L503" s="6" t="str">
        <x:v>无可比</x:v>
      </x:c>
      <x:c r="M503" s="6" t="str"/>
      <x:c r="N503" s="6" t="str">
        <x:v>106121797204</x:v>
      </x:c>
      <x:c r="O503" s="6" t="str">
        <x:v>https://cd.lianjia.com/ershoufang/106121797204.html</x:v>
      </x:c>
      <x:c r="P503" s="8"/>
    </x:row>
    <x:row r="504" ht="22" customHeight="1">
      <x:c r="A504" s="6" t="str">
        <x:v>盐市口</x:v>
      </x:c>
      <x:c r="B504" s="6" t="str">
        <x:v>阳光365</x:v>
      </x:c>
      <x:c r="C504" s="6" t="str">
        <x:v>1室0厅</x:v>
      </x:c>
      <x:c r="D504" s="6" t="n">
        <x:v>33.14</x:v>
      </x:c>
      <x:c r="E504" s="9" t="n">
        <x:v>115</x:v>
      </x:c>
      <x:c r="F504" s="6" t="n">
        <x:v>34701.26735063367</x:v>
      </x:c>
      <x:c r="G504" s="6" t="n">
        <x:v>33525</x:v>
      </x:c>
      <x:c r="H504" s="8" t="n">
        <x:f>F504/G504-1</x:f>
        <x:v>0.03508627444097456</x:v>
      </x:c>
      <x:c r="I504" s="9" t="n">
        <x:f>G504*D504/10000</x:f>
        <x:v>111.10185</x:v>
      </x:c>
      <x:c r="J504" s="6" t="n">
        <x:v>10</x:v>
      </x:c>
      <x:c r="K504" s="6" t="n">
        <x:v>0</x:v>
      </x:c>
      <x:c r="L504" s="6" t="str">
        <x:v>超过12个月</x:v>
      </x:c>
      <x:c r="M504" s="6" t="str">
        <x:v>2025-08-13</x:v>
      </x:c>
      <x:c r="N504" s="6" t="str">
        <x:v>106128342924</x:v>
      </x:c>
      <x:c r="O504" s="6" t="str">
        <x:v>https://cd.lianjia.com/ershoufang/106128342924.html</x:v>
      </x:c>
      <x:c r="P504" s="8" t="n">
        <x:f>1-I504/E504</x:f>
        <x:v>0.033896956521739185</x:v>
      </x:c>
    </x:row>
    <x:row r="505" ht="22" customHeight="1">
      <x:c r="A505" s="6" t="str">
        <x:v>盐市口</x:v>
      </x:c>
      <x:c r="B505" s="6" t="str">
        <x:v>阳光365</x:v>
      </x:c>
      <x:c r="C505" s="6" t="str">
        <x:v>1室0厅</x:v>
      </x:c>
      <x:c r="D505" s="6" t="n">
        <x:v>33.11</x:v>
      </x:c>
      <x:c r="E505" s="9" t="n">
        <x:v>95</x:v>
      </x:c>
      <x:c r="F505" s="6" t="n">
        <x:v>28692.237994563577</x:v>
      </x:c>
      <x:c r="G505" s="6" t="n">
        <x:v>33525</x:v>
      </x:c>
      <x:c r="H505" s="8" t="n">
        <x:f>F505/G505-1</x:f>
        <x:v>-0.144153974807947</x:v>
      </x:c>
      <x:c r="I505" s="9" t="n">
        <x:f>G505*D505/10000</x:f>
        <x:v>111.001275</x:v>
      </x:c>
      <x:c r="J505" s="6" t="n">
        <x:v>10</x:v>
      </x:c>
      <x:c r="K505" s="6" t="n">
        <x:v>0</x:v>
      </x:c>
      <x:c r="L505" s="6" t="str">
        <x:v>超过12个月</x:v>
      </x:c>
      <x:c r="M505" s="6" t="str">
        <x:v>2025-08-13</x:v>
      </x:c>
      <x:c r="N505" s="6" t="str">
        <x:v>106122446606</x:v>
      </x:c>
      <x:c r="O505" s="6" t="str">
        <x:v>https://cd.lianjia.com/ershoufang/106122446606.html</x:v>
      </x:c>
      <x:c r="P505" s="8" t="n">
        <x:f>1-I505/E505</x:f>
        <x:v>-0.1684344736842105</x:v>
      </x:c>
    </x:row>
    <x:row r="506" ht="22" customHeight="1">
      <x:c r="A506" s="6" t="str">
        <x:v>盐市口</x:v>
      </x:c>
      <x:c r="B506" s="6" t="str">
        <x:v>阳光365</x:v>
      </x:c>
      <x:c r="C506" s="6" t="str">
        <x:v>1室1厅</x:v>
      </x:c>
      <x:c r="D506" s="6" t="n">
        <x:v>42.81</x:v>
      </x:c>
      <x:c r="E506" s="9" t="n">
        <x:v>105</x:v>
      </x:c>
      <x:c r="F506" s="6" t="n">
        <x:v>24526.97967764541</x:v>
      </x:c>
      <x:c r="G506" s="6"/>
      <x:c r="H506" s="8"/>
      <x:c r="I506" s="9"/>
      <x:c r="J506" s="6" t="n">
        <x:v>0</x:v>
      </x:c>
      <x:c r="K506" s="6" t="n">
        <x:v>0</x:v>
      </x:c>
      <x:c r="L506" s="6" t="str">
        <x:v>无可比</x:v>
      </x:c>
      <x:c r="M506" s="6" t="str"/>
      <x:c r="N506" s="6" t="str">
        <x:v>106128441333</x:v>
      </x:c>
      <x:c r="O506" s="6" t="str">
        <x:v>https://cd.lianjia.com/ershoufang/106128441333.html</x:v>
      </x:c>
      <x:c r="P506" s="8"/>
    </x:row>
    <x:row r="507" ht="22" customHeight="1">
      <x:c r="A507" s="6" t="str">
        <x:v>盐市口</x:v>
      </x:c>
      <x:c r="B507" s="6" t="str">
        <x:v>阳光365</x:v>
      </x:c>
      <x:c r="C507" s="6" t="str">
        <x:v>1室0厅</x:v>
      </x:c>
      <x:c r="D507" s="6" t="n">
        <x:v>33.11</x:v>
      </x:c>
      <x:c r="E507" s="9" t="n">
        <x:v>102</x:v>
      </x:c>
      <x:c r="F507" s="6" t="n">
        <x:v>30806.402899426157</x:v>
      </x:c>
      <x:c r="G507" s="6" t="n">
        <x:v>33525</x:v>
      </x:c>
      <x:c r="H507" s="8" t="n">
        <x:f>F507/G507-1</x:f>
        <x:v>-0.08109163610958514</x:v>
      </x:c>
      <x:c r="I507" s="9" t="n">
        <x:f>G507*D507/10000</x:f>
        <x:v>111.001275</x:v>
      </x:c>
      <x:c r="J507" s="6" t="n">
        <x:v>10</x:v>
      </x:c>
      <x:c r="K507" s="6" t="n">
        <x:v>0</x:v>
      </x:c>
      <x:c r="L507" s="6" t="str">
        <x:v>超过12个月</x:v>
      </x:c>
      <x:c r="M507" s="6" t="str">
        <x:v>2025-08-13</x:v>
      </x:c>
      <x:c r="N507" s="6" t="str">
        <x:v>106127134819</x:v>
      </x:c>
      <x:c r="O507" s="6" t="str">
        <x:v>https://cd.lianjia.com/ershoufang/106127134819.html</x:v>
      </x:c>
      <x:c r="P507" s="8" t="n">
        <x:f>1-I507/E507</x:f>
        <x:v>-0.08824779411764716</x:v>
      </x:c>
    </x:row>
    <x:row r="508" ht="22" customHeight="1">
      <x:c r="A508" s="6" t="str">
        <x:v>盐市口</x:v>
      </x:c>
      <x:c r="B508" s="6" t="str">
        <x:v>城市理想</x:v>
      </x:c>
      <x:c r="C508" s="6" t="str">
        <x:v>1室0厅</x:v>
      </x:c>
      <x:c r="D508" s="6" t="n">
        <x:v>35.89</x:v>
      </x:c>
      <x:c r="E508" s="9" t="n">
        <x:v>108</x:v>
      </x:c>
      <x:c r="F508" s="6" t="n">
        <x:v>30091.947617720813</x:v>
      </x:c>
      <x:c r="G508" s="6" t="n">
        <x:v>22667</x:v>
      </x:c>
      <x:c r="H508" s="8" t="n">
        <x:f>F508/G508-1</x:f>
        <x:v>0.3275664012758994</x:v>
      </x:c>
      <x:c r="I508" s="9" t="n">
        <x:f>G508*D508/10000</x:f>
        <x:v>81.351863</x:v>
      </x:c>
      <x:c r="J508" s="6" t="n">
        <x:v>16</x:v>
      </x:c>
      <x:c r="K508" s="6" t="n">
        <x:v>4</x:v>
      </x:c>
      <x:c r="L508" s="6" t="str">
        <x:v>近12个月</x:v>
      </x:c>
      <x:c r="M508" s="6" t="str">
        <x:v>2026-08-09</x:v>
      </x:c>
      <x:c r="N508" s="6" t="str">
        <x:v>106125188490</x:v>
      </x:c>
      <x:c r="O508" s="6" t="str">
        <x:v>https://cd.lianjia.com/ershoufang/106125188490.html</x:v>
      </x:c>
      <x:c r="P508" s="8" t="n">
        <x:f>1-I508/E508</x:f>
        <x:v>0.24674200925925927</x:v>
      </x:c>
    </x:row>
    <x:row r="509" ht="22" customHeight="1">
      <x:c r="A509" s="6" t="str">
        <x:v>盐市口</x:v>
      </x:c>
      <x:c r="B509" s="6" t="str">
        <x:v>财富中心</x:v>
      </x:c>
      <x:c r="C509" s="6" t="str">
        <x:v>1室0厅</x:v>
      </x:c>
      <x:c r="D509" s="6" t="n">
        <x:v>33.34</x:v>
      </x:c>
      <x:c r="E509" s="9" t="n">
        <x:v>93</x:v>
      </x:c>
      <x:c r="F509" s="6" t="n">
        <x:v>27894.42111577684</x:v>
      </x:c>
      <x:c r="G509" s="6" t="n">
        <x:v>29358.5</x:v>
      </x:c>
      <x:c r="H509" s="8" t="n">
        <x:f>F509/G509-1</x:f>
        <x:v>-0.04986899481319407</x:v>
      </x:c>
      <x:c r="I509" s="9" t="n">
        <x:f>G509*D509/10000</x:f>
        <x:v>97.88123900000001</x:v>
      </x:c>
      <x:c r="J509" s="6" t="n">
        <x:v>15</x:v>
      </x:c>
      <x:c r="K509" s="6" t="n">
        <x:v>4</x:v>
      </x:c>
      <x:c r="L509" s="6" t="str">
        <x:v>近12个月</x:v>
      </x:c>
      <x:c r="M509" s="6" t="str">
        <x:v>2026-07-15</x:v>
      </x:c>
      <x:c r="N509" s="6" t="str">
        <x:v>106128333276</x:v>
      </x:c>
      <x:c r="O509" s="6" t="str">
        <x:v>https://cd.lianjia.com/ershoufang/106128333276.html</x:v>
      </x:c>
      <x:c r="P509" s="8" t="n">
        <x:f>1-I509/E509</x:f>
        <x:v>-0.05248644086021503</x:v>
      </x:c>
    </x:row>
    <x:row r="510" ht="22" customHeight="1">
      <x:c r="A510" s="6" t="str">
        <x:v>盐市口</x:v>
      </x:c>
      <x:c r="B510" s="6" t="str">
        <x:v>阳光365</x:v>
      </x:c>
      <x:c r="C510" s="6" t="str">
        <x:v>1室0厅</x:v>
      </x:c>
      <x:c r="D510" s="6" t="n">
        <x:v>42.81</x:v>
      </x:c>
      <x:c r="E510" s="9" t="n">
        <x:v>110</x:v>
      </x:c>
      <x:c r="F510" s="6" t="n">
        <x:v>25694.93109086662</x:v>
      </x:c>
      <x:c r="G510" s="6"/>
      <x:c r="H510" s="8"/>
      <x:c r="I510" s="9"/>
      <x:c r="J510" s="6" t="n">
        <x:v>0</x:v>
      </x:c>
      <x:c r="K510" s="6" t="n">
        <x:v>0</x:v>
      </x:c>
      <x:c r="L510" s="6" t="str">
        <x:v>无可比</x:v>
      </x:c>
      <x:c r="M510" s="6" t="str"/>
      <x:c r="N510" s="6" t="str">
        <x:v>106120449431</x:v>
      </x:c>
      <x:c r="O510" s="6" t="str">
        <x:v>https://cd.lianjia.com/ershoufang/106120449431.html</x:v>
      </x:c>
      <x:c r="P510" s="8"/>
    </x:row>
    <x:row r="511" ht="22" customHeight="1">
      <x:c r="A511" s="6" t="str">
        <x:v>盐市口</x:v>
      </x:c>
      <x:c r="B511" s="6" t="str">
        <x:v>财富中心</x:v>
      </x:c>
      <x:c r="C511" s="6" t="str">
        <x:v>1室0厅</x:v>
      </x:c>
      <x:c r="D511" s="6" t="n">
        <x:v>33.34</x:v>
      </x:c>
      <x:c r="E511" s="9" t="n">
        <x:v>102</x:v>
      </x:c>
      <x:c r="F511" s="6" t="n">
        <x:v>30593.881223755245</x:v>
      </x:c>
      <x:c r="G511" s="6" t="n">
        <x:v>29358.5</x:v>
      </x:c>
      <x:c r="H511" s="8" t="n">
        <x:f>F511/G511-1</x:f>
        <x:v>0.04207916697907743</x:v>
      </x:c>
      <x:c r="I511" s="9" t="n">
        <x:f>G511*D511/10000</x:f>
        <x:v>97.88123900000001</x:v>
      </x:c>
      <x:c r="J511" s="6" t="n">
        <x:v>15</x:v>
      </x:c>
      <x:c r="K511" s="6" t="n">
        <x:v>4</x:v>
      </x:c>
      <x:c r="L511" s="6" t="str">
        <x:v>近12个月</x:v>
      </x:c>
      <x:c r="M511" s="6" t="str">
        <x:v>2026-07-15</x:v>
      </x:c>
      <x:c r="N511" s="6" t="str">
        <x:v>106124967631</x:v>
      </x:c>
      <x:c r="O511" s="6" t="str">
        <x:v>https://cd.lianjia.com/ershoufang/106124967631.html</x:v>
      </x:c>
      <x:c r="P511" s="8" t="n">
        <x:f>1-I511/E511</x:f>
        <x:v>0.040380009803921535</x:v>
      </x:c>
    </x:row>
    <x:row r="512" ht="22" customHeight="1">
      <x:c r="A512" s="6" t="str">
        <x:v>盐市口</x:v>
      </x:c>
      <x:c r="B512" s="6" t="str">
        <x:v>弘邦领邸</x:v>
      </x:c>
      <x:c r="C512" s="6" t="str">
        <x:v>1室1厅</x:v>
      </x:c>
      <x:c r="D512" s="6" t="n">
        <x:v>42.77</x:v>
      </x:c>
      <x:c r="E512" s="9" t="n">
        <x:v>119</x:v>
      </x:c>
      <x:c r="F512" s="6" t="n">
        <x:v>27823.240589198034</x:v>
      </x:c>
      <x:c r="G512" s="6"/>
      <x:c r="H512" s="8"/>
      <x:c r="I512" s="9"/>
      <x:c r="J512" s="6" t="n">
        <x:v>0</x:v>
      </x:c>
      <x:c r="K512" s="6" t="n">
        <x:v>0</x:v>
      </x:c>
      <x:c r="L512" s="6" t="str">
        <x:v>无可比</x:v>
      </x:c>
      <x:c r="M512" s="6" t="str"/>
      <x:c r="N512" s="6" t="str">
        <x:v>106126053744</x:v>
      </x:c>
      <x:c r="O512" s="6" t="str">
        <x:v>https://cd.lianjia.com/ershoufang/106126053744.html</x:v>
      </x:c>
      <x:c r="P512" s="8"/>
    </x:row>
    <x:row r="513" ht="22" customHeight="1">
      <x:c r="A513" s="6" t="str">
        <x:v>盐市口</x:v>
      </x:c>
      <x:c r="B513" s="6" t="str">
        <x:v>财富中心</x:v>
      </x:c>
      <x:c r="C513" s="6" t="str">
        <x:v>1室0厅</x:v>
      </x:c>
      <x:c r="D513" s="6" t="n">
        <x:v>28.46</x:v>
      </x:c>
      <x:c r="E513" s="9" t="n">
        <x:v>92</x:v>
      </x:c>
      <x:c r="F513" s="6" t="n">
        <x:v>32326.071679550245</x:v>
      </x:c>
      <x:c r="G513" s="6" t="n">
        <x:v>32018</x:v>
      </x:c>
      <x:c r="H513" s="8" t="n">
        <x:f>F513/G513-1</x:f>
        <x:v>0.009621827707859465</x:v>
      </x:c>
      <x:c r="I513" s="9" t="n">
        <x:f>G513*D513/10000</x:f>
        <x:v>91.123228</x:v>
      </x:c>
      <x:c r="J513" s="6" t="n">
        <x:v>12</x:v>
      </x:c>
      <x:c r="K513" s="6" t="n">
        <x:v>3</x:v>
      </x:c>
      <x:c r="L513" s="6" t="str">
        <x:v>近12个月</x:v>
      </x:c>
      <x:c r="M513" s="6" t="str">
        <x:v>2026-07-15</x:v>
      </x:c>
      <x:c r="N513" s="6" t="str">
        <x:v>106127934425</x:v>
      </x:c>
      <x:c r="O513" s="6" t="str">
        <x:v>https://cd.lianjia.com/ershoufang/106127934425.html</x:v>
      </x:c>
      <x:c r="P513" s="8" t="n">
        <x:f>1-I513/E513</x:f>
        <x:v>0.00953013043478268</x:v>
      </x:c>
    </x:row>
    <x:row r="514" ht="22" customHeight="1">
      <x:c r="A514" s="6" t="str">
        <x:v>盐市口</x:v>
      </x:c>
      <x:c r="B514" s="6" t="str">
        <x:v>城市理想</x:v>
      </x:c>
      <x:c r="C514" s="6" t="str">
        <x:v>1室0厅</x:v>
      </x:c>
      <x:c r="D514" s="6" t="n">
        <x:v>38.04</x:v>
      </x:c>
      <x:c r="E514" s="9" t="n">
        <x:v>94</x:v>
      </x:c>
      <x:c r="F514" s="6" t="n">
        <x:v>24710.830704521555</x:v>
      </x:c>
      <x:c r="G514" s="6" t="n">
        <x:v>22667</x:v>
      </x:c>
      <x:c r="H514" s="8" t="n">
        <x:f>F514/G514-1</x:f>
        <x:v>0.09016767567483819</x:v>
      </x:c>
      <x:c r="I514" s="9" t="n">
        <x:f>G514*D514/10000</x:f>
        <x:v>86.225268</x:v>
      </x:c>
      <x:c r="J514" s="6" t="n">
        <x:v>17</x:v>
      </x:c>
      <x:c r="K514" s="6" t="n">
        <x:v>4</x:v>
      </x:c>
      <x:c r="L514" s="6" t="str">
        <x:v>近12个月</x:v>
      </x:c>
      <x:c r="M514" s="6" t="str">
        <x:v>2026-08-09</x:v>
      </x:c>
      <x:c r="N514" s="6" t="str">
        <x:v>106125133257</x:v>
      </x:c>
      <x:c r="O514" s="6" t="str">
        <x:v>https://cd.lianjia.com/ershoufang/106125133257.html</x:v>
      </x:c>
      <x:c r="P514" s="8" t="n">
        <x:f>1-I514/E514</x:f>
        <x:v>0.08270991489361701</x:v>
      </x:c>
    </x:row>
    <x:row r="515" ht="22" customHeight="1">
      <x:c r="A515" s="6" t="str">
        <x:v>盐市口</x:v>
      </x:c>
      <x:c r="B515" s="6" t="str">
        <x:v>阳光365</x:v>
      </x:c>
      <x:c r="C515" s="6" t="str">
        <x:v>1室0厅</x:v>
      </x:c>
      <x:c r="D515" s="6" t="n">
        <x:v>33.11</x:v>
      </x:c>
      <x:c r="E515" s="9" t="n">
        <x:v>100</x:v>
      </x:c>
      <x:c r="F515" s="6" t="n">
        <x:v>30202.355783751133</x:v>
      </x:c>
      <x:c r="G515" s="6" t="n">
        <x:v>33525</x:v>
      </x:c>
      <x:c r="H515" s="8" t="n">
        <x:f>F515/G515-1</x:f>
        <x:v>-0.09910944716626002</x:v>
      </x:c>
      <x:c r="I515" s="9" t="n">
        <x:f>G515*D515/10000</x:f>
        <x:v>111.001275</x:v>
      </x:c>
      <x:c r="J515" s="6" t="n">
        <x:v>10</x:v>
      </x:c>
      <x:c r="K515" s="6" t="n">
        <x:v>0</x:v>
      </x:c>
      <x:c r="L515" s="6" t="str">
        <x:v>超过12个月</x:v>
      </x:c>
      <x:c r="M515" s="6" t="str">
        <x:v>2025-08-13</x:v>
      </x:c>
      <x:c r="N515" s="6" t="str">
        <x:v>106128317610</x:v>
      </x:c>
      <x:c r="O515" s="6" t="str">
        <x:v>https://cd.lianjia.com/ershoufang/106128317610.html</x:v>
      </x:c>
      <x:c r="P515" s="8" t="n">
        <x:f>1-I515/E515</x:f>
        <x:v>-0.1100127500000001</x:v>
      </x:c>
    </x:row>
    <x:row r="516" ht="22" customHeight="1">
      <x:c r="A516" s="6" t="str">
        <x:v>盐市口</x:v>
      </x:c>
      <x:c r="B516" s="6" t="str">
        <x:v>阳光365</x:v>
      </x:c>
      <x:c r="C516" s="6" t="str">
        <x:v>1室0厅</x:v>
      </x:c>
      <x:c r="D516" s="6" t="n">
        <x:v>42.81</x:v>
      </x:c>
      <x:c r="E516" s="9" t="n">
        <x:v>105</x:v>
      </x:c>
      <x:c r="F516" s="6" t="n">
        <x:v>24526.97967764541</x:v>
      </x:c>
      <x:c r="G516" s="6"/>
      <x:c r="H516" s="8"/>
      <x:c r="I516" s="9"/>
      <x:c r="J516" s="6" t="n">
        <x:v>0</x:v>
      </x:c>
      <x:c r="K516" s="6" t="n">
        <x:v>0</x:v>
      </x:c>
      <x:c r="L516" s="6" t="str">
        <x:v>无可比</x:v>
      </x:c>
      <x:c r="M516" s="6" t="str"/>
      <x:c r="N516" s="6" t="str">
        <x:v>106128312554</x:v>
      </x:c>
      <x:c r="O516" s="6" t="str">
        <x:v>https://cd.lianjia.com/ershoufang/106128312554.html</x:v>
      </x:c>
      <x:c r="P516" s="8"/>
    </x:row>
    <x:row r="517" ht="22" customHeight="1">
      <x:c r="A517" s="6" t="str">
        <x:v>盐市口</x:v>
      </x:c>
      <x:c r="B517" s="6" t="str">
        <x:v>财富中心</x:v>
      </x:c>
      <x:c r="C517" s="6" t="str">
        <x:v>1室0厅</x:v>
      </x:c>
      <x:c r="D517" s="6" t="n">
        <x:v>29.33</x:v>
      </x:c>
      <x:c r="E517" s="9" t="n">
        <x:v>109</x:v>
      </x:c>
      <x:c r="F517" s="6" t="n">
        <x:v>37163.31401295602</x:v>
      </x:c>
      <x:c r="G517" s="6" t="n">
        <x:v>29442</x:v>
      </x:c>
      <x:c r="H517" s="8" t="n">
        <x:f>F517/G517-1</x:f>
        <x:v>0.2622550782200943</x:v>
      </x:c>
      <x:c r="I517" s="9" t="n">
        <x:f>G517*D517/10000</x:f>
        <x:v>86.353386</x:v>
      </x:c>
      <x:c r="J517" s="6" t="n">
        <x:v>15</x:v>
      </x:c>
      <x:c r="K517" s="6" t="n">
        <x:v>3</x:v>
      </x:c>
      <x:c r="L517" s="6" t="str">
        <x:v>近12个月</x:v>
      </x:c>
      <x:c r="M517" s="6" t="str">
        <x:v>2026-07-15</x:v>
      </x:c>
      <x:c r="N517" s="6" t="str">
        <x:v>106129246073</x:v>
      </x:c>
      <x:c r="O517" s="6" t="str">
        <x:v>https://cd.lianjia.com/ershoufang/106129246073.html</x:v>
      </x:c>
      <x:c r="P517" s="8" t="n">
        <x:f>1-I517/E517</x:f>
        <x:v>0.20776710091743122</x:v>
      </x:c>
    </x:row>
    <x:row r="518" ht="22" customHeight="1">
      <x:c r="A518" s="6" t="str">
        <x:v>盐市口</x:v>
      </x:c>
      <x:c r="B518" s="6" t="str">
        <x:v>城市理想</x:v>
      </x:c>
      <x:c r="C518" s="6" t="str">
        <x:v>1室0厅</x:v>
      </x:c>
      <x:c r="D518" s="6" t="n">
        <x:v>40.61</x:v>
      </x:c>
      <x:c r="E518" s="9" t="n">
        <x:v>95</x:v>
      </x:c>
      <x:c r="F518" s="6" t="n">
        <x:v>23393.252893376015</x:v>
      </x:c>
      <x:c r="G518" s="6" t="n">
        <x:v>22667</x:v>
      </x:c>
      <x:c r="H518" s="8" t="n">
        <x:f>F518/G518-1</x:f>
        <x:v>0.03204009764750593</x:v>
      </x:c>
      <x:c r="I518" s="9" t="n">
        <x:f>G518*D518/10000</x:f>
        <x:v>92.050687</x:v>
      </x:c>
      <x:c r="J518" s="6" t="n">
        <x:v>17</x:v>
      </x:c>
      <x:c r="K518" s="6" t="n">
        <x:v>4</x:v>
      </x:c>
      <x:c r="L518" s="6" t="str">
        <x:v>近12个月</x:v>
      </x:c>
      <x:c r="M518" s="6" t="str">
        <x:v>2026-08-09</x:v>
      </x:c>
      <x:c r="N518" s="6" t="str">
        <x:v>106129487923</x:v>
      </x:c>
      <x:c r="O518" s="6" t="str">
        <x:v>https://cd.lianjia.com/ershoufang/106129487923.html</x:v>
      </x:c>
      <x:c r="P518" s="8" t="n">
        <x:f>1-I518/E518</x:f>
        <x:v>0.0310454</x:v>
      </x:c>
    </x:row>
    <x:row r="519" ht="22" customHeight="1">
      <x:c r="A519" s="6" t="str">
        <x:v>盐市口</x:v>
      </x:c>
      <x:c r="B519" s="6" t="str">
        <x:v>都仕闲庭</x:v>
      </x:c>
      <x:c r="C519" s="6" t="str">
        <x:v>1室1厅</x:v>
      </x:c>
      <x:c r="D519" s="6" t="n">
        <x:v>43.39</x:v>
      </x:c>
      <x:c r="E519" s="9" t="n">
        <x:v>100</x:v>
      </x:c>
      <x:c r="F519" s="6" t="n">
        <x:v>23046.784973496196</x:v>
      </x:c>
      <x:c r="G519" s="6"/>
      <x:c r="H519" s="8"/>
      <x:c r="I519" s="9"/>
      <x:c r="J519" s="6" t="n">
        <x:v>0</x:v>
      </x:c>
      <x:c r="K519" s="6" t="n">
        <x:v>0</x:v>
      </x:c>
      <x:c r="L519" s="6" t="str">
        <x:v>无可比</x:v>
      </x:c>
      <x:c r="M519" s="6" t="str"/>
      <x:c r="N519" s="6" t="str">
        <x:v>106129587776</x:v>
      </x:c>
      <x:c r="O519" s="6" t="str">
        <x:v>https://cd.lianjia.com/ershoufang/106129587776.html</x:v>
      </x:c>
      <x:c r="P519" s="8"/>
    </x:row>
    <x:row r="520" ht="22" customHeight="1">
      <x:c r="A520" s="6" t="str">
        <x:v>盐市口</x:v>
      </x:c>
      <x:c r="B520" s="6" t="str">
        <x:v>城市理想</x:v>
      </x:c>
      <x:c r="C520" s="6" t="str">
        <x:v>1室0厅</x:v>
      </x:c>
      <x:c r="D520" s="6" t="n">
        <x:v>40.21</x:v>
      </x:c>
      <x:c r="E520" s="9" t="n">
        <x:v>95</x:v>
      </x:c>
      <x:c r="F520" s="6" t="n">
        <x:v>23625.963690624223</x:v>
      </x:c>
      <x:c r="G520" s="6" t="n">
        <x:v>22667</x:v>
      </x:c>
      <x:c r="H520" s="8" t="n">
        <x:f>F520/G520-1</x:f>
        <x:v>0.04230659948931148</x:v>
      </x:c>
      <x:c r="I520" s="9" t="n">
        <x:f>G520*D520/10000</x:f>
        <x:v>91.144007</x:v>
      </x:c>
      <x:c r="J520" s="6" t="n">
        <x:v>18</x:v>
      </x:c>
      <x:c r="K520" s="6" t="n">
        <x:v>4</x:v>
      </x:c>
      <x:c r="L520" s="6" t="str">
        <x:v>近12个月</x:v>
      </x:c>
      <x:c r="M520" s="6" t="str">
        <x:v>2026-08-09</x:v>
      </x:c>
      <x:c r="N520" s="6" t="str">
        <x:v>106128551433</x:v>
      </x:c>
      <x:c r="O520" s="6" t="str">
        <x:v>https://cd.lianjia.com/ershoufang/106128551433.html</x:v>
      </x:c>
      <x:c r="P520" s="8" t="n">
        <x:f>1-I520/E520</x:f>
        <x:v>0.0405894</x:v>
      </x:c>
    </x:row>
    <x:row r="521" ht="22" customHeight="1">
      <x:c r="A521" s="6" t="str">
        <x:v>盐市口</x:v>
      </x:c>
      <x:c r="B521" s="6" t="str">
        <x:v>新和春禧时代</x:v>
      </x:c>
      <x:c r="C521" s="6" t="str">
        <x:v>1室1厅</x:v>
      </x:c>
      <x:c r="D521" s="6" t="n">
        <x:v>39.21</x:v>
      </x:c>
      <x:c r="E521" s="9" t="n">
        <x:v>103.8</x:v>
      </x:c>
      <x:c r="F521" s="6" t="n">
        <x:v>26472.83856159143</x:v>
      </x:c>
      <x:c r="G521" s="6"/>
      <x:c r="H521" s="8"/>
      <x:c r="I521" s="9"/>
      <x:c r="J521" s="6" t="n">
        <x:v>0</x:v>
      </x:c>
      <x:c r="K521" s="6" t="n">
        <x:v>0</x:v>
      </x:c>
      <x:c r="L521" s="6" t="str">
        <x:v>无可比</x:v>
      </x:c>
      <x:c r="M521" s="6" t="str"/>
      <x:c r="N521" s="6" t="str">
        <x:v>106123101988</x:v>
      </x:c>
      <x:c r="O521" s="6" t="str">
        <x:v>https://cd.lianjia.com/ershoufang/106123101988.html</x:v>
      </x:c>
      <x:c r="P521" s="8"/>
    </x:row>
    <x:row r="522" ht="22" customHeight="1">
      <x:c r="A522" s="6" t="str">
        <x:v>合江亭</x:v>
      </x:c>
      <x:c r="B522" s="6" t="str">
        <x:v>国际商务大厦</x:v>
      </x:c>
      <x:c r="C522" s="6" t="str">
        <x:v>1室0厅</x:v>
      </x:c>
      <x:c r="D522" s="6" t="n">
        <x:v>44.54</x:v>
      </x:c>
      <x:c r="E522" s="9" t="n">
        <x:v>110</x:v>
      </x:c>
      <x:c r="F522" s="6" t="n">
        <x:v>24696.90166142793</x:v>
      </x:c>
      <x:c r="G522" s="6" t="n">
        <x:v>20338</x:v>
      </x:c>
      <x:c r="H522" s="8" t="n">
        <x:f>F522/G522-1</x:f>
        <x:v>0.21432302396636493</x:v>
      </x:c>
      <x:c r="I522" s="9" t="n">
        <x:f>G522*D522/10000</x:f>
        <x:v>90.585452</x:v>
      </x:c>
      <x:c r="J522" s="6" t="n">
        <x:v>1</x:v>
      </x:c>
      <x:c r="K522" s="6" t="n">
        <x:v>0</x:v>
      </x:c>
      <x:c r="L522" s="6" t="str">
        <x:v>超过12个月</x:v>
      </x:c>
      <x:c r="M522" s="6" t="str">
        <x:v>2025-09-25</x:v>
      </x:c>
      <x:c r="N522" s="6" t="str"/>
      <x:c r="O522" s="6" t="str">
        <x:v>https://cd.lianjia.com/ershoufang/106125090492.html</x:v>
      </x:c>
      <x:c r="P522" s="8" t="n">
        <x:f>1-I522/E522</x:f>
        <x:v>0.1764958909090909</x:v>
      </x:c>
    </x:row>
    <x:row r="523" ht="22" customHeight="1">
      <x:c r="A523" s="6" t="str">
        <x:v>盐市口</x:v>
      </x:c>
      <x:c r="B523" s="6" t="str">
        <x:v>弘邦领邸</x:v>
      </x:c>
      <x:c r="C523" s="6" t="str">
        <x:v>1室1厅</x:v>
      </x:c>
      <x:c r="D523" s="6" t="n">
        <x:v>43.68</x:v>
      </x:c>
      <x:c r="E523" s="9" t="n">
        <x:v>110</x:v>
      </x:c>
      <x:c r="F523" s="6" t="n">
        <x:v>25183.150183150185</x:v>
      </x:c>
      <x:c r="G523" s="6"/>
      <x:c r="H523" s="8"/>
      <x:c r="I523" s="9"/>
      <x:c r="J523" s="6" t="n">
        <x:v>0</x:v>
      </x:c>
      <x:c r="K523" s="6" t="n">
        <x:v>0</x:v>
      </x:c>
      <x:c r="L523" s="6" t="str">
        <x:v>无可比</x:v>
      </x:c>
      <x:c r="M523" s="6" t="str"/>
      <x:c r="N523" s="6" t="str">
        <x:v>106129043060</x:v>
      </x:c>
      <x:c r="O523" s="6" t="str">
        <x:v>https://cd.lianjia.com/ershoufang/106129043060.html</x:v>
      </x:c>
      <x:c r="P523" s="8"/>
    </x:row>
    <x:row r="524" ht="22" customHeight="1">
      <x:c r="A524" s="6" t="str">
        <x:v>盐市口</x:v>
      </x:c>
      <x:c r="B524" s="6" t="str">
        <x:v>财富中心</x:v>
      </x:c>
      <x:c r="C524" s="6" t="str">
        <x:v>2室1厅</x:v>
      </x:c>
      <x:c r="D524" s="6" t="n">
        <x:v>47.53</x:v>
      </x:c>
      <x:c r="E524" s="9" t="n">
        <x:v>119</x:v>
      </x:c>
      <x:c r="F524" s="6" t="n">
        <x:v>25036.81885125184</x:v>
      </x:c>
      <x:c r="G524" s="6" t="n">
        <x:v>24196</x:v>
      </x:c>
      <x:c r="H524" s="8" t="n">
        <x:f>F524/G524-1</x:f>
        <x:v>0.03475032448552806</x:v>
      </x:c>
      <x:c r="I524" s="9" t="n">
        <x:f>G524*D524/10000</x:f>
        <x:v>115.00358800000001</x:v>
      </x:c>
      <x:c r="J524" s="6" t="n">
        <x:v>2</x:v>
      </x:c>
      <x:c r="K524" s="6" t="n">
        <x:v>1</x:v>
      </x:c>
      <x:c r="L524" s="6" t="str">
        <x:v>近12个月</x:v>
      </x:c>
      <x:c r="M524" s="6" t="str">
        <x:v>2026-06-21</x:v>
      </x:c>
      <x:c r="N524" s="6" t="str">
        <x:v>106125959109</x:v>
      </x:c>
      <x:c r="O524" s="6" t="str">
        <x:v>https://cd.lianjia.com/ershoufang/106125959109.html</x:v>
      </x:c>
      <x:c r="P524" s="8" t="n">
        <x:f>1-I524/E524</x:f>
        <x:v>0.033583294117647045</x:v>
      </x:c>
    </x:row>
    <x:row r="525" ht="22" customHeight="1">
      <x:c r="A525" s="6" t="str">
        <x:v>盐市口</x:v>
      </x:c>
      <x:c r="B525" s="6" t="str">
        <x:v>财富中心</x:v>
      </x:c>
      <x:c r="C525" s="6" t="str">
        <x:v>2室1厅</x:v>
      </x:c>
      <x:c r="D525" s="6" t="n">
        <x:v>47.53</x:v>
      </x:c>
      <x:c r="E525" s="9" t="n">
        <x:v>118</x:v>
      </x:c>
      <x:c r="F525" s="6" t="n">
        <x:v>24826.425415527036</x:v>
      </x:c>
      <x:c r="G525" s="6" t="n">
        <x:v>24196</x:v>
      </x:c>
      <x:c r="H525" s="8" t="n">
        <x:f>F525/G525-1</x:f>
        <x:v>0.026054943607498604</x:v>
      </x:c>
      <x:c r="I525" s="9" t="n">
        <x:f>G525*D525/10000</x:f>
        <x:v>115.00358800000001</x:v>
      </x:c>
      <x:c r="J525" s="6" t="n">
        <x:v>2</x:v>
      </x:c>
      <x:c r="K525" s="6" t="n">
        <x:v>1</x:v>
      </x:c>
      <x:c r="L525" s="6" t="str">
        <x:v>近12个月</x:v>
      </x:c>
      <x:c r="M525" s="6" t="str">
        <x:v>2026-06-21</x:v>
      </x:c>
      <x:c r="N525" s="6" t="str">
        <x:v>106129202667</x:v>
      </x:c>
      <x:c r="O525" s="6" t="str">
        <x:v>https://cd.lianjia.com/ershoufang/106129202667.html</x:v>
      </x:c>
      <x:c r="P525" s="8" t="n">
        <x:f>1-I525/E525</x:f>
        <x:v>0.025393322033898214</x:v>
      </x:c>
    </x:row>
    <x:row r="526" ht="22" customHeight="1">
      <x:c r="A526" s="6" t="str">
        <x:v>盐市口</x:v>
      </x:c>
      <x:c r="B526" s="6" t="str">
        <x:v>雕墅</x:v>
      </x:c>
      <x:c r="C526" s="6" t="str">
        <x:v>2室1厅</x:v>
      </x:c>
      <x:c r="D526" s="6" t="n">
        <x:v>49.48</x:v>
      </x:c>
      <x:c r="E526" s="9" t="n">
        <x:v>119</x:v>
      </x:c>
      <x:c r="F526" s="6" t="n">
        <x:v>24050.121261115604</x:v>
      </x:c>
      <x:c r="G526" s="6"/>
      <x:c r="H526" s="8"/>
      <x:c r="I526" s="9"/>
      <x:c r="J526" s="6" t="n">
        <x:v>0</x:v>
      </x:c>
      <x:c r="K526" s="6" t="n">
        <x:v>0</x:v>
      </x:c>
      <x:c r="L526" s="6" t="str">
        <x:v>无可比</x:v>
      </x:c>
      <x:c r="M526" s="6" t="str"/>
      <x:c r="N526" s="6" t="str">
        <x:v>106129010054</x:v>
      </x:c>
      <x:c r="O526" s="6" t="str">
        <x:v>https://cd.lianjia.com/ershoufang/106129010054.html</x:v>
      </x:c>
      <x:c r="P526" s="8"/>
    </x:row>
    <x:row r="527" ht="22" customHeight="1">
      <x:c r="A527" s="6" t="str">
        <x:v>盐市口</x:v>
      </x:c>
      <x:c r="B527" s="6" t="str">
        <x:v>世代锦江商务楼</x:v>
      </x:c>
      <x:c r="C527" s="6" t="str">
        <x:v>1室0厅</x:v>
      </x:c>
      <x:c r="D527" s="6" t="n">
        <x:v>57.61</x:v>
      </x:c>
      <x:c r="E527" s="9" t="n">
        <x:v>99.8</x:v>
      </x:c>
      <x:c r="F527" s="6" t="n">
        <x:v>17323.38135740323</x:v>
      </x:c>
      <x:c r="G527" s="6" t="n">
        <x:v>16036</x:v>
      </x:c>
      <x:c r="H527" s="8" t="n">
        <x:f>F527/G527-1</x:f>
        <x:v>0.08028070325537717</x:v>
      </x:c>
      <x:c r="I527" s="9" t="n">
        <x:f>G527*D527/10000</x:f>
        <x:v>92.38339599999999</x:v>
      </x:c>
      <x:c r="J527" s="6" t="n">
        <x:v>1</x:v>
      </x:c>
      <x:c r="K527" s="6" t="n">
        <x:v>1</x:v>
      </x:c>
      <x:c r="L527" s="6" t="str">
        <x:v>近12个月</x:v>
      </x:c>
      <x:c r="M527" s="6" t="str">
        <x:v>2026-09-13</x:v>
      </x:c>
      <x:c r="N527" s="6" t="str">
        <x:v>106127720160</x:v>
      </x:c>
      <x:c r="O527" s="6" t="str">
        <x:v>https://cd.lianjia.com/ershoufang/106127720160.html</x:v>
      </x:c>
      <x:c r="P527" s="8" t="n">
        <x:f>1-I527/E527</x:f>
        <x:v>0.07431466933867747</x:v>
      </x:c>
    </x:row>
    <x:row r="528" ht="22" customHeight="1">
      <x:c r="A528" s="6" t="str">
        <x:v>盐市口</x:v>
      </x:c>
      <x:c r="B528" s="6" t="str">
        <x:v>世代锦江商务楼</x:v>
      </x:c>
      <x:c r="C528" s="6" t="str">
        <x:v>1室0厅</x:v>
      </x:c>
      <x:c r="D528" s="6" t="n">
        <x:v>57.61</x:v>
      </x:c>
      <x:c r="E528" s="9" t="n">
        <x:v>120</x:v>
      </x:c>
      <x:c r="F528" s="6" t="n">
        <x:v>20829.717063009895</x:v>
      </x:c>
      <x:c r="G528" s="6" t="n">
        <x:v>16036</x:v>
      </x:c>
      <x:c r="H528" s="8" t="n">
        <x:f>F528/G528-1</x:f>
        <x:v>0.29893471333311905</x:v>
      </x:c>
      <x:c r="I528" s="9" t="n">
        <x:f>G528*D528/10000</x:f>
        <x:v>92.38339599999999</x:v>
      </x:c>
      <x:c r="J528" s="6" t="n">
        <x:v>1</x:v>
      </x:c>
      <x:c r="K528" s="6" t="n">
        <x:v>1</x:v>
      </x:c>
      <x:c r="L528" s="6" t="str">
        <x:v>近12个月</x:v>
      </x:c>
      <x:c r="M528" s="6" t="str">
        <x:v>2026-09-13</x:v>
      </x:c>
      <x:c r="N528" s="6" t="str">
        <x:v>106127191267</x:v>
      </x:c>
      <x:c r="O528" s="6" t="str">
        <x:v>https://cd.lianjia.com/ershoufang/106127191267.html</x:v>
      </x:c>
      <x:c r="P528" s="8" t="n">
        <x:f>1-I528/E528</x:f>
        <x:v>0.23013836666666676</x:v>
      </x:c>
    </x:row>
    <x:row r="529" ht="22" customHeight="1">
      <x:c r="A529" s="6" t="str">
        <x:v>盐市口</x:v>
      </x:c>
      <x:c r="B529" s="6" t="str">
        <x:v>世代锦江商务楼</x:v>
      </x:c>
      <x:c r="C529" s="6" t="str">
        <x:v>1室0厅</x:v>
      </x:c>
      <x:c r="D529" s="6" t="n">
        <x:v>52.74</x:v>
      </x:c>
      <x:c r="E529" s="9" t="n">
        <x:v>118</x:v>
      </x:c>
      <x:c r="F529" s="6" t="n">
        <x:v>22373.909745923396</x:v>
      </x:c>
      <x:c r="G529" s="6" t="n">
        <x:v>16036</x:v>
      </x:c>
      <x:c r="H529" s="8" t="n">
        <x:f>F529/G529-1</x:f>
        <x:v>0.39523009141452947</x:v>
      </x:c>
      <x:c r="I529" s="9" t="n">
        <x:f>G529*D529/10000</x:f>
        <x:v>84.573864</x:v>
      </x:c>
      <x:c r="J529" s="6" t="n">
        <x:v>3</x:v>
      </x:c>
      <x:c r="K529" s="6" t="n">
        <x:v>1</x:v>
      </x:c>
      <x:c r="L529" s="6" t="str">
        <x:v>近12个月</x:v>
      </x:c>
      <x:c r="M529" s="6" t="str">
        <x:v>2026-09-13</x:v>
      </x:c>
      <x:c r="N529" s="6" t="str">
        <x:v>106124849365</x:v>
      </x:c>
      <x:c r="O529" s="6" t="str">
        <x:v>https://cd.lianjia.com/ershoufang/106124849365.html</x:v>
      </x:c>
      <x:c r="P529" s="8" t="n">
        <x:f>1-I529/E529</x:f>
        <x:v>0.2832723389830508</x:v>
      </x:c>
    </x:row>
    <x:row r="530" ht="22" customHeight="1">
      <x:c r="A530" s="6" t="str">
        <x:v>盐市口</x:v>
      </x:c>
      <x:c r="B530" s="6" t="str">
        <x:v>科甲大厦</x:v>
      </x:c>
      <x:c r="C530" s="6" t="str">
        <x:v>1室1厅</x:v>
      </x:c>
      <x:c r="D530" s="6" t="n">
        <x:v>56.82</x:v>
      </x:c>
      <x:c r="E530" s="9" t="n">
        <x:v>85</x:v>
      </x:c>
      <x:c r="F530" s="6" t="n">
        <x:v>14959.52129531855</x:v>
      </x:c>
      <x:c r="G530" s="6" t="n">
        <x:v>13444</x:v>
      </x:c>
      <x:c r="H530" s="8" t="n">
        <x:f>F530/G530-1</x:f>
        <x:v>0.11272845100554507</x:v>
      </x:c>
      <x:c r="I530" s="9" t="n">
        <x:f>G530*D530/10000</x:f>
        <x:v>76.388808</x:v>
      </x:c>
      <x:c r="J530" s="6" t="n">
        <x:v>1</x:v>
      </x:c>
      <x:c r="K530" s="6" t="n">
        <x:v>1</x:v>
      </x:c>
      <x:c r="L530" s="6" t="str">
        <x:v>近12个月</x:v>
      </x:c>
      <x:c r="M530" s="6" t="str">
        <x:v>2026-06-20</x:v>
      </x:c>
      <x:c r="N530" s="6" t="str">
        <x:v>106125263485</x:v>
      </x:c>
      <x:c r="O530" s="6" t="str">
        <x:v>https://cd.lianjia.com/ershoufang/106125263485.html</x:v>
      </x:c>
      <x:c r="P530" s="8" t="n">
        <x:f>1-I530/E530</x:f>
        <x:v>0.10130814117647058</x:v>
      </x:c>
    </x:row>
    <x:row r="531" ht="22" customHeight="1">
      <x:c r="A531" s="6" t="str">
        <x:v>盐市口</x:v>
      </x:c>
      <x:c r="B531" s="6" t="str">
        <x:v>现代之窗</x:v>
      </x:c>
      <x:c r="C531" s="6" t="str">
        <x:v>1室0厅</x:v>
      </x:c>
      <x:c r="D531" s="6" t="n">
        <x:v>40.6</x:v>
      </x:c>
      <x:c r="E531" s="9" t="n">
        <x:v>61</x:v>
      </x:c>
      <x:c r="F531" s="6" t="n">
        <x:v>15024.63054187192</x:v>
      </x:c>
      <x:c r="G531" s="6" t="n">
        <x:v>14416</x:v>
      </x:c>
      <x:c r="H531" s="8" t="n">
        <x:f>F531/G531-1</x:f>
        <x:v>0.04221909974139293</x:v>
      </x:c>
      <x:c r="I531" s="9" t="n">
        <x:f>G531*D531/10000</x:f>
        <x:v>58.52896</x:v>
      </x:c>
      <x:c r="J531" s="6" t="n">
        <x:v>5</x:v>
      </x:c>
      <x:c r="K531" s="6" t="n">
        <x:v>1</x:v>
      </x:c>
      <x:c r="L531" s="6" t="str">
        <x:v>近12个月</x:v>
      </x:c>
      <x:c r="M531" s="6" t="str">
        <x:v>2025-12-18</x:v>
      </x:c>
      <x:c r="N531" s="6" t="str">
        <x:v>106129065196</x:v>
      </x:c>
      <x:c r="O531" s="6" t="str">
        <x:v>https://cd.lianjia.com/ershoufang/106129065196.html</x:v>
      </x:c>
      <x:c r="P531" s="8" t="n">
        <x:f>1-I531/E531</x:f>
        <x:v>0.040508852459016476</x:v>
      </x:c>
    </x:row>
    <x:row r="532" ht="22" customHeight="1">
      <x:c r="A532" s="6" t="str">
        <x:v>盐市口</x:v>
      </x:c>
      <x:c r="B532" s="6" t="str">
        <x:v>世代锦江商务楼</x:v>
      </x:c>
      <x:c r="C532" s="6" t="str">
        <x:v>1室0厅</x:v>
      </x:c>
      <x:c r="D532" s="6" t="n">
        <x:v>45.72</x:v>
      </x:c>
      <x:c r="E532" s="9" t="n">
        <x:v>120</x:v>
      </x:c>
      <x:c r="F532" s="6" t="n">
        <x:v>26246.71916010499</x:v>
      </x:c>
      <x:c r="G532" s="6" t="n">
        <x:v>16036</x:v>
      </x:c>
      <x:c r="H532" s="8" t="n">
        <x:f>F532/G532-1</x:f>
        <x:v>0.6367372886071956</x:v>
      </x:c>
      <x:c r="I532" s="9" t="n">
        <x:f>G532*D532/10000</x:f>
        <x:v>73.31659199999999</x:v>
      </x:c>
      <x:c r="J532" s="6" t="n">
        <x:v>11</x:v>
      </x:c>
      <x:c r="K532" s="6" t="n">
        <x:v>1</x:v>
      </x:c>
      <x:c r="L532" s="6" t="str">
        <x:v>近12个月</x:v>
      </x:c>
      <x:c r="M532" s="6" t="str">
        <x:v>2026-09-13</x:v>
      </x:c>
      <x:c r="N532" s="6" t="str">
        <x:v>106125983947</x:v>
      </x:c>
      <x:c r="O532" s="6" t="str">
        <x:v>https://cd.lianjia.com/ershoufang/106125983947.html</x:v>
      </x:c>
      <x:c r="P532" s="8" t="n">
        <x:f>1-I532/E532</x:f>
        <x:v>0.38902840000000016</x:v>
      </x:c>
    </x:row>
    <x:row r="533" ht="22" customHeight="1">
      <x:c r="A533" s="6" t="str">
        <x:v>盐市口</x:v>
      </x:c>
      <x:c r="B533" s="6" t="str">
        <x:v>世代锦江商务楼</x:v>
      </x:c>
      <x:c r="C533" s="6" t="str">
        <x:v>1室0厅</x:v>
      </x:c>
      <x:c r="D533" s="6" t="n">
        <x:v>43.78</x:v>
      </x:c>
      <x:c r="E533" s="9" t="n">
        <x:v>110</x:v>
      </x:c>
      <x:c r="F533" s="6" t="n">
        <x:v>25125.628140703517</x:v>
      </x:c>
      <x:c r="G533" s="6" t="n">
        <x:v>26268</x:v>
      </x:c>
      <x:c r="H533" s="8" t="n">
        <x:f>F533/G533-1</x:f>
        <x:v>-0.043489106871344774</x:v>
      </x:c>
      <x:c r="I533" s="9" t="n">
        <x:f>G533*D533/10000</x:f>
        <x:v>115.001304</x:v>
      </x:c>
      <x:c r="J533" s="6" t="n">
        <x:v>10</x:v>
      </x:c>
      <x:c r="K533" s="6" t="n">
        <x:v>0</x:v>
      </x:c>
      <x:c r="L533" s="6" t="str">
        <x:v>超过12个月</x:v>
      </x:c>
      <x:c r="M533" s="6" t="str">
        <x:v>2025-10-01</x:v>
      </x:c>
      <x:c r="N533" s="6" t="str">
        <x:v>106127106792</x:v>
      </x:c>
      <x:c r="O533" s="6" t="str">
        <x:v>https://cd.lianjia.com/ershoufang/106127106792.html</x:v>
      </x:c>
      <x:c r="P533" s="8" t="n">
        <x:f>1-I533/E533</x:f>
        <x:v>-0.04546640000000002</x:v>
      </x:c>
    </x:row>
    <x:row r="534" ht="22" customHeight="1">
      <x:c r="A534" s="6" t="str">
        <x:v>盐市口</x:v>
      </x:c>
      <x:c r="B534" s="6" t="str">
        <x:v>世代锦江商务楼</x:v>
      </x:c>
      <x:c r="C534" s="6" t="str">
        <x:v>1室0厅</x:v>
      </x:c>
      <x:c r="D534" s="6" t="n">
        <x:v>41.02</x:v>
      </x:c>
      <x:c r="E534" s="9" t="n">
        <x:v>116</x:v>
      </x:c>
      <x:c r="F534" s="6" t="n">
        <x:v>28278.88834714773</x:v>
      </x:c>
      <x:c r="G534" s="6" t="n">
        <x:v>26268</x:v>
      </x:c>
      <x:c r="H534" s="8" t="n">
        <x:f>F534/G534-1</x:f>
        <x:v>0.07655277703470875</x:v>
      </x:c>
      <x:c r="I534" s="9" t="n">
        <x:f>G534*D534/10000</x:f>
        <x:v>107.75133600000001</x:v>
      </x:c>
      <x:c r="J534" s="6" t="n">
        <x:v>10</x:v>
      </x:c>
      <x:c r="K534" s="6" t="n">
        <x:v>0</x:v>
      </x:c>
      <x:c r="L534" s="6" t="str">
        <x:v>超过12个月</x:v>
      </x:c>
      <x:c r="M534" s="6" t="str">
        <x:v>2025-10-01</x:v>
      </x:c>
      <x:c r="N534" s="6" t="str">
        <x:v>106126922942</x:v>
      </x:c>
      <x:c r="O534" s="6" t="str">
        <x:v>https://cd.lianjia.com/ershoufang/106126922942.html</x:v>
      </x:c>
      <x:c r="P534" s="8" t="n">
        <x:f>1-I534/E534</x:f>
        <x:v>0.071109172413793</x:v>
      </x:c>
    </x:row>
    <x:row r="535" ht="22" customHeight="1">
      <x:c r="A535" s="6" t="str">
        <x:v>盐市口</x:v>
      </x:c>
      <x:c r="B535" s="6" t="str">
        <x:v>大发百度城</x:v>
      </x:c>
      <x:c r="C535" s="6" t="str">
        <x:v>1室1厅</x:v>
      </x:c>
      <x:c r="D535" s="6" t="n">
        <x:v>35.75</x:v>
      </x:c>
      <x:c r="E535" s="9" t="n">
        <x:v>46</x:v>
      </x:c>
      <x:c r="F535" s="6" t="n">
        <x:v>12867.132867132867</x:v>
      </x:c>
      <x:c r="G535" s="6" t="n">
        <x:v>10502</x:v>
      </x:c>
      <x:c r="H535" s="8" t="n">
        <x:f>F535/G535-1</x:f>
        <x:v>0.22520785251693654</x:v>
      </x:c>
      <x:c r="I535" s="9" t="n">
        <x:f>G535*D535/10000</x:f>
        <x:v>37.54465</x:v>
      </x:c>
      <x:c r="J535" s="6" t="n">
        <x:v>2</x:v>
      </x:c>
      <x:c r="K535" s="6" t="n">
        <x:v>2</x:v>
      </x:c>
      <x:c r="L535" s="6" t="str">
        <x:v>近12个月</x:v>
      </x:c>
      <x:c r="M535" s="6" t="str">
        <x:v>2026-06-18</x:v>
      </x:c>
      <x:c r="N535" s="6" t="str">
        <x:v>106121929437</x:v>
      </x:c>
      <x:c r="O535" s="6" t="str">
        <x:v>https://cd.lianjia.com/ershoufang/106121929437.html</x:v>
      </x:c>
      <x:c r="P535" s="8" t="n">
        <x:f>1-I535/E535</x:f>
        <x:v>0.1838119565217392</x:v>
      </x:c>
    </x:row>
    <x:row r="536" ht="22" customHeight="1">
      <x:c r="A536" s="6" t="str">
        <x:v>盐市口</x:v>
      </x:c>
      <x:c r="B536" s="6" t="str">
        <x:v>第一城</x:v>
      </x:c>
      <x:c r="C536" s="6" t="str">
        <x:v>1室1厅</x:v>
      </x:c>
      <x:c r="D536" s="6" t="n">
        <x:v>35.91</x:v>
      </x:c>
      <x:c r="E536" s="9" t="n">
        <x:v>50</x:v>
      </x:c>
      <x:c r="F536" s="6" t="n">
        <x:v>13923.69813422445</x:v>
      </x:c>
      <x:c r="G536" s="6"/>
      <x:c r="H536" s="8"/>
      <x:c r="I536" s="9"/>
      <x:c r="J536" s="6" t="n">
        <x:v>0</x:v>
      </x:c>
      <x:c r="K536" s="6" t="n">
        <x:v>0</x:v>
      </x:c>
      <x:c r="L536" s="6" t="str">
        <x:v>无可比</x:v>
      </x:c>
      <x:c r="M536" s="6" t="str"/>
      <x:c r="N536" s="6" t="str">
        <x:v>106128273326</x:v>
      </x:c>
      <x:c r="O536" s="6" t="str">
        <x:v>https://cd.lianjia.com/ershoufang/106128273326.html</x:v>
      </x:c>
      <x:c r="P536" s="8"/>
    </x:row>
    <x:row r="537" ht="22" customHeight="1">
      <x:c r="A537" s="6" t="str">
        <x:v>盐市口</x:v>
      </x:c>
      <x:c r="B537" s="6" t="str">
        <x:v>大发百度城</x:v>
      </x:c>
      <x:c r="C537" s="6" t="str">
        <x:v>1室0厅</x:v>
      </x:c>
      <x:c r="D537" s="6" t="n">
        <x:v>40.47</x:v>
      </x:c>
      <x:c r="E537" s="9" t="n">
        <x:v>45</x:v>
      </x:c>
      <x:c r="F537" s="6" t="n">
        <x:v>11119.347664936991</x:v>
      </x:c>
      <x:c r="G537" s="6" t="n">
        <x:v>9962.5</x:v>
      </x:c>
      <x:c r="H537" s="8" t="n">
        <x:f>F537/G537-1</x:f>
        <x:v>0.11612021730860644</x:v>
      </x:c>
      <x:c r="I537" s="9" t="n">
        <x:f>G537*D537/10000</x:f>
        <x:v>40.3182375</x:v>
      </x:c>
      <x:c r="J537" s="6" t="n">
        <x:v>6</x:v>
      </x:c>
      <x:c r="K537" s="6" t="n">
        <x:v>2</x:v>
      </x:c>
      <x:c r="L537" s="6" t="str">
        <x:v>近12个月</x:v>
      </x:c>
      <x:c r="M537" s="6" t="str">
        <x:v>2026-07-05</x:v>
      </x:c>
      <x:c r="N537" s="6" t="str">
        <x:v>106125914809</x:v>
      </x:c>
      <x:c r="O537" s="6" t="str">
        <x:v>https://cd.lianjia.com/ershoufang/106125914809.html</x:v>
      </x:c>
      <x:c r="P537" s="8" t="n">
        <x:f>1-I537/E537</x:f>
        <x:v>0.10403916666666657</x:v>
      </x:c>
    </x:row>
    <x:row r="538" ht="22" customHeight="1">
      <x:c r="A538" s="6" t="str">
        <x:v>盐市口</x:v>
      </x:c>
      <x:c r="B538" s="6" t="str">
        <x:v>科甲大厦</x:v>
      </x:c>
      <x:c r="C538" s="6" t="str">
        <x:v>1室0厅</x:v>
      </x:c>
      <x:c r="D538" s="6" t="n">
        <x:v>33</x:v>
      </x:c>
      <x:c r="E538" s="9" t="n">
        <x:v>49</x:v>
      </x:c>
      <x:c r="F538" s="6" t="n">
        <x:v>14848.484848484848</x:v>
      </x:c>
      <x:c r="G538" s="6"/>
      <x:c r="H538" s="8"/>
      <x:c r="I538" s="9"/>
      <x:c r="J538" s="6" t="n">
        <x:v>0</x:v>
      </x:c>
      <x:c r="K538" s="6" t="n">
        <x:v>0</x:v>
      </x:c>
      <x:c r="L538" s="6" t="str">
        <x:v>无可比</x:v>
      </x:c>
      <x:c r="M538" s="6" t="str"/>
      <x:c r="N538" s="6" t="str">
        <x:v>106126625899</x:v>
      </x:c>
      <x:c r="O538" s="6" t="str">
        <x:v>https://cd.lianjia.com/ershoufang/106126625899.html</x:v>
      </x:c>
      <x:c r="P538" s="8"/>
    </x:row>
    <x:row r="539" ht="22" customHeight="1">
      <x:c r="A539" s="6" t="str">
        <x:v>盐市口</x:v>
      </x:c>
      <x:c r="B539" s="6" t="str">
        <x:v>正成财富ID</x:v>
      </x:c>
      <x:c r="C539" s="6" t="str">
        <x:v>1室0厅</x:v>
      </x:c>
      <x:c r="D539" s="6" t="n">
        <x:v>41.78</x:v>
      </x:c>
      <x:c r="E539" s="9" t="n">
        <x:v>39.8</x:v>
      </x:c>
      <x:c r="F539" s="6" t="n">
        <x:v>9526.089037817137</x:v>
      </x:c>
      <x:c r="G539" s="6"/>
      <x:c r="H539" s="8"/>
      <x:c r="I539" s="9"/>
      <x:c r="J539" s="6" t="n">
        <x:v>0</x:v>
      </x:c>
      <x:c r="K539" s="6" t="n">
        <x:v>0</x:v>
      </x:c>
      <x:c r="L539" s="6" t="str">
        <x:v>无可比</x:v>
      </x:c>
      <x:c r="M539" s="6" t="str"/>
      <x:c r="N539" s="6" t="str">
        <x:v>106127293542</x:v>
      </x:c>
      <x:c r="O539" s="6" t="str">
        <x:v>https://cd.lianjia.com/ershoufang/106127293542.html</x:v>
      </x:c>
      <x:c r="P539" s="8"/>
    </x:row>
    <x:row r="540" ht="22" customHeight="1">
      <x:c r="A540" s="6" t="str">
        <x:v>盐市口</x:v>
      </x:c>
      <x:c r="B540" s="6" t="str">
        <x:v>兴隆街23号</x:v>
      </x:c>
      <x:c r="C540" s="6" t="str">
        <x:v>1室0厅</x:v>
      </x:c>
      <x:c r="D540" s="6" t="n">
        <x:v>40.38</x:v>
      </x:c>
      <x:c r="E540" s="9" t="n">
        <x:v>45</x:v>
      </x:c>
      <x:c r="F540" s="6" t="n">
        <x:v>11144.130757800891</x:v>
      </x:c>
      <x:c r="G540" s="6"/>
      <x:c r="H540" s="8"/>
      <x:c r="I540" s="9"/>
      <x:c r="J540" s="6" t="n">
        <x:v>0</x:v>
      </x:c>
      <x:c r="K540" s="6" t="n">
        <x:v>0</x:v>
      </x:c>
      <x:c r="L540" s="6" t="str">
        <x:v>无可比</x:v>
      </x:c>
      <x:c r="M540" s="6" t="str"/>
      <x:c r="N540" s="6" t="str">
        <x:v>106129807733</x:v>
      </x:c>
      <x:c r="O540" s="6" t="str">
        <x:v>https://cd.lianjia.com/ershoufang/106129807733.html</x:v>
      </x:c>
      <x:c r="P540" s="8"/>
    </x:row>
    <x:row r="541" ht="22" customHeight="1">
      <x:c r="A541" s="6" t="str">
        <x:v>盐市口</x:v>
      </x:c>
      <x:c r="B541" s="6" t="str">
        <x:v>都市驿站</x:v>
      </x:c>
      <x:c r="C541" s="6" t="str">
        <x:v>1室1厅</x:v>
      </x:c>
      <x:c r="D541" s="6" t="n">
        <x:v>45.39</x:v>
      </x:c>
      <x:c r="E541" s="9" t="n">
        <x:v>114</x:v>
      </x:c>
      <x:c r="F541" s="6" t="n">
        <x:v>25115.66424322538</x:v>
      </x:c>
      <x:c r="G541" s="6" t="n">
        <x:v>18122</x:v>
      </x:c>
      <x:c r="H541" s="8" t="n">
        <x:f>F541/G541-1</x:f>
        <x:v>0.38592121417202185</x:v>
      </x:c>
      <x:c r="I541" s="9" t="n">
        <x:f>G541*D541/10000</x:f>
        <x:v>82.255758</x:v>
      </x:c>
      <x:c r="J541" s="6" t="n">
        <x:v>20</x:v>
      </x:c>
      <x:c r="K541" s="6" t="n">
        <x:v>9</x:v>
      </x:c>
      <x:c r="L541" s="6" t="str">
        <x:v>近12个月</x:v>
      </x:c>
      <x:c r="M541" s="6" t="str">
        <x:v>2026-09-13</x:v>
      </x:c>
      <x:c r="N541" s="6" t="str">
        <x:v>106121880703</x:v>
      </x:c>
      <x:c r="O541" s="6" t="str">
        <x:v>https://cd.lianjia.com/ershoufang/106121880703.html</x:v>
      </x:c>
      <x:c r="P541" s="8" t="n">
        <x:f>1-I541/E541</x:f>
        <x:v>0.2784582631578947</x:v>
      </x:c>
    </x:row>
    <x:row r="542" ht="22" customHeight="1">
      <x:c r="A542" s="6" t="str">
        <x:v>盐市口</x:v>
      </x:c>
      <x:c r="B542" s="6" t="str">
        <x:v>美华大厦</x:v>
      </x:c>
      <x:c r="C542" s="6" t="str">
        <x:v>1室0厅</x:v>
      </x:c>
      <x:c r="D542" s="6" t="n">
        <x:v>46.15</x:v>
      </x:c>
      <x:c r="E542" s="9" t="n">
        <x:v>108</x:v>
      </x:c>
      <x:c r="F542" s="6" t="n">
        <x:v>23401.95016251354</x:v>
      </x:c>
      <x:c r="G542" s="6" t="n">
        <x:v>22387</x:v>
      </x:c>
      <x:c r="H542" s="8" t="n">
        <x:f>F542/G542-1</x:f>
        <x:v>0.045336586524033606</x:v>
      </x:c>
      <x:c r="I542" s="9" t="n">
        <x:f>G542*D542/10000</x:f>
        <x:v>103.31600499999999</x:v>
      </x:c>
      <x:c r="J542" s="6" t="n">
        <x:v>2</x:v>
      </x:c>
      <x:c r="K542" s="6" t="n">
        <x:v>1</x:v>
      </x:c>
      <x:c r="L542" s="6" t="str">
        <x:v>近12个月</x:v>
      </x:c>
      <x:c r="M542" s="6" t="str">
        <x:v>2025-12-05</x:v>
      </x:c>
      <x:c r="N542" s="6" t="str">
        <x:v>106127964042</x:v>
      </x:c>
      <x:c r="O542" s="6" t="str">
        <x:v>https://cd.lianjia.com/ershoufang/106127964042.html</x:v>
      </x:c>
      <x:c r="P542" s="8" t="n">
        <x:f>1-I542/E542</x:f>
        <x:v>0.04337032407407415</x:v>
      </x:c>
    </x:row>
    <x:row r="543" ht="22" customHeight="1">
      <x:c r="A543" s="6" t="str">
        <x:v>盐市口</x:v>
      </x:c>
      <x:c r="B543" s="6" t="str">
        <x:v>财富中心</x:v>
      </x:c>
      <x:c r="C543" s="6" t="str">
        <x:v>1室1厅</x:v>
      </x:c>
      <x:c r="D543" s="6" t="n">
        <x:v>31.08</x:v>
      </x:c>
      <x:c r="E543" s="9" t="n">
        <x:v>109.8</x:v>
      </x:c>
      <x:c r="F543" s="6" t="n">
        <x:v>35328.18532818533</x:v>
      </x:c>
      <x:c r="G543" s="6" t="n">
        <x:v>32778</x:v>
      </x:c>
      <x:c r="H543" s="8" t="n">
        <x:f>F543/G543-1</x:f>
        <x:v>0.0778017367803201</x:v>
      </x:c>
      <x:c r="I543" s="9" t="n">
        <x:f>G543*D543/10000</x:f>
        <x:v>101.874024</x:v>
      </x:c>
      <x:c r="J543" s="6" t="n">
        <x:v>1</x:v>
      </x:c>
      <x:c r="K543" s="6" t="n">
        <x:v>0</x:v>
      </x:c>
      <x:c r="L543" s="6" t="str">
        <x:v>超过12个月</x:v>
      </x:c>
      <x:c r="M543" s="6" t="str">
        <x:v>2025-01-24</x:v>
      </x:c>
      <x:c r="N543" s="6" t="str">
        <x:v>106127465157</x:v>
      </x:c>
      <x:c r="O543" s="6" t="str">
        <x:v>https://cd.lianjia.com/ershoufang/106127465157.html</x:v>
      </x:c>
      <x:c r="P543" s="8" t="n">
        <x:f>1-I543/E543</x:f>
        <x:v>0.07218557377049173</x:v>
      </x:c>
    </x:row>
    <x:row r="544" ht="22" customHeight="1">
      <x:c r="A544" s="6" t="str">
        <x:v>盐市口</x:v>
      </x:c>
      <x:c r="B544" s="6" t="str">
        <x:v>财富中心</x:v>
      </x:c>
      <x:c r="C544" s="6" t="str">
        <x:v>1室0厅</x:v>
      </x:c>
      <x:c r="D544" s="6" t="n">
        <x:v>29.38</x:v>
      </x:c>
      <x:c r="E544" s="9" t="n">
        <x:v>96</x:v>
      </x:c>
      <x:c r="F544" s="6" t="n">
        <x:v>32675.289312457455</x:v>
      </x:c>
      <x:c r="G544" s="6" t="n">
        <x:v>29442</x:v>
      </x:c>
      <x:c r="H544" s="8" t="n">
        <x:f>F544/G544-1</x:f>
        <x:v>0.10981894275040616</x:v>
      </x:c>
      <x:c r="I544" s="9" t="n">
        <x:f>G544*D544/10000</x:f>
        <x:v>86.500596</x:v>
      </x:c>
      <x:c r="J544" s="6" t="n">
        <x:v>15</x:v>
      </x:c>
      <x:c r="K544" s="6" t="n">
        <x:v>3</x:v>
      </x:c>
      <x:c r="L544" s="6" t="str">
        <x:v>近12个月</x:v>
      </x:c>
      <x:c r="M544" s="6" t="str">
        <x:v>2026-07-15</x:v>
      </x:c>
      <x:c r="N544" s="6" t="str">
        <x:v>106126666122</x:v>
      </x:c>
      <x:c r="O544" s="6" t="str">
        <x:v>https://cd.lianjia.com/ershoufang/106126666122.html</x:v>
      </x:c>
      <x:c r="P544" s="8" t="n">
        <x:f>1-I544/E544</x:f>
        <x:v>0.09895212499999995</x:v>
      </x:c>
    </x:row>
    <x:row r="545" ht="22" customHeight="1">
      <x:c r="A545" s="6" t="str">
        <x:v>盐市口</x:v>
      </x:c>
      <x:c r="B545" s="6" t="str">
        <x:v>财富中心</x:v>
      </x:c>
      <x:c r="C545" s="6" t="str">
        <x:v>1室0厅</x:v>
      </x:c>
      <x:c r="D545" s="6" t="n">
        <x:v>29.4</x:v>
      </x:c>
      <x:c r="E545" s="9" t="n">
        <x:v>97</x:v>
      </x:c>
      <x:c r="F545" s="6" t="n">
        <x:v>32993.19727891157</x:v>
      </x:c>
      <x:c r="G545" s="6" t="n">
        <x:v>29442</x:v>
      </x:c>
      <x:c r="H545" s="8" t="n">
        <x:f>F545/G545-1</x:f>
        <x:v>0.1206167135015137</x:v>
      </x:c>
      <x:c r="I545" s="9" t="n">
        <x:f>G545*D545/10000</x:f>
        <x:v>86.55948</x:v>
      </x:c>
      <x:c r="J545" s="6" t="n">
        <x:v>15</x:v>
      </x:c>
      <x:c r="K545" s="6" t="n">
        <x:v>3</x:v>
      </x:c>
      <x:c r="L545" s="6" t="str">
        <x:v>近12个月</x:v>
      </x:c>
      <x:c r="M545" s="6" t="str">
        <x:v>2026-07-15</x:v>
      </x:c>
      <x:c r="N545" s="6" t="str">
        <x:v>106121511719</x:v>
      </x:c>
      <x:c r="O545" s="6" t="str">
        <x:v>https://cd.lianjia.com/ershoufang/106121511719.html</x:v>
      </x:c>
      <x:c r="P545" s="8" t="n">
        <x:f>1-I545/E545</x:f>
        <x:v>0.10763422680412382</x:v>
      </x:c>
    </x:row>
  </x:sheetData>
  <x:conditionalFormatting sqref="H7:H545">
    <x:cfRule type="colorScale" priority="1">
      <x:colorScale>
        <x:cfvo type="min"/>
        <x:cfvo type="percentile" val="50"/>
        <x:cfvo type="max"/>
        <x:color rgb="FFCEEAD9"/>
        <x:color rgb="FFF6F8F9"/>
        <x:color rgb="FFF7D2CF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6" hidden="0" customWidth="1"/>
    <x:col min="3" max="3" width="19" hidden="0" customWidth="1"/>
    <x:col min="4" max="4" width="19" hidden="0" customWidth="1"/>
    <x:col min="5" max="5" width="19" hidden="0" customWidth="1"/>
    <x:col min="6" max="6" width="21" hidden="0" customWidth="1"/>
    <x:col min="7" max="7" width="20" hidden="0" customWidth="1"/>
    <x:col min="8" max="8" width="20" hidden="0" customWidth="1"/>
    <x:col min="9" max="9" width="25" hidden="0" customWidth="1"/>
    <x:col min="10" max="10" width="66" hidden="0" customWidth="1"/>
  </x:cols>
  <x:sheetData>
    <x:row r="2">
      <x:c r="A2" s="1" t="str">
        <x:v>已参与匹配的历史成交样本（去重）</x:v>
      </x:c>
    </x:row>
    <x:row r="3">
      <x:c r="A3" s="2" t="str">
        <x:v>源数据1050条；仅使用精装/简装，与当前25–60㎡挂牌房源可比的成交，按成交日期倒序。</x:v>
      </x:c>
    </x:row>
    <x:row r="6" ht="30" customHeight="1">
      <x:c r="A6" s="7" t="str">
        <x:v>商圈</x:v>
      </x:c>
      <x:c r="B6" s="7" t="str">
        <x:v>小区</x:v>
      </x:c>
      <x:c r="C6" s="7" t="str">
        <x:v>成交日期</x:v>
      </x:c>
      <x:c r="D6" s="7" t="str">
        <x:v>成交价万元</x:v>
      </x:c>
      <x:c r="E6" s="7" t="str">
        <x:v>成交面积㎡</x:v>
      </x:c>
      <x:c r="F6" s="7" t="str">
        <x:v>成交单价元/㎡</x:v>
      </x:c>
      <x:c r="G6" s="7" t="str">
        <x:v>原挂牌价万元</x:v>
      </x:c>
      <x:c r="H6" s="7" t="str">
        <x:v>历史议价折让</x:v>
      </x:c>
      <x:c r="I6" s="7" t="str">
        <x:v>成交编号</x:v>
      </x:c>
      <x:c r="J6" s="7" t="str">
        <x:v>成交链接</x:v>
      </x:c>
    </x:row>
    <x:row r="7" ht="22" customHeight="1">
      <x:c r="A7" s="6" t="str">
        <x:v>川音</x:v>
      </x:c>
      <x:c r="B7" s="6" t="str">
        <x:v>凯悦新城</x:v>
      </x:c>
      <x:c r="C7" s="6" t="str">
        <x:v>2026.09.23</x:v>
      </x:c>
      <x:c r="D7" s="6" t="n">
        <x:v>50.4</x:v>
      </x:c>
      <x:c r="E7" s="6" t="n">
        <x:v>41.79</x:v>
      </x:c>
      <x:c r="F7" s="6" t="n">
        <x:v>12061</x:v>
      </x:c>
      <x:c r="G7" s="6" t="n">
        <x:v>53</x:v>
      </x:c>
      <x:c r="H7" s="8" t="n">
        <x:v>0.049100000000000005</x:v>
      </x:c>
      <x:c r="I7" s="6" t="str">
        <x:v>106129290188</x:v>
      </x:c>
      <x:c r="J7" s="6" t="str">
        <x:v>https://cd.lianjia.com/chengjiao/106129290188.html</x:v>
      </x:c>
    </x:row>
    <x:row r="8" ht="22" customHeight="1">
      <x:c r="A8" s="6" t="str">
        <x:v>棕北</x:v>
      </x:c>
      <x:c r="B8" s="6" t="str">
        <x:v>花样年华梦想家</x:v>
      </x:c>
      <x:c r="C8" s="6" t="str">
        <x:v>2026.09.21</x:v>
      </x:c>
      <x:c r="D8" s="6" t="n">
        <x:v>41.6</x:v>
      </x:c>
      <x:c r="E8" s="6" t="n">
        <x:v>42.71</x:v>
      </x:c>
      <x:c r="F8" s="6" t="n">
        <x:v>9741</x:v>
      </x:c>
      <x:c r="G8" s="6" t="n">
        <x:v>45</x:v>
      </x:c>
      <x:c r="H8" s="8" t="n">
        <x:v>0.0756</x:v>
      </x:c>
      <x:c r="I8" s="6" t="str">
        <x:v>106129069564</x:v>
      </x:c>
      <x:c r="J8" s="6" t="str">
        <x:v>https://cd.lianjia.com/chengjiao/106129069564.html</x:v>
      </x:c>
    </x:row>
    <x:row r="9" ht="22" customHeight="1">
      <x:c r="A9" s="6" t="str">
        <x:v>合江亭</x:v>
      </x:c>
      <x:c r="B9" s="6" t="str">
        <x:v>蓝光时代华章</x:v>
      </x:c>
      <x:c r="C9" s="6" t="str">
        <x:v>2026.09.20</x:v>
      </x:c>
      <x:c r="D9" s="6" t="n">
        <x:v>75</x:v>
      </x:c>
      <x:c r="E9" s="6" t="n">
        <x:v>37.51</x:v>
      </x:c>
      <x:c r="F9" s="6" t="n">
        <x:v>19995</x:v>
      </x:c>
      <x:c r="G9" s="6" t="n">
        <x:v>82</x:v>
      </x:c>
      <x:c r="H9" s="8" t="n">
        <x:v>0.08539999999999999</x:v>
      </x:c>
      <x:c r="I9" s="6" t="str">
        <x:v>106129117332</x:v>
      </x:c>
      <x:c r="J9" s="6" t="str">
        <x:v>https://cd.lianjia.com/chengjiao/106129117332.html</x:v>
      </x:c>
    </x:row>
    <x:row r="10" ht="22" customHeight="1">
      <x:c r="A10" s="6" t="str">
        <x:v>棕北</x:v>
      </x:c>
      <x:c r="B10" s="6" t="str">
        <x:v>花样年华梦想家</x:v>
      </x:c>
      <x:c r="C10" s="6" t="str">
        <x:v>2026.09.16</x:v>
      </x:c>
      <x:c r="D10" s="6" t="n">
        <x:v>47.5</x:v>
      </x:c>
      <x:c r="E10" s="6" t="n">
        <x:v>51.61</x:v>
      </x:c>
      <x:c r="F10" s="6" t="n">
        <x:v>9204</x:v>
      </x:c>
      <x:c r="G10" s="6" t="n">
        <x:v>49</x:v>
      </x:c>
      <x:c r="H10" s="8" t="n">
        <x:v>0.030600000000000002</x:v>
      </x:c>
      <x:c r="I10" s="6" t="str">
        <x:v>106127006975</x:v>
      </x:c>
      <x:c r="J10" s="6" t="str">
        <x:v>https://cd.lianjia.com/chengjiao/106127006975.html</x:v>
      </x:c>
    </x:row>
    <x:row r="11" ht="22" customHeight="1">
      <x:c r="A11" s="6" t="str">
        <x:v>棕北</x:v>
      </x:c>
      <x:c r="B11" s="6" t="str">
        <x:v>SOHO沸城</x:v>
      </x:c>
      <x:c r="C11" s="6" t="str">
        <x:v>2026.09.14</x:v>
      </x:c>
      <x:c r="D11" s="6" t="n">
        <x:v>54</x:v>
      </x:c>
      <x:c r="E11" s="6" t="n">
        <x:v>40.14</x:v>
      </x:c>
      <x:c r="F11" s="6" t="n">
        <x:v>13453</x:v>
      </x:c>
      <x:c r="G11" s="6" t="n">
        <x:v>58</x:v>
      </x:c>
      <x:c r="H11" s="8" t="n">
        <x:v>0.069</x:v>
      </x:c>
      <x:c r="I11" s="6" t="str">
        <x:v>106127283071</x:v>
      </x:c>
      <x:c r="J11" s="6" t="str">
        <x:v>https://cd.lianjia.com/chengjiao/106127283071.html</x:v>
      </x:c>
    </x:row>
    <x:row r="12" ht="22" customHeight="1">
      <x:c r="A12" s="6" t="str">
        <x:v>合江亭</x:v>
      </x:c>
      <x:c r="B12" s="6" t="str">
        <x:v>蓝光时代华章</x:v>
      </x:c>
      <x:c r="C12" s="6" t="str">
        <x:v>2026.09.13</x:v>
      </x:c>
      <x:c r="D12" s="6" t="n">
        <x:v>77.8</x:v>
      </x:c>
      <x:c r="E12" s="6" t="n">
        <x:v>37.22</x:v>
      </x:c>
      <x:c r="F12" s="6" t="n">
        <x:v>20903</x:v>
      </x:c>
      <x:c r="G12" s="6" t="n">
        <x:v>83.8</x:v>
      </x:c>
      <x:c r="H12" s="8" t="n">
        <x:v>0.0716</x:v>
      </x:c>
      <x:c r="I12" s="6" t="str">
        <x:v>106129085863</x:v>
      </x:c>
      <x:c r="J12" s="6" t="str">
        <x:v>https://cd.lianjia.com/chengjiao/106129085863.html</x:v>
      </x:c>
    </x:row>
    <x:row r="13" ht="22" customHeight="1">
      <x:c r="A13" s="6" t="str">
        <x:v>盐市口</x:v>
      </x:c>
      <x:c r="B13" s="6" t="str">
        <x:v>世代锦江商务楼</x:v>
      </x:c>
      <x:c r="C13" s="6" t="str">
        <x:v>2026.09.13</x:v>
      </x:c>
      <x:c r="D13" s="6" t="n">
        <x:v>84.2</x:v>
      </x:c>
      <x:c r="E13" s="6" t="n">
        <x:v>52.51</x:v>
      </x:c>
      <x:c r="F13" s="6" t="n">
        <x:v>16036</x:v>
      </x:c>
      <x:c r="G13" s="6" t="n">
        <x:v>85</x:v>
      </x:c>
      <x:c r="H13" s="8" t="n">
        <x:v>0.009399999999999999</x:v>
      </x:c>
      <x:c r="I13" s="6" t="str">
        <x:v>106129241966</x:v>
      </x:c>
      <x:c r="J13" s="6" t="str">
        <x:v>https://cd.lianjia.com/chengjiao/106129241966.html</x:v>
      </x:c>
    </x:row>
    <x:row r="14" ht="22" customHeight="1">
      <x:c r="A14" s="6" t="str">
        <x:v>盐市口</x:v>
      </x:c>
      <x:c r="B14" s="6" t="str">
        <x:v>都市驿站</x:v>
      </x:c>
      <x:c r="C14" s="6" t="str">
        <x:v>2026.09.13</x:v>
      </x:c>
      <x:c r="D14" s="6" t="n">
        <x:v>85.1</x:v>
      </x:c>
      <x:c r="E14" s="6" t="n">
        <x:v>47.27</x:v>
      </x:c>
      <x:c r="F14" s="6" t="n">
        <x:v>17995</x:v>
      </x:c>
      <x:c r="G14" s="6" t="n">
        <x:v>88</x:v>
      </x:c>
      <x:c r="H14" s="8" t="n">
        <x:v>0.033</x:v>
      </x:c>
      <x:c r="I14" s="6" t="str">
        <x:v>106125885131</x:v>
      </x:c>
      <x:c r="J14" s="6" t="str">
        <x:v>https://cd.lianjia.com/chengjiao/106125885131.html</x:v>
      </x:c>
    </x:row>
    <x:row r="15" ht="22" customHeight="1">
      <x:c r="A15" s="6" t="str">
        <x:v>川音</x:v>
      </x:c>
      <x:c r="B15" s="6" t="str">
        <x:v>凯悦新城</x:v>
      </x:c>
      <x:c r="C15" s="6" t="str">
        <x:v>2026.09.07</x:v>
      </x:c>
      <x:c r="D15" s="6" t="n">
        <x:v>46</x:v>
      </x:c>
      <x:c r="E15" s="6" t="n">
        <x:v>34.49</x:v>
      </x:c>
      <x:c r="F15" s="6" t="n">
        <x:v>13338</x:v>
      </x:c>
      <x:c r="G15" s="6" t="n">
        <x:v>50</x:v>
      </x:c>
      <x:c r="H15" s="8" t="n">
        <x:v>0.08</x:v>
      </x:c>
      <x:c r="I15" s="6" t="str">
        <x:v>106128504254</x:v>
      </x:c>
      <x:c r="J15" s="6" t="str">
        <x:v>https://cd.lianjia.com/chengjiao/106128504254.html</x:v>
      </x:c>
    </x:row>
    <x:row r="16" ht="22" customHeight="1">
      <x:c r="A16" s="6" t="str">
        <x:v>盐市口</x:v>
      </x:c>
      <x:c r="B16" s="6" t="str">
        <x:v>财富中心</x:v>
      </x:c>
      <x:c r="C16" s="6" t="str">
        <x:v>2026.09.04</x:v>
      </x:c>
      <x:c r="D16" s="6" t="n">
        <x:v>108</x:v>
      </x:c>
      <x:c r="E16" s="6" t="n">
        <x:v>47.53</x:v>
      </x:c>
      <x:c r="F16" s="6" t="n">
        <x:v>22723</x:v>
      </x:c>
      <x:c r="G16" s="6" t="n">
        <x:v>120</x:v>
      </x:c>
      <x:c r="H16" s="8" t="n">
        <x:v>0.1</x:v>
      </x:c>
      <x:c r="I16" s="6" t="str">
        <x:v>106128836708</x:v>
      </x:c>
      <x:c r="J16" s="6" t="str">
        <x:v>https://cd.lianjia.com/chengjiao/106128836708.html</x:v>
      </x:c>
    </x:row>
    <x:row r="17" ht="22" customHeight="1">
      <x:c r="A17" s="6" t="str">
        <x:v>川音</x:v>
      </x:c>
      <x:c r="B17" s="6" t="str">
        <x:v>凯悦新城</x:v>
      </x:c>
      <x:c r="C17" s="6" t="str">
        <x:v>2026.09.04</x:v>
      </x:c>
      <x:c r="D17" s="6" t="n">
        <x:v>65</x:v>
      </x:c>
      <x:c r="E17" s="6" t="n">
        <x:v>54.44</x:v>
      </x:c>
      <x:c r="F17" s="6" t="n">
        <x:v>11940</x:v>
      </x:c>
      <x:c r="G17" s="6" t="n">
        <x:v>68</x:v>
      </x:c>
      <x:c r="H17" s="8" t="n">
        <x:v>0.0441</x:v>
      </x:c>
      <x:c r="I17" s="6" t="str">
        <x:v>106119791705</x:v>
      </x:c>
      <x:c r="J17" s="6" t="str">
        <x:v>https://cd.lianjia.com/chengjiao/106119791705.html</x:v>
      </x:c>
    </x:row>
    <x:row r="18" ht="22" customHeight="1">
      <x:c r="A18" s="6" t="str">
        <x:v>盐市口</x:v>
      </x:c>
      <x:c r="B18" s="6" t="str">
        <x:v>缤舍</x:v>
      </x:c>
      <x:c r="C18" s="6" t="str">
        <x:v>2026.09.03</x:v>
      </x:c>
      <x:c r="D18" s="6" t="n">
        <x:v>79.9</x:v>
      </x:c>
      <x:c r="E18" s="6" t="n">
        <x:v>59.04</x:v>
      </x:c>
      <x:c r="F18" s="6" t="n">
        <x:v>13534</x:v>
      </x:c>
      <x:c r="G18" s="6" t="n">
        <x:v>87</x:v>
      </x:c>
      <x:c r="H18" s="8" t="n">
        <x:v>0.0816</x:v>
      </x:c>
      <x:c r="I18" s="6" t="str">
        <x:v>106125394987</x:v>
      </x:c>
      <x:c r="J18" s="6" t="str">
        <x:v>https://cd.lianjia.com/chengjiao/106125394987.html</x:v>
      </x:c>
    </x:row>
    <x:row r="19" ht="22" customHeight="1">
      <x:c r="A19" s="6" t="str">
        <x:v>华西</x:v>
      </x:c>
      <x:c r="B19" s="6" t="str">
        <x:v>凯蒂阳光</x:v>
      </x:c>
      <x:c r="C19" s="6" t="str">
        <x:v>2026.09.02</x:v>
      </x:c>
      <x:c r="D19" s="6" t="n">
        <x:v>76.5</x:v>
      </x:c>
      <x:c r="E19" s="6" t="n">
        <x:v>51.94</x:v>
      </x:c>
      <x:c r="F19" s="6" t="n">
        <x:v>14729</x:v>
      </x:c>
      <x:c r="G19" s="6" t="n">
        <x:v>83</x:v>
      </x:c>
      <x:c r="H19" s="8" t="n">
        <x:v>0.0783</x:v>
      </x:c>
      <x:c r="I19" s="6" t="str">
        <x:v>106128965768</x:v>
      </x:c>
      <x:c r="J19" s="6" t="str">
        <x:v>https://cd.lianjia.com/chengjiao/106128965768.html</x:v>
      </x:c>
    </x:row>
    <x:row r="20" ht="22" customHeight="1">
      <x:c r="A20" s="6" t="str">
        <x:v>盐市口</x:v>
      </x:c>
      <x:c r="B20" s="6" t="str">
        <x:v>科甲大厦</x:v>
      </x:c>
      <x:c r="C20" s="6" t="str">
        <x:v>2026.08.29</x:v>
      </x:c>
      <x:c r="D20" s="6" t="n">
        <x:v>59.7</x:v>
      </x:c>
      <x:c r="E20" s="6" t="n">
        <x:v>45.41</x:v>
      </x:c>
      <x:c r="F20" s="6" t="n">
        <x:v>13147</x:v>
      </x:c>
      <x:c r="G20" s="6" t="n">
        <x:v>65</x:v>
      </x:c>
      <x:c r="H20" s="8" t="n">
        <x:v>0.0815</x:v>
      </x:c>
      <x:c r="I20" s="6" t="str">
        <x:v>106128789984</x:v>
      </x:c>
      <x:c r="J20" s="6" t="str">
        <x:v>https://cd.lianjia.com/chengjiao/106128789984.html</x:v>
      </x:c>
    </x:row>
    <x:row r="21" ht="22" customHeight="1">
      <x:c r="A21" s="6" t="str">
        <x:v>川大</x:v>
      </x:c>
      <x:c r="B21" s="6" t="str">
        <x:v>好望角</x:v>
      </x:c>
      <x:c r="C21" s="6" t="str">
        <x:v>2026.08.24</x:v>
      </x:c>
      <x:c r="D21" s="6" t="n">
        <x:v>35.6</x:v>
      </x:c>
      <x:c r="E21" s="6" t="n">
        <x:v>32.68</x:v>
      </x:c>
      <x:c r="F21" s="6" t="n">
        <x:v>10894</x:v>
      </x:c>
      <x:c r="G21" s="6" t="n">
        <x:v>38</x:v>
      </x:c>
      <x:c r="H21" s="8" t="n">
        <x:v>0.0632</x:v>
      </x:c>
      <x:c r="I21" s="6" t="str">
        <x:v>106127777245</x:v>
      </x:c>
      <x:c r="J21" s="6" t="str">
        <x:v>https://cd.lianjia.com/chengjiao/106127777245.html</x:v>
      </x:c>
    </x:row>
    <x:row r="22" ht="22" customHeight="1">
      <x:c r="A22" s="6" t="str">
        <x:v>棕北</x:v>
      </x:c>
      <x:c r="B22" s="6" t="str">
        <x:v>花样年华梦想家</x:v>
      </x:c>
      <x:c r="C22" s="6" t="str">
        <x:v>2026.08.22</x:v>
      </x:c>
      <x:c r="D22" s="6" t="n">
        <x:v>42</x:v>
      </x:c>
      <x:c r="E22" s="6" t="n">
        <x:v>44.78</x:v>
      </x:c>
      <x:c r="F22" s="6" t="n">
        <x:v>9380</x:v>
      </x:c>
      <x:c r="G22" s="6" t="n">
        <x:v>43.5</x:v>
      </x:c>
      <x:c r="H22" s="8" t="n">
        <x:v>0.0345</x:v>
      </x:c>
      <x:c r="I22" s="6" t="str">
        <x:v>106125436163</x:v>
      </x:c>
      <x:c r="J22" s="6" t="str">
        <x:v>https://cd.lianjia.com/chengjiao/106125436163.html</x:v>
      </x:c>
    </x:row>
    <x:row r="23" ht="22" customHeight="1">
      <x:c r="A23" s="6" t="str">
        <x:v>合江亭</x:v>
      </x:c>
      <x:c r="B23" s="6" t="str">
        <x:v>锦上花</x:v>
      </x:c>
      <x:c r="C23" s="6" t="str">
        <x:v>2026.08.22</x:v>
      </x:c>
      <x:c r="D23" s="6" t="n">
        <x:v>77.5</x:v>
      </x:c>
      <x:c r="E23" s="6" t="n">
        <x:v>39.7</x:v>
      </x:c>
      <x:c r="F23" s="6" t="n">
        <x:v>19522</x:v>
      </x:c>
      <x:c r="G23" s="6" t="n">
        <x:v>79.9</x:v>
      </x:c>
      <x:c r="H23" s="8" t="n">
        <x:v>0.03</x:v>
      </x:c>
      <x:c r="I23" s="6" t="str">
        <x:v>106125818461</x:v>
      </x:c>
      <x:c r="J23" s="6" t="str">
        <x:v>https://cd.lianjia.com/chengjiao/106125818461.html</x:v>
      </x:c>
    </x:row>
    <x:row r="24" ht="22" customHeight="1">
      <x:c r="A24" s="6" t="str">
        <x:v>华西</x:v>
      </x:c>
      <x:c r="B24" s="6" t="str">
        <x:v>黉门公馆</x:v>
      </x:c>
      <x:c r="C24" s="6" t="str">
        <x:v>2026.08.19</x:v>
      </x:c>
      <x:c r="D24" s="6" t="n">
        <x:v>78</x:v>
      </x:c>
      <x:c r="E24" s="6" t="n">
        <x:v>52.37</x:v>
      </x:c>
      <x:c r="F24" s="6" t="n">
        <x:v>14895</x:v>
      </x:c>
      <x:c r="G24" s="6" t="n">
        <x:v>90</x:v>
      </x:c>
      <x:c r="H24" s="8" t="n">
        <x:v>0.1333</x:v>
      </x:c>
      <x:c r="I24" s="6" t="str">
        <x:v>106125887583</x:v>
      </x:c>
      <x:c r="J24" s="6" t="str">
        <x:v>https://cd.lianjia.com/chengjiao/106125887583.html</x:v>
      </x:c>
    </x:row>
    <x:row r="25" ht="22" customHeight="1">
      <x:c r="A25" s="6" t="str">
        <x:v>合江亭</x:v>
      </x:c>
      <x:c r="B25" s="6" t="str">
        <x:v>蓝光时代华章</x:v>
      </x:c>
      <x:c r="C25" s="6" t="str">
        <x:v>2026.08.19</x:v>
      </x:c>
      <x:c r="D25" s="6" t="n">
        <x:v>80</x:v>
      </x:c>
      <x:c r="E25" s="6" t="n">
        <x:v>37.91</x:v>
      </x:c>
      <x:c r="F25" s="6" t="n">
        <x:v>21103</x:v>
      </x:c>
      <x:c r="G25" s="6" t="n">
        <x:v>89</x:v>
      </x:c>
      <x:c r="H25" s="8" t="n">
        <x:v>0.1011</x:v>
      </x:c>
      <x:c r="I25" s="6" t="str">
        <x:v>106128443119</x:v>
      </x:c>
      <x:c r="J25" s="6" t="str">
        <x:v>https://cd.lianjia.com/chengjiao/106128443119.html</x:v>
      </x:c>
    </x:row>
    <x:row r="26" ht="22" customHeight="1">
      <x:c r="A26" s="6" t="str">
        <x:v>合江亭</x:v>
      </x:c>
      <x:c r="B26" s="6" t="str">
        <x:v>蓝光时代华章</x:v>
      </x:c>
      <x:c r="C26" s="6" t="str">
        <x:v>2026.08.16</x:v>
      </x:c>
      <x:c r="D26" s="6" t="n">
        <x:v>79</x:v>
      </x:c>
      <x:c r="E26" s="6" t="n">
        <x:v>37.15</x:v>
      </x:c>
      <x:c r="F26" s="6" t="n">
        <x:v>21266</x:v>
      </x:c>
      <x:c r="G26" s="6" t="n">
        <x:v>88</x:v>
      </x:c>
      <x:c r="H26" s="8" t="n">
        <x:v>0.1023</x:v>
      </x:c>
      <x:c r="I26" s="6" t="str">
        <x:v>106128176460</x:v>
      </x:c>
      <x:c r="J26" s="6" t="str">
        <x:v>https://cd.lianjia.com/chengjiao/106128176460.html</x:v>
      </x:c>
    </x:row>
    <x:row r="27" ht="22" customHeight="1">
      <x:c r="A27" s="6" t="str">
        <x:v>盐市口</x:v>
      </x:c>
      <x:c r="B27" s="6" t="str">
        <x:v>都市驿站</x:v>
      </x:c>
      <x:c r="C27" s="6" t="str">
        <x:v>2026.08.10</x:v>
      </x:c>
      <x:c r="D27" s="6" t="n">
        <x:v>88</x:v>
      </x:c>
      <x:c r="E27" s="6" t="n">
        <x:v>55.33</x:v>
      </x:c>
      <x:c r="F27" s="6" t="n">
        <x:v>15905</x:v>
      </x:c>
      <x:c r="G27" s="6" t="n">
        <x:v>95</x:v>
      </x:c>
      <x:c r="H27" s="8" t="n">
        <x:v>0.0737</x:v>
      </x:c>
      <x:c r="I27" s="6" t="str">
        <x:v>106127174499</x:v>
      </x:c>
      <x:c r="J27" s="6" t="str">
        <x:v>https://cd.lianjia.com/chengjiao/106127174499.html</x:v>
      </x:c>
    </x:row>
    <x:row r="28" ht="22" customHeight="1">
      <x:c r="A28" s="6" t="str">
        <x:v>盐市口</x:v>
      </x:c>
      <x:c r="B28" s="6" t="str">
        <x:v>城市理想</x:v>
      </x:c>
      <x:c r="C28" s="6" t="str">
        <x:v>2026.08.09</x:v>
      </x:c>
      <x:c r="D28" s="6" t="n">
        <x:v>88.9</x:v>
      </x:c>
      <x:c r="E28" s="6" t="n">
        <x:v>40.11</x:v>
      </x:c>
      <x:c r="F28" s="6" t="n">
        <x:v>22162</x:v>
      </x:c>
      <x:c r="G28" s="6" t="n">
        <x:v>99</x:v>
      </x:c>
      <x:c r="H28" s="8" t="n">
        <x:v>0.102</x:v>
      </x:c>
      <x:c r="I28" s="6" t="str">
        <x:v>106124841983</x:v>
      </x:c>
      <x:c r="J28" s="6" t="str">
        <x:v>https://cd.lianjia.com/chengjiao/106124841983.html</x:v>
      </x:c>
    </x:row>
    <x:row r="29" ht="22" customHeight="1">
      <x:c r="A29" s="6" t="str">
        <x:v>盐市口</x:v>
      </x:c>
      <x:c r="B29" s="6" t="str">
        <x:v>科甲大厦</x:v>
      </x:c>
      <x:c r="C29" s="6" t="str">
        <x:v>2026.08.08</x:v>
      </x:c>
      <x:c r="D29" s="6" t="n">
        <x:v>58.1</x:v>
      </x:c>
      <x:c r="E29" s="6" t="n">
        <x:v>44.92</x:v>
      </x:c>
      <x:c r="F29" s="6" t="n">
        <x:v>12930</x:v>
      </x:c>
      <x:c r="G29" s="6" t="n">
        <x:v>62</x:v>
      </x:c>
      <x:c r="H29" s="8" t="n">
        <x:v>0.0629</x:v>
      </x:c>
      <x:c r="I29" s="6" t="str">
        <x:v>106126495711</x:v>
      </x:c>
      <x:c r="J29" s="6" t="str">
        <x:v>https://cd.lianjia.com/chengjiao/106126495711.html</x:v>
      </x:c>
    </x:row>
    <x:row r="30" ht="22" customHeight="1">
      <x:c r="A30" s="6" t="str">
        <x:v>盐市口</x:v>
      </x:c>
      <x:c r="B30" s="6" t="str">
        <x:v>城市理想</x:v>
      </x:c>
      <x:c r="C30" s="6" t="str">
        <x:v>2026.08.08</x:v>
      </x:c>
      <x:c r="D30" s="6" t="n">
        <x:v>83.9</x:v>
      </x:c>
      <x:c r="E30" s="6" t="n">
        <x:v>37.76</x:v>
      </x:c>
      <x:c r="F30" s="6" t="n">
        <x:v>22220</x:v>
      </x:c>
      <x:c r="G30" s="6" t="n">
        <x:v>88</x:v>
      </x:c>
      <x:c r="H30" s="8" t="n">
        <x:v>0.0466</x:v>
      </x:c>
      <x:c r="I30" s="6" t="str">
        <x:v>106128161221</x:v>
      </x:c>
      <x:c r="J30" s="6" t="str">
        <x:v>https://cd.lianjia.com/chengjiao/106128161221.html</x:v>
      </x:c>
    </x:row>
    <x:row r="31" ht="22" customHeight="1">
      <x:c r="A31" s="6" t="str">
        <x:v>西南财大</x:v>
      </x:c>
      <x:c r="B31" s="6" t="str">
        <x:v>仁和时代春天广场</x:v>
      </x:c>
      <x:c r="C31" s="6" t="str">
        <x:v>2026.08.06</x:v>
      </x:c>
      <x:c r="D31" s="6" t="n">
        <x:v>51</x:v>
      </x:c>
      <x:c r="E31" s="6" t="n">
        <x:v>62.14</x:v>
      </x:c>
      <x:c r="F31" s="6" t="n">
        <x:v>8208</x:v>
      </x:c>
      <x:c r="G31" s="6" t="n">
        <x:v>56</x:v>
      </x:c>
      <x:c r="H31" s="8" t="n">
        <x:v>0.08929999999999999</x:v>
      </x:c>
      <x:c r="I31" s="6" t="str">
        <x:v>106126571724</x:v>
      </x:c>
      <x:c r="J31" s="6" t="str">
        <x:v>https://cd.lianjia.com/chengjiao/106126571724.html</x:v>
      </x:c>
    </x:row>
    <x:row r="32" ht="22" customHeight="1">
      <x:c r="A32" s="6" t="str">
        <x:v>华西</x:v>
      </x:c>
      <x:c r="B32" s="6" t="str">
        <x:v>金茂礼都</x:v>
      </x:c>
      <x:c r="C32" s="6" t="str">
        <x:v>2026.08.03</x:v>
      </x:c>
      <x:c r="D32" s="6" t="n">
        <x:v>57</x:v>
      </x:c>
      <x:c r="E32" s="6" t="n">
        <x:v>44.14</x:v>
      </x:c>
      <x:c r="F32" s="6" t="n">
        <x:v>12914</x:v>
      </x:c>
      <x:c r="G32" s="6" t="n">
        <x:v>59.8</x:v>
      </x:c>
      <x:c r="H32" s="8" t="n">
        <x:v>0.046799999999999994</x:v>
      </x:c>
      <x:c r="I32" s="6" t="str">
        <x:v>106127932216</x:v>
      </x:c>
      <x:c r="J32" s="6" t="str">
        <x:v>https://cd.lianjia.com/chengjiao/106127932216.html</x:v>
      </x:c>
    </x:row>
    <x:row r="33" ht="22" customHeight="1">
      <x:c r="A33" s="6" t="str">
        <x:v>盐市口</x:v>
      </x:c>
      <x:c r="B33" s="6" t="str">
        <x:v>财富中心</x:v>
      </x:c>
      <x:c r="C33" s="6" t="str">
        <x:v>2026.08.01</x:v>
      </x:c>
      <x:c r="D33" s="6" t="n">
        <x:v>103.6</x:v>
      </x:c>
      <x:c r="E33" s="6" t="n">
        <x:v>48.35</x:v>
      </x:c>
      <x:c r="F33" s="6" t="n">
        <x:v>21428</x:v>
      </x:c>
      <x:c r="G33" s="6" t="n">
        <x:v>118</x:v>
      </x:c>
      <x:c r="H33" s="8" t="n">
        <x:v>0.122</x:v>
      </x:c>
      <x:c r="I33" s="6" t="str">
        <x:v>106123350912</x:v>
      </x:c>
      <x:c r="J33" s="6" t="str">
        <x:v>https://cd.lianjia.com/chengjiao/106123350912.html</x:v>
      </x:c>
    </x:row>
    <x:row r="34" ht="22" customHeight="1">
      <x:c r="A34" s="6" t="str">
        <x:v>盐市口</x:v>
      </x:c>
      <x:c r="B34" s="6" t="str">
        <x:v>美华大厦</x:v>
      </x:c>
      <x:c r="C34" s="6" t="str">
        <x:v>2026.07.31</x:v>
      </x:c>
      <x:c r="D34" s="6" t="n">
        <x:v>104.8</x:v>
      </x:c>
      <x:c r="E34" s="6" t="n">
        <x:v>46.15</x:v>
      </x:c>
      <x:c r="F34" s="6" t="n">
        <x:v>22709</x:v>
      </x:c>
      <x:c r="G34" s="6" t="n">
        <x:v>113</x:v>
      </x:c>
      <x:c r="H34" s="8" t="n">
        <x:v>0.0726</x:v>
      </x:c>
      <x:c r="I34" s="6" t="str">
        <x:v>106123738913</x:v>
      </x:c>
      <x:c r="J34" s="6" t="str">
        <x:v>https://cd.lianjia.com/chengjiao/106123738913.html</x:v>
      </x:c>
    </x:row>
    <x:row r="35" ht="22" customHeight="1">
      <x:c r="A35" s="6" t="str">
        <x:v>盐市口</x:v>
      </x:c>
      <x:c r="B35" s="6" t="str">
        <x:v>都市驿站</x:v>
      </x:c>
      <x:c r="C35" s="6" t="str">
        <x:v>2026.07.30</x:v>
      </x:c>
      <x:c r="D35" s="6" t="n">
        <x:v>82.5</x:v>
      </x:c>
      <x:c r="E35" s="6" t="n">
        <x:v>44.21</x:v>
      </x:c>
      <x:c r="F35" s="6" t="n">
        <x:v>18661</x:v>
      </x:c>
      <x:c r="G35" s="6" t="n">
        <x:v>85</x:v>
      </x:c>
      <x:c r="H35" s="8" t="n">
        <x:v>0.0294</x:v>
      </x:c>
      <x:c r="I35" s="6" t="str">
        <x:v>106128475000</x:v>
      </x:c>
      <x:c r="J35" s="6" t="str">
        <x:v>https://cd.lianjia.com/chengjiao/106128475000.html</x:v>
      </x:c>
    </x:row>
    <x:row r="36" ht="22" customHeight="1">
      <x:c r="A36" s="6" t="str">
        <x:v>盐市口</x:v>
      </x:c>
      <x:c r="B36" s="6" t="str">
        <x:v>都市驿站</x:v>
      </x:c>
      <x:c r="C36" s="6" t="str">
        <x:v>2026.07.29</x:v>
      </x:c>
      <x:c r="D36" s="6" t="n">
        <x:v>85.5</x:v>
      </x:c>
      <x:c r="E36" s="6" t="n">
        <x:v>49.13</x:v>
      </x:c>
      <x:c r="F36" s="6" t="n">
        <x:v>17403</x:v>
      </x:c>
      <x:c r="G36" s="6" t="n">
        <x:v>90</x:v>
      </x:c>
      <x:c r="H36" s="8" t="n">
        <x:v>0.05</x:v>
      </x:c>
      <x:c r="I36" s="6" t="str">
        <x:v>106127257459</x:v>
      </x:c>
      <x:c r="J36" s="6" t="str">
        <x:v>https://cd.lianjia.com/chengjiao/106127257459.html</x:v>
      </x:c>
    </x:row>
    <x:row r="37" ht="22" customHeight="1">
      <x:c r="A37" s="6" t="str">
        <x:v>川大</x:v>
      </x:c>
      <x:c r="B37" s="6" t="str">
        <x:v>好望角</x:v>
      </x:c>
      <x:c r="C37" s="6" t="str">
        <x:v>2026.07.26</x:v>
      </x:c>
      <x:c r="D37" s="6" t="n">
        <x:v>35.6</x:v>
      </x:c>
      <x:c r="E37" s="6" t="n">
        <x:v>32.68</x:v>
      </x:c>
      <x:c r="F37" s="6" t="n">
        <x:v>10894</x:v>
      </x:c>
      <x:c r="G37" s="6" t="n">
        <x:v>38</x:v>
      </x:c>
      <x:c r="H37" s="8" t="n">
        <x:v>0.0632</x:v>
      </x:c>
      <x:c r="I37" s="6" t="str">
        <x:v>106127777375</x:v>
      </x:c>
      <x:c r="J37" s="6" t="str">
        <x:v>https://cd.lianjia.com/chengjiao/106127777375.html</x:v>
      </x:c>
    </x:row>
    <x:row r="38" ht="22" customHeight="1">
      <x:c r="A38" s="6" t="str">
        <x:v>川大</x:v>
      </x:c>
      <x:c r="B38" s="6" t="str">
        <x:v>好望角</x:v>
      </x:c>
      <x:c r="C38" s="6" t="str">
        <x:v>2026.07.25</x:v>
      </x:c>
      <x:c r="D38" s="6" t="n">
        <x:v>35.6</x:v>
      </x:c>
      <x:c r="E38" s="6" t="n">
        <x:v>32.68</x:v>
      </x:c>
      <x:c r="F38" s="6" t="n">
        <x:v>10894</x:v>
      </x:c>
      <x:c r="G38" s="6" t="n">
        <x:v>38</x:v>
      </x:c>
      <x:c r="H38" s="8" t="n">
        <x:v>0.0632</x:v>
      </x:c>
      <x:c r="I38" s="6" t="str">
        <x:v>106127777469</x:v>
      </x:c>
      <x:c r="J38" s="6" t="str">
        <x:v>https://cd.lianjia.com/chengjiao/106127777469.html</x:v>
      </x:c>
    </x:row>
    <x:row r="39" ht="22" customHeight="1">
      <x:c r="A39" s="6" t="str">
        <x:v>合江亭</x:v>
      </x:c>
      <x:c r="B39" s="6" t="str">
        <x:v>流星花园</x:v>
      </x:c>
      <x:c r="C39" s="6" t="str">
        <x:v>2026.07.22</x:v>
      </x:c>
      <x:c r="D39" s="6" t="n">
        <x:v>66</x:v>
      </x:c>
      <x:c r="E39" s="6" t="n">
        <x:v>39.67</x:v>
      </x:c>
      <x:c r="F39" s="6" t="n">
        <x:v>16638</x:v>
      </x:c>
      <x:c r="G39" s="6" t="n">
        <x:v>68</x:v>
      </x:c>
      <x:c r="H39" s="8" t="n">
        <x:v>0.0294</x:v>
      </x:c>
      <x:c r="I39" s="6" t="str">
        <x:v>106125356379</x:v>
      </x:c>
      <x:c r="J39" s="6" t="str">
        <x:v>https://cd.lianjia.com/chengjiao/106125356379.html</x:v>
      </x:c>
    </x:row>
    <x:row r="40" ht="22" customHeight="1">
      <x:c r="A40" s="6" t="str">
        <x:v>盐市口</x:v>
      </x:c>
      <x:c r="B40" s="6" t="str">
        <x:v>美华大厦</x:v>
      </x:c>
      <x:c r="C40" s="6" t="str">
        <x:v>2026.07.20</x:v>
      </x:c>
      <x:c r="D40" s="6" t="n">
        <x:v>88</x:v>
      </x:c>
      <x:c r="E40" s="6" t="n">
        <x:v>34.26</x:v>
      </x:c>
      <x:c r="F40" s="6" t="n">
        <x:v>25686</x:v>
      </x:c>
      <x:c r="G40" s="6" t="n">
        <x:v>99</x:v>
      </x:c>
      <x:c r="H40" s="8" t="n">
        <x:v>0.11109999999999999</x:v>
      </x:c>
      <x:c r="I40" s="6" t="str">
        <x:v>106127515009</x:v>
      </x:c>
      <x:c r="J40" s="6" t="str">
        <x:v>https://cd.lianjia.com/chengjiao/106127515009.html</x:v>
      </x:c>
    </x:row>
    <x:row r="41" ht="22" customHeight="1">
      <x:c r="A41" s="6" t="str">
        <x:v>盐市口</x:v>
      </x:c>
      <x:c r="B41" s="6" t="str">
        <x:v>都市驿站</x:v>
      </x:c>
      <x:c r="C41" s="6" t="str">
        <x:v>2026.07.19</x:v>
      </x:c>
      <x:c r="D41" s="6" t="n">
        <x:v>96.6</x:v>
      </x:c>
      <x:c r="E41" s="6" t="n">
        <x:v>44.21</x:v>
      </x:c>
      <x:c r="F41" s="6" t="n">
        <x:v>21851</x:v>
      </x:c>
      <x:c r="G41" s="6" t="n">
        <x:v>99.8</x:v>
      </x:c>
      <x:c r="H41" s="8" t="n">
        <x:v>0.0321</x:v>
      </x:c>
      <x:c r="I41" s="6" t="str">
        <x:v>106124361651</x:v>
      </x:c>
      <x:c r="J41" s="6" t="str">
        <x:v>https://cd.lianjia.com/chengjiao/106124361651.html</x:v>
      </x:c>
    </x:row>
    <x:row r="42" ht="22" customHeight="1">
      <x:c r="A42" s="6" t="str">
        <x:v>合江亭</x:v>
      </x:c>
      <x:c r="B42" s="6" t="str">
        <x:v>喜年广场</x:v>
      </x:c>
      <x:c r="C42" s="6" t="str">
        <x:v>2026.07.19</x:v>
      </x:c>
      <x:c r="D42" s="6" t="n">
        <x:v>96.6</x:v>
      </x:c>
      <x:c r="E42" s="6" t="n">
        <x:v>46.89</x:v>
      </x:c>
      <x:c r="F42" s="6" t="n">
        <x:v>20602</x:v>
      </x:c>
      <x:c r="G42" s="6" t="n">
        <x:v>102</x:v>
      </x:c>
      <x:c r="H42" s="8" t="n">
        <x:v>0.0529</x:v>
      </x:c>
      <x:c r="I42" s="6" t="str">
        <x:v>106128449996</x:v>
      </x:c>
      <x:c r="J42" s="6" t="str">
        <x:v>https://cd.lianjia.com/chengjiao/106128449996.html</x:v>
      </x:c>
    </x:row>
    <x:row r="43" ht="22" customHeight="1">
      <x:c r="A43" s="6" t="str">
        <x:v>川大</x:v>
      </x:c>
      <x:c r="B43" s="6" t="str">
        <x:v>和信派都</x:v>
      </x:c>
      <x:c r="C43" s="6" t="str">
        <x:v>2026.07.16</x:v>
      </x:c>
      <x:c r="D43" s="6" t="n">
        <x:v>83</x:v>
      </x:c>
      <x:c r="E43" s="6" t="n">
        <x:v>60.84</x:v>
      </x:c>
      <x:c r="F43" s="6" t="n">
        <x:v>13643</x:v>
      </x:c>
      <x:c r="G43" s="6" t="n">
        <x:v>90</x:v>
      </x:c>
      <x:c r="H43" s="8" t="n">
        <x:v>0.07780000000000001</x:v>
      </x:c>
      <x:c r="I43" s="6" t="str">
        <x:v>106128124255</x:v>
      </x:c>
      <x:c r="J43" s="6" t="str">
        <x:v>https://cd.lianjia.com/chengjiao/106128124255.html</x:v>
      </x:c>
    </x:row>
    <x:row r="44" ht="22" customHeight="1">
      <x:c r="A44" s="6" t="str">
        <x:v>合江亭</x:v>
      </x:c>
      <x:c r="B44" s="6" t="str">
        <x:v>流星花园</x:v>
      </x:c>
      <x:c r="C44" s="6" t="str">
        <x:v>2026.07.15</x:v>
      </x:c>
      <x:c r="D44" s="6" t="n">
        <x:v>64.4</x:v>
      </x:c>
      <x:c r="E44" s="6" t="n">
        <x:v>40.25</x:v>
      </x:c>
      <x:c r="F44" s="6" t="n">
        <x:v>15988</x:v>
      </x:c>
      <x:c r="G44" s="6" t="n">
        <x:v>68</x:v>
      </x:c>
      <x:c r="H44" s="8" t="n">
        <x:v>0.0529</x:v>
      </x:c>
      <x:c r="I44" s="6" t="str">
        <x:v>106126693461</x:v>
      </x:c>
      <x:c r="J44" s="6" t="str">
        <x:v>https://cd.lianjia.com/chengjiao/106126693461.html</x:v>
      </x:c>
    </x:row>
    <x:row r="45" ht="22" customHeight="1">
      <x:c r="A45" s="6" t="str">
        <x:v>盐市口</x:v>
      </x:c>
      <x:c r="B45" s="6" t="str">
        <x:v>城市理想</x:v>
      </x:c>
      <x:c r="C45" s="6" t="str">
        <x:v>2026.07.15</x:v>
      </x:c>
      <x:c r="D45" s="6" t="n">
        <x:v>92.5</x:v>
      </x:c>
      <x:c r="E45" s="6" t="n">
        <x:v>40.02</x:v>
      </x:c>
      <x:c r="F45" s="6" t="n">
        <x:v>23114</x:v>
      </x:c>
      <x:c r="G45" s="6" t="n">
        <x:v>95</x:v>
      </x:c>
      <x:c r="H45" s="8" t="n">
        <x:v>0.0263</x:v>
      </x:c>
      <x:c r="I45" s="6" t="str">
        <x:v>106128272537</x:v>
      </x:c>
      <x:c r="J45" s="6" t="str">
        <x:v>https://cd.lianjia.com/chengjiao/106128272537.html</x:v>
      </x:c>
    </x:row>
    <x:row r="46" ht="22" customHeight="1">
      <x:c r="A46" s="6" t="str">
        <x:v>盐市口</x:v>
      </x:c>
      <x:c r="B46" s="6" t="str">
        <x:v>财富中心</x:v>
      </x:c>
      <x:c r="C46" s="6" t="str">
        <x:v>2026.07.15</x:v>
      </x:c>
      <x:c r="D46" s="6" t="n">
        <x:v>88</x:v>
      </x:c>
      <x:c r="E46" s="6" t="n">
        <x:v>29.89</x:v>
      </x:c>
      <x:c r="F46" s="6" t="n">
        <x:v>29442</x:v>
      </x:c>
      <x:c r="G46" s="6" t="n">
        <x:v>98</x:v>
      </x:c>
      <x:c r="H46" s="8" t="n">
        <x:v>0.102</x:v>
      </x:c>
      <x:c r="I46" s="6" t="str">
        <x:v>106121435354</x:v>
      </x:c>
      <x:c r="J46" s="6" t="str">
        <x:v>https://cd.lianjia.com/chengjiao/106121435354.html</x:v>
      </x:c>
    </x:row>
    <x:row r="47" ht="22" customHeight="1">
      <x:c r="A47" s="6" t="str">
        <x:v>盐市口</x:v>
      </x:c>
      <x:c r="B47" s="6" t="str">
        <x:v>财富中心</x:v>
      </x:c>
      <x:c r="C47" s="6" t="str">
        <x:v>2026.07.10</x:v>
      </x:c>
      <x:c r="D47" s="6" t="n">
        <x:v>109</x:v>
      </x:c>
      <x:c r="E47" s="6" t="n">
        <x:v>50.84</x:v>
      </x:c>
      <x:c r="F47" s="6" t="n">
        <x:v>21440</x:v>
      </x:c>
      <x:c r="G47" s="6" t="n">
        <x:v>115</x:v>
      </x:c>
      <x:c r="H47" s="8" t="n">
        <x:v>0.052199999999999996</x:v>
      </x:c>
      <x:c r="I47" s="6" t="str">
        <x:v>106124015928</x:v>
      </x:c>
      <x:c r="J47" s="6" t="str">
        <x:v>https://cd.lianjia.com/chengjiao/106124015928.html</x:v>
      </x:c>
    </x:row>
    <x:row r="48" ht="22" customHeight="1">
      <x:c r="A48" s="6" t="str">
        <x:v>川大</x:v>
      </x:c>
      <x:c r="B48" s="6" t="str">
        <x:v>好望角</x:v>
      </x:c>
      <x:c r="C48" s="6" t="str">
        <x:v>2026.07.07</x:v>
      </x:c>
      <x:c r="D48" s="6" t="n">
        <x:v>35.6</x:v>
      </x:c>
      <x:c r="E48" s="6" t="n">
        <x:v>32.68</x:v>
      </x:c>
      <x:c r="F48" s="6" t="n">
        <x:v>10894</x:v>
      </x:c>
      <x:c r="G48" s="6" t="n">
        <x:v>38</x:v>
      </x:c>
      <x:c r="H48" s="8" t="n">
        <x:v>0.0632</x:v>
      </x:c>
      <x:c r="I48" s="6" t="str">
        <x:v>106127777434</x:v>
      </x:c>
      <x:c r="J48" s="6" t="str">
        <x:v>https://cd.lianjia.com/chengjiao/106127777434.html</x:v>
      </x:c>
    </x:row>
    <x:row r="49" ht="22" customHeight="1">
      <x:c r="A49" s="6" t="str">
        <x:v>盐市口</x:v>
      </x:c>
      <x:c r="B49" s="6" t="str">
        <x:v>大发百度城</x:v>
      </x:c>
      <x:c r="C49" s="6" t="str">
        <x:v>2026.07.05</x:v>
      </x:c>
      <x:c r="D49" s="6" t="n">
        <x:v>40.5</x:v>
      </x:c>
      <x:c r="E49" s="6" t="n">
        <x:v>39.61</x:v>
      </x:c>
      <x:c r="F49" s="6" t="n">
        <x:v>10225</x:v>
      </x:c>
      <x:c r="G49" s="6" t="n">
        <x:v>44</x:v>
      </x:c>
      <x:c r="H49" s="8" t="n">
        <x:v>0.0795</x:v>
      </x:c>
      <x:c r="I49" s="6" t="str">
        <x:v>106128227915</x:v>
      </x:c>
      <x:c r="J49" s="6" t="str">
        <x:v>https://cd.lianjia.com/chengjiao/106128227915.html</x:v>
      </x:c>
    </x:row>
    <x:row r="50" ht="22" customHeight="1">
      <x:c r="A50" s="6" t="str">
        <x:v>盐市口</x:v>
      </x:c>
      <x:c r="B50" s="6" t="str">
        <x:v>城市理想</x:v>
      </x:c>
      <x:c r="C50" s="6" t="str">
        <x:v>2026.07.05</x:v>
      </x:c>
      <x:c r="D50" s="6" t="n">
        <x:v>91.5</x:v>
      </x:c>
      <x:c r="E50" s="6" t="n">
        <x:v>41.09</x:v>
      </x:c>
      <x:c r="F50" s="6" t="n">
        <x:v>22269</x:v>
      </x:c>
      <x:c r="G50" s="6" t="n">
        <x:v>94</x:v>
      </x:c>
      <x:c r="H50" s="8" t="n">
        <x:v>0.026600000000000002</x:v>
      </x:c>
      <x:c r="I50" s="6" t="str">
        <x:v>106128204028</x:v>
      </x:c>
      <x:c r="J50" s="6" t="str">
        <x:v>https://cd.lianjia.com/chengjiao/106128204028.html</x:v>
      </x:c>
    </x:row>
    <x:row r="51" ht="22" customHeight="1">
      <x:c r="A51" s="6" t="str">
        <x:v>川大</x:v>
      </x:c>
      <x:c r="B51" s="6" t="str">
        <x:v>和信派都</x:v>
      </x:c>
      <x:c r="C51" s="6" t="str">
        <x:v>2026.07.01</x:v>
      </x:c>
      <x:c r="D51" s="6" t="n">
        <x:v>87</x:v>
      </x:c>
      <x:c r="E51" s="6" t="n">
        <x:v>60.64</x:v>
      </x:c>
      <x:c r="F51" s="6" t="n">
        <x:v>14347</x:v>
      </x:c>
      <x:c r="G51" s="6" t="n">
        <x:v>92</x:v>
      </x:c>
      <x:c r="H51" s="8" t="n">
        <x:v>0.054299999999999994</x:v>
      </x:c>
      <x:c r="I51" s="6" t="str">
        <x:v>106122969373</x:v>
      </x:c>
      <x:c r="J51" s="6" t="str">
        <x:v>https://cd.lianjia.com/chengjiao/106122969373.html</x:v>
      </x:c>
    </x:row>
    <x:row r="52" ht="22" customHeight="1">
      <x:c r="A52" s="6" t="str">
        <x:v>盐市口</x:v>
      </x:c>
      <x:c r="B52" s="6" t="str">
        <x:v>财富中心</x:v>
      </x:c>
      <x:c r="C52" s="6" t="str">
        <x:v>2026.06.30</x:v>
      </x:c>
      <x:c r="D52" s="6" t="n">
        <x:v>107</x:v>
      </x:c>
      <x:c r="E52" s="6" t="n">
        <x:v>50.43</x:v>
      </x:c>
      <x:c r="F52" s="6" t="n">
        <x:v>21218</x:v>
      </x:c>
      <x:c r="G52" s="6" t="n">
        <x:v>117</x:v>
      </x:c>
      <x:c r="H52" s="8" t="n">
        <x:v>0.0855</x:v>
      </x:c>
      <x:c r="I52" s="6" t="str">
        <x:v>106128141973</x:v>
      </x:c>
      <x:c r="J52" s="6" t="str">
        <x:v>https://cd.lianjia.com/chengjiao/106128141973.html</x:v>
      </x:c>
    </x:row>
    <x:row r="53" ht="22" customHeight="1">
      <x:c r="A53" s="6" t="str">
        <x:v>盐市口</x:v>
      </x:c>
      <x:c r="B53" s="6" t="str">
        <x:v>财富中心</x:v>
      </x:c>
      <x:c r="C53" s="6" t="str">
        <x:v>2026.06.29</x:v>
      </x:c>
      <x:c r="D53" s="6" t="n">
        <x:v>113.8</x:v>
      </x:c>
      <x:c r="E53" s="6" t="n">
        <x:v>50.84</x:v>
      </x:c>
      <x:c r="F53" s="6" t="n">
        <x:v>22384</x:v>
      </x:c>
      <x:c r="G53" s="6" t="n">
        <x:v>116</x:v>
      </x:c>
      <x:c r="H53" s="8" t="n">
        <x:v>0.019</x:v>
      </x:c>
      <x:c r="I53" s="6" t="str">
        <x:v>106117959974</x:v>
      </x:c>
      <x:c r="J53" s="6" t="str">
        <x:v>https://cd.lianjia.com/chengjiao/106117959974.html</x:v>
      </x:c>
    </x:row>
    <x:row r="54" ht="22" customHeight="1">
      <x:c r="A54" s="6" t="str">
        <x:v>川大</x:v>
      </x:c>
      <x:c r="B54" s="6" t="str">
        <x:v>和信派都</x:v>
      </x:c>
      <x:c r="C54" s="6" t="str">
        <x:v>2026.06.28</x:v>
      </x:c>
      <x:c r="D54" s="6" t="n">
        <x:v>78</x:v>
      </x:c>
      <x:c r="E54" s="6" t="n">
        <x:v>52.38</x:v>
      </x:c>
      <x:c r="F54" s="6" t="n">
        <x:v>14892</x:v>
      </x:c>
      <x:c r="G54" s="6" t="n">
        <x:v>86</x:v>
      </x:c>
      <x:c r="H54" s="8" t="n">
        <x:v>0.09300000000000001</x:v>
      </x:c>
      <x:c r="I54" s="6" t="str">
        <x:v>106127142721</x:v>
      </x:c>
      <x:c r="J54" s="6" t="str">
        <x:v>https://cd.lianjia.com/chengjiao/106127142721.html</x:v>
      </x:c>
    </x:row>
    <x:row r="55" ht="22" customHeight="1">
      <x:c r="A55" s="6" t="str">
        <x:v>合江亭</x:v>
      </x:c>
      <x:c r="B55" s="6" t="str">
        <x:v>蓝光时代华章</x:v>
      </x:c>
      <x:c r="C55" s="6" t="str">
        <x:v>2026.06.26</x:v>
      </x:c>
      <x:c r="D55" s="6" t="n">
        <x:v>86</x:v>
      </x:c>
      <x:c r="E55" s="6" t="n">
        <x:v>37.15</x:v>
      </x:c>
      <x:c r="F55" s="6" t="n">
        <x:v>23150</x:v>
      </x:c>
      <x:c r="G55" s="6" t="n">
        <x:v>92</x:v>
      </x:c>
      <x:c r="H55" s="8" t="n">
        <x:v>0.0652</x:v>
      </x:c>
      <x:c r="I55" s="6" t="str">
        <x:v>106127010599</x:v>
      </x:c>
      <x:c r="J55" s="6" t="str">
        <x:v>https://cd.lianjia.com/chengjiao/106127010599.html</x:v>
      </x:c>
    </x:row>
    <x:row r="56" ht="22" customHeight="1">
      <x:c r="A56" s="6" t="str">
        <x:v>合江亭</x:v>
      </x:c>
      <x:c r="B56" s="6" t="str">
        <x:v>美丽合江</x:v>
      </x:c>
      <x:c r="C56" s="6" t="str">
        <x:v>2026.06.23</x:v>
      </x:c>
      <x:c r="D56" s="6" t="n">
        <x:v>100</x:v>
      </x:c>
      <x:c r="E56" s="6" t="n">
        <x:v>55.38</x:v>
      </x:c>
      <x:c r="F56" s="6" t="n">
        <x:v>18058</x:v>
      </x:c>
      <x:c r="G56" s="6" t="n">
        <x:v>112</x:v>
      </x:c>
      <x:c r="H56" s="8" t="n">
        <x:v>0.10710000000000001</x:v>
      </x:c>
      <x:c r="I56" s="6" t="str">
        <x:v>106127457256</x:v>
      </x:c>
      <x:c r="J56" s="6" t="str">
        <x:v>https://cd.lianjia.com/chengjiao/106127457256.html</x:v>
      </x:c>
    </x:row>
    <x:row r="57" ht="22" customHeight="1">
      <x:c r="A57" s="6" t="str">
        <x:v>盐市口</x:v>
      </x:c>
      <x:c r="B57" s="6" t="str">
        <x:v>财富中心</x:v>
      </x:c>
      <x:c r="C57" s="6" t="str">
        <x:v>2026.06.21</x:v>
      </x:c>
      <x:c r="D57" s="6" t="n">
        <x:v>115</x:v>
      </x:c>
      <x:c r="E57" s="6" t="n">
        <x:v>47.53</x:v>
      </x:c>
      <x:c r="F57" s="6" t="n">
        <x:v>24196</x:v>
      </x:c>
      <x:c r="G57" s="6" t="n">
        <x:v>119</x:v>
      </x:c>
      <x:c r="H57" s="8" t="n">
        <x:v>0.0336</x:v>
      </x:c>
      <x:c r="I57" s="6" t="str">
        <x:v>106126369042</x:v>
      </x:c>
      <x:c r="J57" s="6" t="str">
        <x:v>https://cd.lianjia.com/chengjiao/106126369042.html</x:v>
      </x:c>
    </x:row>
    <x:row r="58" ht="22" customHeight="1">
      <x:c r="A58" s="6" t="str">
        <x:v>合江亭</x:v>
      </x:c>
      <x:c r="B58" s="6" t="str">
        <x:v>锦上花</x:v>
      </x:c>
      <x:c r="C58" s="6" t="str">
        <x:v>2026.06.20</x:v>
      </x:c>
      <x:c r="D58" s="6" t="n">
        <x:v>83</x:v>
      </x:c>
      <x:c r="E58" s="6" t="n">
        <x:v>48.17</x:v>
      </x:c>
      <x:c r="F58" s="6" t="n">
        <x:v>17231</x:v>
      </x:c>
      <x:c r="G58" s="6" t="n">
        <x:v>90</x:v>
      </x:c>
      <x:c r="H58" s="8" t="n">
        <x:v>0.07780000000000001</x:v>
      </x:c>
      <x:c r="I58" s="6" t="str">
        <x:v>106121373282</x:v>
      </x:c>
      <x:c r="J58" s="6" t="str">
        <x:v>https://cd.lianjia.com/chengjiao/106121373282.html</x:v>
      </x:c>
    </x:row>
    <x:row r="59" ht="22" customHeight="1">
      <x:c r="A59" s="6" t="str">
        <x:v>盐市口</x:v>
      </x:c>
      <x:c r="B59" s="6" t="str">
        <x:v>财富中心</x:v>
      </x:c>
      <x:c r="C59" s="6" t="str">
        <x:v>2026.06.20</x:v>
      </x:c>
      <x:c r="D59" s="6" t="n">
        <x:v>108</x:v>
      </x:c>
      <x:c r="E59" s="6" t="n">
        <x:v>47.53</x:v>
      </x:c>
      <x:c r="F59" s="6" t="n">
        <x:v>22723</x:v>
      </x:c>
      <x:c r="G59" s="6" t="n">
        <x:v>118</x:v>
      </x:c>
      <x:c r="H59" s="8" t="n">
        <x:v>0.08470000000000001</x:v>
      </x:c>
      <x:c r="I59" s="6" t="str">
        <x:v>106127875738</x:v>
      </x:c>
      <x:c r="J59" s="6" t="str">
        <x:v>https://cd.lianjia.com/chengjiao/106127875738.html</x:v>
      </x:c>
    </x:row>
    <x:row r="60" ht="22" customHeight="1">
      <x:c r="A60" s="6" t="str">
        <x:v>盐市口</x:v>
      </x:c>
      <x:c r="B60" s="6" t="str">
        <x:v>科甲大厦</x:v>
      </x:c>
      <x:c r="C60" s="6" t="str">
        <x:v>2026.06.20</x:v>
      </x:c>
      <x:c r="D60" s="6" t="n">
        <x:v>65</x:v>
      </x:c>
      <x:c r="E60" s="6" t="n">
        <x:v>48.35</x:v>
      </x:c>
      <x:c r="F60" s="6" t="n">
        <x:v>13444</x:v>
      </x:c>
      <x:c r="G60" s="6" t="n">
        <x:v>83</x:v>
      </x:c>
      <x:c r="H60" s="8" t="n">
        <x:v>0.2169</x:v>
      </x:c>
      <x:c r="I60" s="6" t="str">
        <x:v>106126705961</x:v>
      </x:c>
      <x:c r="J60" s="6" t="str">
        <x:v>https://cd.lianjia.com/chengjiao/106126705961.html</x:v>
      </x:c>
    </x:row>
    <x:row r="61" ht="22" customHeight="1">
      <x:c r="A61" s="6" t="str">
        <x:v>盐市口</x:v>
      </x:c>
      <x:c r="B61" s="6" t="str">
        <x:v>财富中心</x:v>
      </x:c>
      <x:c r="C61" s="6" t="str">
        <x:v>2026.06.18</x:v>
      </x:c>
      <x:c r="D61" s="6" t="n">
        <x:v>108</x:v>
      </x:c>
      <x:c r="E61" s="6" t="n">
        <x:v>49.64</x:v>
      </x:c>
      <x:c r="F61" s="6" t="n">
        <x:v>21757</x:v>
      </x:c>
      <x:c r="G61" s="6" t="n">
        <x:v>115</x:v>
      </x:c>
      <x:c r="H61" s="8" t="n">
        <x:v>0.060899999999999996</x:v>
      </x:c>
      <x:c r="I61" s="6" t="str">
        <x:v>106127584262</x:v>
      </x:c>
      <x:c r="J61" s="6" t="str">
        <x:v>https://cd.lianjia.com/chengjiao/106127584262.html</x:v>
      </x:c>
    </x:row>
    <x:row r="62" ht="22" customHeight="1">
      <x:c r="A62" s="6" t="str">
        <x:v>盐市口</x:v>
      </x:c>
      <x:c r="B62" s="6" t="str">
        <x:v>大发百度城</x:v>
      </x:c>
      <x:c r="C62" s="6" t="str">
        <x:v>2026.06.18</x:v>
      </x:c>
      <x:c r="D62" s="6" t="n">
        <x:v>40</x:v>
      </x:c>
      <x:c r="E62" s="6" t="n">
        <x:v>40.47</x:v>
      </x:c>
      <x:c r="F62" s="6" t="n">
        <x:v>9884</x:v>
      </x:c>
      <x:c r="G62" s="6" t="n">
        <x:v>45</x:v>
      </x:c>
      <x:c r="H62" s="8" t="n">
        <x:v>0.11109999999999999</x:v>
      </x:c>
      <x:c r="I62" s="6" t="str">
        <x:v>106127268576</x:v>
      </x:c>
      <x:c r="J62" s="6" t="str">
        <x:v>https://cd.lianjia.com/chengjiao/106127268576.html</x:v>
      </x:c>
    </x:row>
    <x:row r="63" ht="22" customHeight="1">
      <x:c r="A63" s="6" t="str">
        <x:v>盐市口</x:v>
      </x:c>
      <x:c r="B63" s="6" t="str">
        <x:v>财富中心</x:v>
      </x:c>
      <x:c r="C63" s="6" t="str">
        <x:v>2026.06.14</x:v>
      </x:c>
      <x:c r="D63" s="6" t="n">
        <x:v>111</x:v>
      </x:c>
      <x:c r="E63" s="6" t="n">
        <x:v>49.89</x:v>
      </x:c>
      <x:c r="F63" s="6" t="n">
        <x:v>22249</x:v>
      </x:c>
      <x:c r="G63" s="6" t="n">
        <x:v>118.8</x:v>
      </x:c>
      <x:c r="H63" s="8" t="n">
        <x:v>0.06570000000000001</x:v>
      </x:c>
      <x:c r="I63" s="6" t="str">
        <x:v>106127166265</x:v>
      </x:c>
      <x:c r="J63" s="6" t="str">
        <x:v>https://cd.lianjia.com/chengjiao/106127166265.html</x:v>
      </x:c>
    </x:row>
    <x:row r="64" ht="22" customHeight="1">
      <x:c r="A64" s="6" t="str">
        <x:v>川大</x:v>
      </x:c>
      <x:c r="B64" s="6" t="str">
        <x:v>和信派都</x:v>
      </x:c>
      <x:c r="C64" s="6" t="str">
        <x:v>2026.06.06</x:v>
      </x:c>
      <x:c r="D64" s="6" t="n">
        <x:v>80</x:v>
      </x:c>
      <x:c r="E64" s="6" t="n">
        <x:v>60.64</x:v>
      </x:c>
      <x:c r="F64" s="6" t="n">
        <x:v>13193</x:v>
      </x:c>
      <x:c r="G64" s="6" t="n">
        <x:v>85</x:v>
      </x:c>
      <x:c r="H64" s="8" t="n">
        <x:v>0.0588</x:v>
      </x:c>
      <x:c r="I64" s="6" t="str">
        <x:v>106114604677</x:v>
      </x:c>
      <x:c r="J64" s="6" t="str">
        <x:v>https://cd.lianjia.com/chengjiao/106114604677.html</x:v>
      </x:c>
    </x:row>
    <x:row r="65" ht="22" customHeight="1">
      <x:c r="A65" s="6" t="str">
        <x:v>盐市口</x:v>
      </x:c>
      <x:c r="B65" s="6" t="str">
        <x:v>科甲大厦</x:v>
      </x:c>
      <x:c r="C65" s="6" t="str">
        <x:v>2026.06.06</x:v>
      </x:c>
      <x:c r="D65" s="6" t="n">
        <x:v>55</x:v>
      </x:c>
      <x:c r="E65" s="6" t="n">
        <x:v>40.16</x:v>
      </x:c>
      <x:c r="F65" s="6" t="n">
        <x:v>13696</x:v>
      </x:c>
      <x:c r="G65" s="6" t="n">
        <x:v>63</x:v>
      </x:c>
      <x:c r="H65" s="8" t="n">
        <x:v>0.127</x:v>
      </x:c>
      <x:c r="I65" s="6" t="str">
        <x:v>106126575816</x:v>
      </x:c>
      <x:c r="J65" s="6" t="str">
        <x:v>https://cd.lianjia.com/chengjiao/106126575816.html</x:v>
      </x:c>
    </x:row>
    <x:row r="66" ht="22" customHeight="1">
      <x:c r="A66" s="6" t="str">
        <x:v>合江亭</x:v>
      </x:c>
      <x:c r="B66" s="6" t="str">
        <x:v>喜年广场</x:v>
      </x:c>
      <x:c r="C66" s="6" t="str">
        <x:v>2026.06.03</x:v>
      </x:c>
      <x:c r="D66" s="6" t="n">
        <x:v>99</x:v>
      </x:c>
      <x:c r="E66" s="6" t="n">
        <x:v>46.89</x:v>
      </x:c>
      <x:c r="F66" s="6" t="n">
        <x:v>21114</x:v>
      </x:c>
      <x:c r="G66" s="6" t="n">
        <x:v>105</x:v>
      </x:c>
      <x:c r="H66" s="8" t="n">
        <x:v>0.0571</x:v>
      </x:c>
      <x:c r="I66" s="6" t="str">
        <x:v>106124435354</x:v>
      </x:c>
      <x:c r="J66" s="6" t="str">
        <x:v>https://cd.lianjia.com/chengjiao/106124435354.html</x:v>
      </x:c>
    </x:row>
    <x:row r="67" ht="22" customHeight="1">
      <x:c r="A67" s="6" t="str">
        <x:v>合江亭</x:v>
      </x:c>
      <x:c r="B67" s="6" t="str">
        <x:v>喜年广场</x:v>
      </x:c>
      <x:c r="C67" s="6" t="str">
        <x:v>2026.05.28</x:v>
      </x:c>
      <x:c r="D67" s="6" t="n">
        <x:v>102</x:v>
      </x:c>
      <x:c r="E67" s="6" t="n">
        <x:v>46.89</x:v>
      </x:c>
      <x:c r="F67" s="6" t="n">
        <x:v>21754</x:v>
      </x:c>
      <x:c r="G67" s="6" t="n">
        <x:v>105</x:v>
      </x:c>
      <x:c r="H67" s="8" t="n">
        <x:v>0.0286</x:v>
      </x:c>
      <x:c r="I67" s="6" t="str">
        <x:v>106127276303</x:v>
      </x:c>
      <x:c r="J67" s="6" t="str">
        <x:v>https://cd.lianjia.com/chengjiao/106127276303.html</x:v>
      </x:c>
    </x:row>
    <x:row r="68" ht="22" customHeight="1">
      <x:c r="A68" s="6" t="str">
        <x:v>盐市口</x:v>
      </x:c>
      <x:c r="B68" s="6" t="str">
        <x:v>财富中心</x:v>
      </x:c>
      <x:c r="C68" s="6" t="str">
        <x:v>2026.05.27</x:v>
      </x:c>
      <x:c r="D68" s="6" t="n">
        <x:v>105.4</x:v>
      </x:c>
      <x:c r="E68" s="6" t="n">
        <x:v>48.35</x:v>
      </x:c>
      <x:c r="F68" s="6" t="n">
        <x:v>21800</x:v>
      </x:c>
      <x:c r="G68" s="6" t="n">
        <x:v>112</x:v>
      </x:c>
      <x:c r="H68" s="8" t="n">
        <x:v>0.058899999999999994</x:v>
      </x:c>
      <x:c r="I68" s="6" t="str">
        <x:v>106127002044</x:v>
      </x:c>
      <x:c r="J68" s="6" t="str">
        <x:v>https://cd.lianjia.com/chengjiao/106127002044.html</x:v>
      </x:c>
    </x:row>
    <x:row r="69" ht="22" customHeight="1">
      <x:c r="A69" s="6" t="str">
        <x:v>盐市口</x:v>
      </x:c>
      <x:c r="B69" s="6" t="str">
        <x:v>城市理想</x:v>
      </x:c>
      <x:c r="C69" s="6" t="str">
        <x:v>2026.05.23</x:v>
      </x:c>
      <x:c r="D69" s="6" t="n">
        <x:v>96</x:v>
      </x:c>
      <x:c r="E69" s="6" t="n">
        <x:v>51.74</x:v>
      </x:c>
      <x:c r="F69" s="6" t="n">
        <x:v>18555</x:v>
      </x:c>
      <x:c r="G69" s="6" t="n">
        <x:v>110</x:v>
      </x:c>
      <x:c r="H69" s="8" t="n">
        <x:v>0.1273</x:v>
      </x:c>
      <x:c r="I69" s="6" t="str">
        <x:v>106121520076</x:v>
      </x:c>
      <x:c r="J69" s="6" t="str">
        <x:v>https://cd.lianjia.com/chengjiao/106121520076.html</x:v>
      </x:c>
    </x:row>
    <x:row r="70" ht="22" customHeight="1">
      <x:c r="A70" s="6" t="str">
        <x:v>华西</x:v>
      </x:c>
      <x:c r="B70" s="6" t="str">
        <x:v>黉门公馆</x:v>
      </x:c>
      <x:c r="C70" s="6" t="str">
        <x:v>2026.05.22</x:v>
      </x:c>
      <x:c r="D70" s="6" t="n">
        <x:v>79</x:v>
      </x:c>
      <x:c r="E70" s="6" t="n">
        <x:v>54.51</x:v>
      </x:c>
      <x:c r="F70" s="6" t="n">
        <x:v>14493</x:v>
      </x:c>
      <x:c r="G70" s="6" t="n">
        <x:v>89</x:v>
      </x:c>
      <x:c r="H70" s="8" t="n">
        <x:v>0.1124</x:v>
      </x:c>
      <x:c r="I70" s="6" t="str">
        <x:v>106126813730</x:v>
      </x:c>
      <x:c r="J70" s="6" t="str">
        <x:v>https://cd.lianjia.com/chengjiao/106126813730.html</x:v>
      </x:c>
    </x:row>
    <x:row r="71" ht="22" customHeight="1">
      <x:c r="A71" s="6" t="str">
        <x:v>合江亭</x:v>
      </x:c>
      <x:c r="B71" s="6" t="str">
        <x:v>锦上花</x:v>
      </x:c>
      <x:c r="C71" s="6" t="str">
        <x:v>2026.05.20</x:v>
      </x:c>
      <x:c r="D71" s="6" t="n">
        <x:v>81.5</x:v>
      </x:c>
      <x:c r="E71" s="6" t="n">
        <x:v>39.73</x:v>
      </x:c>
      <x:c r="F71" s="6" t="n">
        <x:v>20514</x:v>
      </x:c>
      <x:c r="G71" s="6" t="n">
        <x:v>85</x:v>
      </x:c>
      <x:c r="H71" s="8" t="n">
        <x:v>0.0412</x:v>
      </x:c>
      <x:c r="I71" s="6" t="str">
        <x:v>106127247218</x:v>
      </x:c>
      <x:c r="J71" s="6" t="str">
        <x:v>https://cd.lianjia.com/chengjiao/106127247218.html</x:v>
      </x:c>
    </x:row>
    <x:row r="72" ht="22" customHeight="1">
      <x:c r="A72" s="6" t="str">
        <x:v>合江亭</x:v>
      </x:c>
      <x:c r="B72" s="6" t="str">
        <x:v>SOHO我的寓所</x:v>
      </x:c>
      <x:c r="C72" s="6" t="str">
        <x:v>2026.05.19</x:v>
      </x:c>
      <x:c r="D72" s="6" t="n">
        <x:v>73.3</x:v>
      </x:c>
      <x:c r="E72" s="6" t="n">
        <x:v>41.92</x:v>
      </x:c>
      <x:c r="F72" s="6" t="n">
        <x:v>17486</x:v>
      </x:c>
      <x:c r="G72" s="6" t="n">
        <x:v>76</x:v>
      </x:c>
      <x:c r="H72" s="8" t="n">
        <x:v>0.0355</x:v>
      </x:c>
      <x:c r="I72" s="6" t="str">
        <x:v>106120254150</x:v>
      </x:c>
      <x:c r="J72" s="6" t="str">
        <x:v>https://cd.lianjia.com/chengjiao/106120254150.html</x:v>
      </x:c>
    </x:row>
    <x:row r="73" ht="22" customHeight="1">
      <x:c r="A73" s="6" t="str">
        <x:v>合江亭</x:v>
      </x:c>
      <x:c r="B73" s="6" t="str">
        <x:v>锦上花</x:v>
      </x:c>
      <x:c r="C73" s="6" t="str">
        <x:v>2026.05.16</x:v>
      </x:c>
      <x:c r="D73" s="6" t="n">
        <x:v>82</x:v>
      </x:c>
      <x:c r="E73" s="6" t="n">
        <x:v>44.46</x:v>
      </x:c>
      <x:c r="F73" s="6" t="n">
        <x:v>18444</x:v>
      </x:c>
      <x:c r="G73" s="6" t="n">
        <x:v>92</x:v>
      </x:c>
      <x:c r="H73" s="8" t="n">
        <x:v>0.10869999999999999</x:v>
      </x:c>
      <x:c r="I73" s="6" t="str">
        <x:v>106112989321</x:v>
      </x:c>
      <x:c r="J73" s="6" t="str">
        <x:v>https://cd.lianjia.com/chengjiao/106112989321.html</x:v>
      </x:c>
    </x:row>
    <x:row r="74" ht="22" customHeight="1">
      <x:c r="A74" s="6" t="str">
        <x:v>盐市口</x:v>
      </x:c>
      <x:c r="B74" s="6" t="str">
        <x:v>都市驿站</x:v>
      </x:c>
      <x:c r="C74" s="6" t="str">
        <x:v>2026.05.10</x:v>
      </x:c>
      <x:c r="D74" s="6" t="n">
        <x:v>90.5</x:v>
      </x:c>
      <x:c r="E74" s="6" t="n">
        <x:v>49.94</x:v>
      </x:c>
      <x:c r="F74" s="6" t="n">
        <x:v>18122</x:v>
      </x:c>
      <x:c r="G74" s="6" t="n">
        <x:v>96.6</x:v>
      </x:c>
      <x:c r="H74" s="8" t="n">
        <x:v>0.06309999999999999</x:v>
      </x:c>
      <x:c r="I74" s="6" t="str">
        <x:v>106125753453</x:v>
      </x:c>
      <x:c r="J74" s="6" t="str">
        <x:v>https://cd.lianjia.com/chengjiao/106125753453.html</x:v>
      </x:c>
    </x:row>
    <x:row r="75" ht="22" customHeight="1">
      <x:c r="A75" s="6" t="str">
        <x:v>合江亭</x:v>
      </x:c>
      <x:c r="B75" s="6" t="str">
        <x:v>SOHO我的寓所</x:v>
      </x:c>
      <x:c r="C75" s="6" t="str">
        <x:v>2026.05.04</x:v>
      </x:c>
      <x:c r="D75" s="6" t="n">
        <x:v>74.5</x:v>
      </x:c>
      <x:c r="E75" s="6" t="n">
        <x:v>48.68</x:v>
      </x:c>
      <x:c r="F75" s="6" t="n">
        <x:v>15305</x:v>
      </x:c>
      <x:c r="G75" s="6" t="n">
        <x:v>80</x:v>
      </x:c>
      <x:c r="H75" s="8" t="n">
        <x:v>0.0688</x:v>
      </x:c>
      <x:c r="I75" s="6" t="str">
        <x:v>106124669404</x:v>
      </x:c>
      <x:c r="J75" s="6" t="str">
        <x:v>https://cd.lianjia.com/chengjiao/106124669404.html</x:v>
      </x:c>
    </x:row>
    <x:row r="76" ht="22" customHeight="1">
      <x:c r="A76" s="6" t="str">
        <x:v>川大</x:v>
      </x:c>
      <x:c r="B76" s="6" t="str">
        <x:v>纯真年代</x:v>
      </x:c>
      <x:c r="C76" s="6" t="str">
        <x:v>2026.05.03</x:v>
      </x:c>
      <x:c r="D76" s="6" t="n">
        <x:v>55.5</x:v>
      </x:c>
      <x:c r="E76" s="6" t="n">
        <x:v>42.14</x:v>
      </x:c>
      <x:c r="F76" s="6" t="n">
        <x:v>13171</x:v>
      </x:c>
      <x:c r="G76" s="6" t="n">
        <x:v>63</x:v>
      </x:c>
      <x:c r="H76" s="8" t="n">
        <x:v>0.11900000000000001</x:v>
      </x:c>
      <x:c r="I76" s="6" t="str">
        <x:v>106126791978</x:v>
      </x:c>
      <x:c r="J76" s="6" t="str">
        <x:v>https://cd.lianjia.com/chengjiao/106126791978.html</x:v>
      </x:c>
    </x:row>
    <x:row r="77" ht="22" customHeight="1">
      <x:c r="A77" s="6" t="str">
        <x:v>盐市口</x:v>
      </x:c>
      <x:c r="B77" s="6" t="str">
        <x:v>都市驿站</x:v>
      </x:c>
      <x:c r="C77" s="6" t="str">
        <x:v>2026.04.29</x:v>
      </x:c>
      <x:c r="D77" s="6" t="n">
        <x:v>88.5</x:v>
      </x:c>
      <x:c r="E77" s="6" t="n">
        <x:v>49.13</x:v>
      </x:c>
      <x:c r="F77" s="6" t="n">
        <x:v>18014</x:v>
      </x:c>
      <x:c r="G77" s="6" t="n">
        <x:v>93</x:v>
      </x:c>
      <x:c r="H77" s="8" t="n">
        <x:v>0.0484</x:v>
      </x:c>
      <x:c r="I77" s="6" t="str">
        <x:v>106122529730</x:v>
      </x:c>
      <x:c r="J77" s="6" t="str">
        <x:v>https://cd.lianjia.com/chengjiao/106122529730.html</x:v>
      </x:c>
    </x:row>
    <x:row r="78" ht="22" customHeight="1">
      <x:c r="A78" s="6" t="str">
        <x:v>盐市口</x:v>
      </x:c>
      <x:c r="B78" s="6" t="str">
        <x:v>都市驿站</x:v>
      </x:c>
      <x:c r="C78" s="6" t="str">
        <x:v>2026.04.27</x:v>
      </x:c>
      <x:c r="D78" s="6" t="n">
        <x:v>89</x:v>
      </x:c>
      <x:c r="E78" s="6" t="n">
        <x:v>50.38</x:v>
      </x:c>
      <x:c r="F78" s="6" t="n">
        <x:v>17666</x:v>
      </x:c>
      <x:c r="G78" s="6" t="n">
        <x:v>100</x:v>
      </x:c>
      <x:c r="H78" s="8" t="n">
        <x:v>0.11</x:v>
      </x:c>
      <x:c r="I78" s="6" t="str">
        <x:v>106117822721</x:v>
      </x:c>
      <x:c r="J78" s="6" t="str">
        <x:v>https://cd.lianjia.com/chengjiao/106117822721.html</x:v>
      </x:c>
    </x:row>
    <x:row r="79" ht="22" customHeight="1">
      <x:c r="A79" s="6" t="str">
        <x:v>川音</x:v>
      </x:c>
      <x:c r="B79" s="6" t="str">
        <x:v>正黄上岭</x:v>
      </x:c>
      <x:c r="C79" s="6" t="str">
        <x:v>2026.04.27</x:v>
      </x:c>
      <x:c r="D79" s="6" t="n">
        <x:v>80</x:v>
      </x:c>
      <x:c r="E79" s="6" t="n">
        <x:v>48.92</x:v>
      </x:c>
      <x:c r="F79" s="6" t="n">
        <x:v>16354</x:v>
      </x:c>
      <x:c r="G79" s="6" t="n">
        <x:v>88</x:v>
      </x:c>
      <x:c r="H79" s="8" t="n">
        <x:v>0.0909</x:v>
      </x:c>
      <x:c r="I79" s="6" t="str">
        <x:v>106124944508</x:v>
      </x:c>
      <x:c r="J79" s="6" t="str">
        <x:v>https://cd.lianjia.com/chengjiao/106124944508.html</x:v>
      </x:c>
    </x:row>
    <x:row r="80" ht="22" customHeight="1">
      <x:c r="A80" s="6" t="str">
        <x:v>盐市口</x:v>
      </x:c>
      <x:c r="B80" s="6" t="str">
        <x:v>缤舍</x:v>
      </x:c>
      <x:c r="C80" s="6" t="str">
        <x:v>2026.04.26</x:v>
      </x:c>
      <x:c r="D80" s="6" t="n">
        <x:v>83</x:v>
      </x:c>
      <x:c r="E80" s="6" t="n">
        <x:v>59</x:v>
      </x:c>
      <x:c r="F80" s="6" t="n">
        <x:v>14068</x:v>
      </x:c>
      <x:c r="G80" s="6" t="n">
        <x:v>89</x:v>
      </x:c>
      <x:c r="H80" s="8" t="n">
        <x:v>0.0674</x:v>
      </x:c>
      <x:c r="I80" s="6" t="str">
        <x:v>106122505209</x:v>
      </x:c>
      <x:c r="J80" s="6" t="str">
        <x:v>https://cd.lianjia.com/chengjiao/106122505209.html</x:v>
      </x:c>
    </x:row>
    <x:row r="81" ht="22" customHeight="1">
      <x:c r="A81" s="6" t="str">
        <x:v>盐市口</x:v>
      </x:c>
      <x:c r="B81" s="6" t="str">
        <x:v>缤舍</x:v>
      </x:c>
      <x:c r="C81" s="6" t="str">
        <x:v>2026.04.25</x:v>
      </x:c>
      <x:c r="D81" s="6" t="n">
        <x:v>83.8</x:v>
      </x:c>
      <x:c r="E81" s="6" t="n">
        <x:v>59.04</x:v>
      </x:c>
      <x:c r="F81" s="6" t="n">
        <x:v>14194</x:v>
      </x:c>
      <x:c r="G81" s="6" t="n">
        <x:v>89</x:v>
      </x:c>
      <x:c r="H81" s="8" t="n">
        <x:v>0.0584</x:v>
      </x:c>
      <x:c r="I81" s="6" t="str">
        <x:v>106122505023</x:v>
      </x:c>
      <x:c r="J81" s="6" t="str">
        <x:v>https://cd.lianjia.com/chengjiao/106122505023.html</x:v>
      </x:c>
    </x:row>
    <x:row r="82" ht="22" customHeight="1">
      <x:c r="A82" s="6" t="str">
        <x:v>盐市口</x:v>
      </x:c>
      <x:c r="B82" s="6" t="str">
        <x:v>财富中心</x:v>
      </x:c>
      <x:c r="C82" s="6" t="str">
        <x:v>2026.04.18</x:v>
      </x:c>
      <x:c r="D82" s="6" t="n">
        <x:v>112.8</x:v>
      </x:c>
      <x:c r="E82" s="6" t="n">
        <x:v>48.74</x:v>
      </x:c>
      <x:c r="F82" s="6" t="n">
        <x:v>23144</x:v>
      </x:c>
      <x:c r="G82" s="6" t="n">
        <x:v>115</x:v>
      </x:c>
      <x:c r="H82" s="8" t="n">
        <x:v>0.0191</x:v>
      </x:c>
      <x:c r="I82" s="6" t="str">
        <x:v>106124143136</x:v>
      </x:c>
      <x:c r="J82" s="6" t="str">
        <x:v>https://cd.lianjia.com/chengjiao/106124143136.html</x:v>
      </x:c>
    </x:row>
    <x:row r="83" ht="22" customHeight="1">
      <x:c r="A83" s="6" t="str">
        <x:v>合江亭</x:v>
      </x:c>
      <x:c r="B83" s="6" t="str">
        <x:v>星城银座</x:v>
      </x:c>
      <x:c r="C83" s="6" t="str">
        <x:v>2026.04.16</x:v>
      </x:c>
      <x:c r="D83" s="6" t="n">
        <x:v>83.2</x:v>
      </x:c>
      <x:c r="E83" s="6" t="n">
        <x:v>48.1</x:v>
      </x:c>
      <x:c r="F83" s="6" t="n">
        <x:v>17298</x:v>
      </x:c>
      <x:c r="G83" s="6" t="n">
        <x:v>83.2</x:v>
      </x:c>
      <x:c r="H83" s="8" t="n">
        <x:v>0</x:v>
      </x:c>
      <x:c r="I83" s="6" t="str">
        <x:v>106125443511</x:v>
      </x:c>
      <x:c r="J83" s="6" t="str">
        <x:v>https://cd.lianjia.com/chengjiao/106125443511.html</x:v>
      </x:c>
    </x:row>
    <x:row r="84" ht="22" customHeight="1">
      <x:c r="A84" s="6" t="str">
        <x:v>盐市口</x:v>
      </x:c>
      <x:c r="B84" s="6" t="str">
        <x:v>财富中心</x:v>
      </x:c>
      <x:c r="C84" s="6" t="str">
        <x:v>2026.04.14</x:v>
      </x:c>
      <x:c r="D84" s="6" t="n">
        <x:v>113.8</x:v>
      </x:c>
      <x:c r="E84" s="6" t="n">
        <x:v>47.53</x:v>
      </x:c>
      <x:c r="F84" s="6" t="n">
        <x:v>23943</x:v>
      </x:c>
      <x:c r="G84" s="6" t="n">
        <x:v>118</x:v>
      </x:c>
      <x:c r="H84" s="8" t="n">
        <x:v>0.0356</x:v>
      </x:c>
      <x:c r="I84" s="6" t="str">
        <x:v>106127087054</x:v>
      </x:c>
      <x:c r="J84" s="6" t="str">
        <x:v>https://cd.lianjia.com/chengjiao/106127087054.html</x:v>
      </x:c>
    </x:row>
    <x:row r="85" ht="22" customHeight="1">
      <x:c r="A85" s="6" t="str">
        <x:v>盐市口</x:v>
      </x:c>
      <x:c r="B85" s="6" t="str">
        <x:v>新和春禧时代</x:v>
      </x:c>
      <x:c r="C85" s="6" t="str">
        <x:v>2026.04.12</x:v>
      </x:c>
      <x:c r="D85" s="6" t="n">
        <x:v>95</x:v>
      </x:c>
      <x:c r="E85" s="6" t="n">
        <x:v>49.94</x:v>
      </x:c>
      <x:c r="F85" s="6" t="n">
        <x:v>19023</x:v>
      </x:c>
      <x:c r="G85" s="6" t="n">
        <x:v>99.5</x:v>
      </x:c>
      <x:c r="H85" s="8" t="n">
        <x:v>0.0452</x:v>
      </x:c>
      <x:c r="I85" s="6" t="str">
        <x:v>106126693399</x:v>
      </x:c>
      <x:c r="J85" s="6" t="str">
        <x:v>https://cd.lianjia.com/chengjiao/106126693399.html</x:v>
      </x:c>
    </x:row>
    <x:row r="86" ht="22" customHeight="1">
      <x:c r="A86" s="6" t="str">
        <x:v>合江亭</x:v>
      </x:c>
      <x:c r="B86" s="6" t="str">
        <x:v>锦江印象</x:v>
      </x:c>
      <x:c r="C86" s="6" t="str">
        <x:v>2026.04.09</x:v>
      </x:c>
      <x:c r="D86" s="6" t="n">
        <x:v>96.6</x:v>
      </x:c>
      <x:c r="E86" s="6" t="n">
        <x:v>45.34</x:v>
      </x:c>
      <x:c r="F86" s="6" t="n">
        <x:v>21306</x:v>
      </x:c>
      <x:c r="G86" s="6" t="n">
        <x:v>99</x:v>
      </x:c>
      <x:c r="H86" s="8" t="n">
        <x:v>0.0242</x:v>
      </x:c>
      <x:c r="I86" s="6" t="str">
        <x:v>106123978916</x:v>
      </x:c>
      <x:c r="J86" s="6" t="str">
        <x:v>https://cd.lianjia.com/chengjiao/106123978916.html</x:v>
      </x:c>
    </x:row>
    <x:row r="87" ht="22" customHeight="1">
      <x:c r="A87" s="6" t="str">
        <x:v>盐市口</x:v>
      </x:c>
      <x:c r="B87" s="6" t="str">
        <x:v>萧邦</x:v>
      </x:c>
      <x:c r="C87" s="6" t="str">
        <x:v>2026.04.09</x:v>
      </x:c>
      <x:c r="D87" s="6" t="n">
        <x:v>72.6</x:v>
      </x:c>
      <x:c r="E87" s="6" t="n">
        <x:v>51.36</x:v>
      </x:c>
      <x:c r="F87" s="6" t="n">
        <x:v>14136</x:v>
      </x:c>
      <x:c r="G87" s="6" t="n">
        <x:v>79</x:v>
      </x:c>
      <x:c r="H87" s="8" t="n">
        <x:v>0.081</x:v>
      </x:c>
      <x:c r="I87" s="6" t="str">
        <x:v>106124396962</x:v>
      </x:c>
      <x:c r="J87" s="6" t="str">
        <x:v>https://cd.lianjia.com/chengjiao/106124396962.html</x:v>
      </x:c>
    </x:row>
    <x:row r="88" ht="22" customHeight="1">
      <x:c r="A88" s="6" t="str">
        <x:v>盐市口</x:v>
      </x:c>
      <x:c r="B88" s="6" t="str">
        <x:v>萧邦</x:v>
      </x:c>
      <x:c r="C88" s="6" t="str">
        <x:v>2026.04.08</x:v>
      </x:c>
      <x:c r="D88" s="6" t="n">
        <x:v>71</x:v>
      </x:c>
      <x:c r="E88" s="6" t="n">
        <x:v>51.36</x:v>
      </x:c>
      <x:c r="F88" s="6" t="n">
        <x:v>13824</x:v>
      </x:c>
      <x:c r="G88" s="6" t="n">
        <x:v>77</x:v>
      </x:c>
      <x:c r="H88" s="8" t="n">
        <x:v>0.0779</x:v>
      </x:c>
      <x:c r="I88" s="6" t="str">
        <x:v>106124234218</x:v>
      </x:c>
      <x:c r="J88" s="6" t="str">
        <x:v>https://cd.lianjia.com/chengjiao/106124234218.html</x:v>
      </x:c>
    </x:row>
    <x:row r="89" ht="22" customHeight="1">
      <x:c r="A89" s="6" t="str">
        <x:v>盐市口</x:v>
      </x:c>
      <x:c r="B89" s="6" t="str">
        <x:v>财富中心</x:v>
      </x:c>
      <x:c r="C89" s="6" t="str">
        <x:v>2026.04.06</x:v>
      </x:c>
      <x:c r="D89" s="6" t="n">
        <x:v>113.8</x:v>
      </x:c>
      <x:c r="E89" s="6" t="n">
        <x:v>47.53</x:v>
      </x:c>
      <x:c r="F89" s="6" t="n">
        <x:v>23943</x:v>
      </x:c>
      <x:c r="G89" s="6" t="n">
        <x:v>120</x:v>
      </x:c>
      <x:c r="H89" s="8" t="n">
        <x:v>0.051699999999999996</x:v>
      </x:c>
      <x:c r="I89" s="6" t="str">
        <x:v>106124853989</x:v>
      </x:c>
      <x:c r="J89" s="6" t="str">
        <x:v>https://cd.lianjia.com/chengjiao/106124853989.html</x:v>
      </x:c>
    </x:row>
    <x:row r="90" ht="22" customHeight="1">
      <x:c r="A90" s="6" t="str">
        <x:v>合江亭</x:v>
      </x:c>
      <x:c r="B90" s="6" t="str">
        <x:v>锦江印象</x:v>
      </x:c>
      <x:c r="C90" s="6" t="str">
        <x:v>2026.03.27</x:v>
      </x:c>
      <x:c r="D90" s="6" t="n">
        <x:v>103.9</x:v>
      </x:c>
      <x:c r="E90" s="6" t="n">
        <x:v>45.47</x:v>
      </x:c>
      <x:c r="F90" s="6" t="n">
        <x:v>22849</x:v>
      </x:c>
      <x:c r="G90" s="6" t="n">
        <x:v>112</x:v>
      </x:c>
      <x:c r="H90" s="8" t="n">
        <x:v>0.0723</x:v>
      </x:c>
      <x:c r="I90" s="6" t="str">
        <x:v>106126647627</x:v>
      </x:c>
      <x:c r="J90" s="6" t="str">
        <x:v>https://cd.lianjia.com/chengjiao/106126647627.html</x:v>
      </x:c>
    </x:row>
    <x:row r="91" ht="22" customHeight="1">
      <x:c r="A91" s="6" t="str">
        <x:v>合江亭</x:v>
      </x:c>
      <x:c r="B91" s="6" t="str">
        <x:v>流星花园</x:v>
      </x:c>
      <x:c r="C91" s="6" t="str">
        <x:v>2026.03.22</x:v>
      </x:c>
      <x:c r="D91" s="6" t="n">
        <x:v>74</x:v>
      </x:c>
      <x:c r="E91" s="6" t="n">
        <x:v>39.67</x:v>
      </x:c>
      <x:c r="F91" s="6" t="n">
        <x:v>18652</x:v>
      </x:c>
      <x:c r="G91" s="6" t="n">
        <x:v>75</x:v>
      </x:c>
      <x:c r="H91" s="8" t="n">
        <x:v>0.013300000000000001</x:v>
      </x:c>
      <x:c r="I91" s="6" t="str">
        <x:v>106126763402</x:v>
      </x:c>
      <x:c r="J91" s="6" t="str">
        <x:v>https://cd.lianjia.com/chengjiao/106126763402.html</x:v>
      </x:c>
    </x:row>
    <x:row r="92" ht="22" customHeight="1">
      <x:c r="A92" s="6" t="str">
        <x:v>合江亭</x:v>
      </x:c>
      <x:c r="B92" s="6" t="str">
        <x:v>喜年广场</x:v>
      </x:c>
      <x:c r="C92" s="6" t="str">
        <x:v>2026.03.19</x:v>
      </x:c>
      <x:c r="D92" s="6" t="n">
        <x:v>108</x:v>
      </x:c>
      <x:c r="E92" s="6" t="n">
        <x:v>46.89</x:v>
      </x:c>
      <x:c r="F92" s="6" t="n">
        <x:v>23033</x:v>
      </x:c>
      <x:c r="G92" s="6" t="n">
        <x:v>113</x:v>
      </x:c>
      <x:c r="H92" s="8" t="n">
        <x:v>0.044199999999999996</x:v>
      </x:c>
      <x:c r="I92" s="6" t="str">
        <x:v>106124566064</x:v>
      </x:c>
      <x:c r="J92" s="6" t="str">
        <x:v>https://cd.lianjia.com/chengjiao/106124566064.html</x:v>
      </x:c>
    </x:row>
    <x:row r="93" ht="22" customHeight="1">
      <x:c r="A93" s="6" t="str">
        <x:v>盐市口</x:v>
      </x:c>
      <x:c r="B93" s="6" t="str">
        <x:v>银杏地带</x:v>
      </x:c>
      <x:c r="C93" s="6" t="str">
        <x:v>2026.03.19</x:v>
      </x:c>
      <x:c r="D93" s="6" t="n">
        <x:v>44</x:v>
      </x:c>
      <x:c r="E93" s="6" t="n">
        <x:v>36.72</x:v>
      </x:c>
      <x:c r="F93" s="6" t="n">
        <x:v>11983</x:v>
      </x:c>
      <x:c r="G93" s="6" t="n">
        <x:v>45</x:v>
      </x:c>
      <x:c r="H93" s="8" t="n">
        <x:v>0.0222</x:v>
      </x:c>
      <x:c r="I93" s="6" t="str">
        <x:v>106125592334</x:v>
      </x:c>
      <x:c r="J93" s="6" t="str">
        <x:v>https://cd.lianjia.com/chengjiao/106125592334.html</x:v>
      </x:c>
    </x:row>
    <x:row r="94" ht="22" customHeight="1">
      <x:c r="A94" s="6" t="str">
        <x:v>盐市口</x:v>
      </x:c>
      <x:c r="B94" s="6" t="str">
        <x:v>都市驿站</x:v>
      </x:c>
      <x:c r="C94" s="6" t="str">
        <x:v>2026.03.18</x:v>
      </x:c>
      <x:c r="D94" s="6" t="n">
        <x:v>90</x:v>
      </x:c>
      <x:c r="E94" s="6" t="n">
        <x:v>44.21</x:v>
      </x:c>
      <x:c r="F94" s="6" t="n">
        <x:v>20358</x:v>
      </x:c>
      <x:c r="G94" s="6" t="n">
        <x:v>97</x:v>
      </x:c>
      <x:c r="H94" s="8" t="n">
        <x:v>0.0722</x:v>
      </x:c>
      <x:c r="I94" s="6" t="str">
        <x:v>106124809170</x:v>
      </x:c>
      <x:c r="J94" s="6" t="str">
        <x:v>https://cd.lianjia.com/chengjiao/106124809170.html</x:v>
      </x:c>
    </x:row>
    <x:row r="95" ht="22" customHeight="1">
      <x:c r="A95" s="6" t="str">
        <x:v>盐市口</x:v>
      </x:c>
      <x:c r="B95" s="6" t="str">
        <x:v>城市理想</x:v>
      </x:c>
      <x:c r="C95" s="6" t="str">
        <x:v>2026.03.15</x:v>
      </x:c>
      <x:c r="D95" s="6" t="n">
        <x:v>95.6</x:v>
      </x:c>
      <x:c r="E95" s="6" t="n">
        <x:v>38.08</x:v>
      </x:c>
      <x:c r="F95" s="6" t="n">
        <x:v>25106</x:v>
      </x:c>
      <x:c r="G95" s="6" t="n">
        <x:v>103</x:v>
      </x:c>
      <x:c r="H95" s="8" t="n">
        <x:v>0.0718</x:v>
      </x:c>
      <x:c r="I95" s="6" t="str">
        <x:v>106126016335</x:v>
      </x:c>
      <x:c r="J95" s="6" t="str">
        <x:v>https://cd.lianjia.com/chengjiao/106126016335.html</x:v>
      </x:c>
    </x:row>
    <x:row r="96" ht="22" customHeight="1">
      <x:c r="A96" s="6" t="str">
        <x:v>盐市口</x:v>
      </x:c>
      <x:c r="B96" s="6" t="str">
        <x:v>财富中心</x:v>
      </x:c>
      <x:c r="C96" s="6" t="str">
        <x:v>2026.03.13</x:v>
      </x:c>
      <x:c r="D96" s="6" t="n">
        <x:v>91.5</x:v>
      </x:c>
      <x:c r="E96" s="6" t="n">
        <x:v>58.27</x:v>
      </x:c>
      <x:c r="F96" s="6" t="n">
        <x:v>15703</x:v>
      </x:c>
      <x:c r="G96" s="6" t="n">
        <x:v>108</x:v>
      </x:c>
      <x:c r="H96" s="8" t="n">
        <x:v>0.1528</x:v>
      </x:c>
      <x:c r="I96" s="6" t="str">
        <x:v>106124786359</x:v>
      </x:c>
      <x:c r="J96" s="6" t="str">
        <x:v>https://cd.lianjia.com/chengjiao/106124786359.html</x:v>
      </x:c>
    </x:row>
    <x:row r="97" ht="22" customHeight="1">
      <x:c r="A97" s="6" t="str">
        <x:v>华西</x:v>
      </x:c>
      <x:c r="B97" s="6" t="str">
        <x:v>傲仕门</x:v>
      </x:c>
      <x:c r="C97" s="6" t="str">
        <x:v>2026.03.08</x:v>
      </x:c>
      <x:c r="D97" s="6" t="n">
        <x:v>84.8</x:v>
      </x:c>
      <x:c r="E97" s="6" t="n">
        <x:v>57.05</x:v>
      </x:c>
      <x:c r="F97" s="6" t="n">
        <x:v>14865</x:v>
      </x:c>
      <x:c r="G97" s="6" t="n">
        <x:v>90</x:v>
      </x:c>
      <x:c r="H97" s="8" t="n">
        <x:v>0.057800000000000004</x:v>
      </x:c>
      <x:c r="I97" s="6" t="str">
        <x:v>106125207109</x:v>
      </x:c>
      <x:c r="J97" s="6" t="str">
        <x:v>https://cd.lianjia.com/chengjiao/106125207109.html</x:v>
      </x:c>
    </x:row>
    <x:row r="98" ht="22" customHeight="1">
      <x:c r="A98" s="6" t="str">
        <x:v>盐市口</x:v>
      </x:c>
      <x:c r="B98" s="6" t="str">
        <x:v>财富中心</x:v>
      </x:c>
      <x:c r="C98" s="6" t="str">
        <x:v>2026.03.08</x:v>
      </x:c>
      <x:c r="D98" s="6" t="n">
        <x:v>114.6</x:v>
      </x:c>
      <x:c r="E98" s="6" t="n">
        <x:v>47.53</x:v>
      </x:c>
      <x:c r="F98" s="6" t="n">
        <x:v>24112</x:v>
      </x:c>
      <x:c r="G98" s="6" t="n">
        <x:v>120</x:v>
      </x:c>
      <x:c r="H98" s="8" t="n">
        <x:v>0.045</x:v>
      </x:c>
      <x:c r="I98" s="6" t="str">
        <x:v>106126360183</x:v>
      </x:c>
      <x:c r="J98" s="6" t="str">
        <x:v>https://cd.lianjia.com/chengjiao/106126360183.html</x:v>
      </x:c>
    </x:row>
    <x:row r="99" ht="22" customHeight="1">
      <x:c r="A99" s="6" t="str">
        <x:v>盐市口</x:v>
      </x:c>
      <x:c r="B99" s="6" t="str">
        <x:v>财富中心</x:v>
      </x:c>
      <x:c r="C99" s="6" t="str">
        <x:v>2026.03.07</x:v>
      </x:c>
      <x:c r="D99" s="6" t="n">
        <x:v>93</x:v>
      </x:c>
      <x:c r="E99" s="6" t="n">
        <x:v>52</x:v>
      </x:c>
      <x:c r="F99" s="6" t="n">
        <x:v>17885</x:v>
      </x:c>
      <x:c r="G99" s="6" t="n">
        <x:v>99</x:v>
      </x:c>
      <x:c r="H99" s="8" t="n">
        <x:v>0.060599999999999994</x:v>
      </x:c>
      <x:c r="I99" s="6" t="str">
        <x:v>106125877871</x:v>
      </x:c>
      <x:c r="J99" s="6" t="str">
        <x:v>https://cd.lianjia.com/chengjiao/106125877871.html</x:v>
      </x:c>
    </x:row>
    <x:row r="100" ht="22" customHeight="1">
      <x:c r="A100" s="6" t="str">
        <x:v>盐市口</x:v>
      </x:c>
      <x:c r="B100" s="6" t="str">
        <x:v>财富中心</x:v>
      </x:c>
      <x:c r="C100" s="6" t="str">
        <x:v>2026.03.07</x:v>
      </x:c>
      <x:c r="D100" s="6" t="n">
        <x:v>112.9</x:v>
      </x:c>
      <x:c r="E100" s="6" t="n">
        <x:v>50.12</x:v>
      </x:c>
      <x:c r="F100" s="6" t="n">
        <x:v>22522</x:v>
      </x:c>
      <x:c r="G100" s="6" t="n">
        <x:v>119.8</x:v>
      </x:c>
      <x:c r="H100" s="8" t="n">
        <x:v>0.0576</x:v>
      </x:c>
      <x:c r="I100" s="6" t="str">
        <x:v>106121641530</x:v>
      </x:c>
      <x:c r="J100" s="6" t="str">
        <x:v>https://cd.lianjia.com/chengjiao/106121641530.html</x:v>
      </x:c>
    </x:row>
    <x:row r="101" ht="22" customHeight="1">
      <x:c r="A101" s="6" t="str">
        <x:v>盐市口</x:v>
      </x:c>
      <x:c r="B101" s="6" t="str">
        <x:v>财富中心</x:v>
      </x:c>
      <x:c r="C101" s="6" t="str">
        <x:v>2026.03.07</x:v>
      </x:c>
      <x:c r="D101" s="6" t="n">
        <x:v>110.8</x:v>
      </x:c>
      <x:c r="E101" s="6" t="n">
        <x:v>48.86</x:v>
      </x:c>
      <x:c r="F101" s="6" t="n">
        <x:v>22678</x:v>
      </x:c>
      <x:c r="G101" s="6" t="n">
        <x:v>110.8</x:v>
      </x:c>
      <x:c r="H101" s="8" t="n">
        <x:v>0</x:v>
      </x:c>
      <x:c r="I101" s="6" t="str">
        <x:v>106115573446</x:v>
      </x:c>
      <x:c r="J101" s="6" t="str">
        <x:v>https://cd.lianjia.com/chengjiao/106115573446.html</x:v>
      </x:c>
    </x:row>
    <x:row r="102" ht="22" customHeight="1">
      <x:c r="A102" s="6" t="str">
        <x:v>盐市口</x:v>
      </x:c>
      <x:c r="B102" s="6" t="str">
        <x:v>财富中心</x:v>
      </x:c>
      <x:c r="C102" s="6" t="str">
        <x:v>2026.03.07</x:v>
      </x:c>
      <x:c r="D102" s="6" t="n">
        <x:v>90</x:v>
      </x:c>
      <x:c r="E102" s="6" t="n">
        <x:v>34.12</x:v>
      </x:c>
      <x:c r="F102" s="6" t="n">
        <x:v>26378</x:v>
      </x:c>
      <x:c r="G102" s="6" t="n">
        <x:v>99</x:v>
      </x:c>
      <x:c r="H102" s="8" t="n">
        <x:v>0.0909</x:v>
      </x:c>
      <x:c r="I102" s="6" t="str">
        <x:v>106124731883</x:v>
      </x:c>
      <x:c r="J102" s="6" t="str">
        <x:v>https://cd.lianjia.com/chengjiao/106124731883.html</x:v>
      </x:c>
    </x:row>
    <x:row r="103" ht="22" customHeight="1">
      <x:c r="A103" s="6" t="str">
        <x:v>盐市口</x:v>
      </x:c>
      <x:c r="B103" s="6" t="str">
        <x:v>都市驿站</x:v>
      </x:c>
      <x:c r="C103" s="6" t="str">
        <x:v>2026.03.03</x:v>
      </x:c>
      <x:c r="D103" s="6" t="n">
        <x:v>90</x:v>
      </x:c>
      <x:c r="E103" s="6" t="n">
        <x:v>41.96</x:v>
      </x:c>
      <x:c r="F103" s="6" t="n">
        <x:v>21449</x:v>
      </x:c>
      <x:c r="G103" s="6" t="n">
        <x:v>98</x:v>
      </x:c>
      <x:c r="H103" s="8" t="n">
        <x:v>0.0816</x:v>
      </x:c>
      <x:c r="I103" s="6" t="str">
        <x:v>106123714940</x:v>
      </x:c>
      <x:c r="J103" s="6" t="str">
        <x:v>https://cd.lianjia.com/chengjiao/106123714940.html</x:v>
      </x:c>
    </x:row>
    <x:row r="104" ht="22" customHeight="1">
      <x:c r="A104" s="6" t="str">
        <x:v>棕北</x:v>
      </x:c>
      <x:c r="B104" s="6" t="str">
        <x:v>花样年华梦想家</x:v>
      </x:c>
      <x:c r="C104" s="6" t="str">
        <x:v>2026.03.02</x:v>
      </x:c>
      <x:c r="D104" s="6" t="n">
        <x:v>52.6</x:v>
      </x:c>
      <x:c r="E104" s="6" t="n">
        <x:v>55.6</x:v>
      </x:c>
      <x:c r="F104" s="6" t="n">
        <x:v>9461</x:v>
      </x:c>
      <x:c r="G104" s="6" t="n">
        <x:v>56</x:v>
      </x:c>
      <x:c r="H104" s="8" t="n">
        <x:v>0.060700000000000004</x:v>
      </x:c>
      <x:c r="I104" s="6" t="str">
        <x:v>106124449441</x:v>
      </x:c>
      <x:c r="J104" s="6" t="str">
        <x:v>https://cd.lianjia.com/chengjiao/106124449441.html</x:v>
      </x:c>
    </x:row>
    <x:row r="105" ht="22" customHeight="1">
      <x:c r="A105" s="6" t="str">
        <x:v>合江亭</x:v>
      </x:c>
      <x:c r="B105" s="6" t="str">
        <x:v>蓝光郁金香花园广场</x:v>
      </x:c>
      <x:c r="C105" s="6" t="str">
        <x:v>2026.03.02</x:v>
      </x:c>
      <x:c r="D105" s="6" t="n">
        <x:v>96</x:v>
      </x:c>
      <x:c r="E105" s="6" t="n">
        <x:v>38.79</x:v>
      </x:c>
      <x:c r="F105" s="6" t="n">
        <x:v>24749</x:v>
      </x:c>
      <x:c r="G105" s="6" t="n">
        <x:v>99</x:v>
      </x:c>
      <x:c r="H105" s="8" t="n">
        <x:v>0.030299999999999997</x:v>
      </x:c>
      <x:c r="I105" s="6" t="str">
        <x:v>106125729332</x:v>
      </x:c>
      <x:c r="J105" s="6" t="str">
        <x:v>https://cd.lianjia.com/chengjiao/106125729332.html</x:v>
      </x:c>
    </x:row>
    <x:row r="106" ht="22" customHeight="1">
      <x:c r="A106" s="6" t="str">
        <x:v>川音</x:v>
      </x:c>
      <x:c r="B106" s="6" t="str">
        <x:v>凯悦新城</x:v>
      </x:c>
      <x:c r="C106" s="6" t="str">
        <x:v>2026.02.28</x:v>
      </x:c>
      <x:c r="D106" s="6" t="n">
        <x:v>66.5</x:v>
      </x:c>
      <x:c r="E106" s="6" t="n">
        <x:v>52.11</x:v>
      </x:c>
      <x:c r="F106" s="6" t="n">
        <x:v>12762</x:v>
      </x:c>
      <x:c r="G106" s="6" t="n">
        <x:v>69</x:v>
      </x:c>
      <x:c r="H106" s="8" t="n">
        <x:v>0.0362</x:v>
      </x:c>
      <x:c r="I106" s="6" t="str">
        <x:v>106125451357</x:v>
      </x:c>
      <x:c r="J106" s="6" t="str">
        <x:v>https://cd.lianjia.com/chengjiao/106125451357.html</x:v>
      </x:c>
    </x:row>
    <x:row r="107" ht="22" customHeight="1">
      <x:c r="A107" s="6" t="str">
        <x:v>合江亭</x:v>
      </x:c>
      <x:c r="B107" s="6" t="str">
        <x:v>蓉上坊一期</x:v>
      </x:c>
      <x:c r="C107" s="6" t="str">
        <x:v>2026.02.22</x:v>
      </x:c>
      <x:c r="D107" s="6" t="n">
        <x:v>81</x:v>
      </x:c>
      <x:c r="E107" s="6" t="n">
        <x:v>50.44</x:v>
      </x:c>
      <x:c r="F107" s="6" t="n">
        <x:v>16059</x:v>
      </x:c>
      <x:c r="G107" s="6" t="n">
        <x:v>85</x:v>
      </x:c>
      <x:c r="H107" s="8" t="n">
        <x:v>0.0471</x:v>
      </x:c>
      <x:c r="I107" s="6" t="str">
        <x:v>106125542442</x:v>
      </x:c>
      <x:c r="J107" s="6" t="str">
        <x:v>https://cd.lianjia.com/chengjiao/106125542442.html</x:v>
      </x:c>
    </x:row>
    <x:row r="108" ht="22" customHeight="1">
      <x:c r="A108" s="6" t="str">
        <x:v>盐市口</x:v>
      </x:c>
      <x:c r="B108" s="6" t="str">
        <x:v>财富中心</x:v>
      </x:c>
      <x:c r="C108" s="6" t="str">
        <x:v>2026.02.14</x:v>
      </x:c>
      <x:c r="D108" s="6" t="n">
        <x:v>110</x:v>
      </x:c>
      <x:c r="E108" s="6" t="n">
        <x:v>49.24</x:v>
      </x:c>
      <x:c r="F108" s="6" t="n">
        <x:v>22340</x:v>
      </x:c>
      <x:c r="G108" s="6" t="n">
        <x:v>113</x:v>
      </x:c>
      <x:c r="H108" s="8" t="n">
        <x:v>0.0265</x:v>
      </x:c>
      <x:c r="I108" s="6" t="str">
        <x:v>106125548009</x:v>
      </x:c>
      <x:c r="J108" s="6" t="str">
        <x:v>https://cd.lianjia.com/chengjiao/106125548009.html</x:v>
      </x:c>
    </x:row>
    <x:row r="109" ht="22" customHeight="1">
      <x:c r="A109" s="6" t="str">
        <x:v>盐市口</x:v>
      </x:c>
      <x:c r="B109" s="6" t="str">
        <x:v>城市理想</x:v>
      </x:c>
      <x:c r="C109" s="6" t="str">
        <x:v>2026.02.12</x:v>
      </x:c>
      <x:c r="D109" s="6" t="n">
        <x:v>104.6</x:v>
      </x:c>
      <x:c r="E109" s="6" t="n">
        <x:v>50.43</x:v>
      </x:c>
      <x:c r="F109" s="6" t="n">
        <x:v>20742</x:v>
      </x:c>
      <x:c r="G109" s="6" t="n">
        <x:v>111</x:v>
      </x:c>
      <x:c r="H109" s="8" t="n">
        <x:v>0.057699999999999994</x:v>
      </x:c>
      <x:c r="I109" s="6" t="str">
        <x:v>106122011930</x:v>
      </x:c>
      <x:c r="J109" s="6" t="str">
        <x:v>https://cd.lianjia.com/chengjiao/106122011930.html</x:v>
      </x:c>
    </x:row>
    <x:row r="110" ht="22" customHeight="1">
      <x:c r="A110" s="6" t="str">
        <x:v>盐市口</x:v>
      </x:c>
      <x:c r="B110" s="6" t="str">
        <x:v>财富中心</x:v>
      </x:c>
      <x:c r="C110" s="6" t="str">
        <x:v>2026.02.12</x:v>
      </x:c>
      <x:c r="D110" s="6" t="n">
        <x:v>97.6</x:v>
      </x:c>
      <x:c r="E110" s="6" t="n">
        <x:v>33.34</x:v>
      </x:c>
      <x:c r="F110" s="6" t="n">
        <x:v>29275</x:v>
      </x:c>
      <x:c r="G110" s="6" t="n">
        <x:v>105</x:v>
      </x:c>
      <x:c r="H110" s="8" t="n">
        <x:v>0.0705</x:v>
      </x:c>
      <x:c r="I110" s="6" t="str">
        <x:v>106124492894</x:v>
      </x:c>
      <x:c r="J110" s="6" t="str">
        <x:v>https://cd.lianjia.com/chengjiao/106124492894.html</x:v>
      </x:c>
    </x:row>
    <x:row r="111" ht="22" customHeight="1">
      <x:c r="A111" s="6" t="str">
        <x:v>盐市口</x:v>
      </x:c>
      <x:c r="B111" s="6" t="str">
        <x:v>正成财富ID</x:v>
      </x:c>
      <x:c r="C111" s="6" t="str">
        <x:v>2026.02.09</x:v>
      </x:c>
      <x:c r="D111" s="6" t="n">
        <x:v>68</x:v>
      </x:c>
      <x:c r="E111" s="6" t="n">
        <x:v>47.87</x:v>
      </x:c>
      <x:c r="F111" s="6" t="n">
        <x:v>14206</x:v>
      </x:c>
      <x:c r="G111" s="6" t="n">
        <x:v>70</x:v>
      </x:c>
      <x:c r="H111" s="8" t="n">
        <x:v>0.0286</x:v>
      </x:c>
      <x:c r="I111" s="6" t="str">
        <x:v>106124369258</x:v>
      </x:c>
      <x:c r="J111" s="6" t="str">
        <x:v>https://cd.lianjia.com/chengjiao/106124369258.html</x:v>
      </x:c>
    </x:row>
    <x:row r="112" ht="22" customHeight="1">
      <x:c r="A112" s="6" t="str">
        <x:v>棕北</x:v>
      </x:c>
      <x:c r="B112" s="6" t="str">
        <x:v>花样年华梦想家</x:v>
      </x:c>
      <x:c r="C112" s="6" t="str">
        <x:v>2026.02.07</x:v>
      </x:c>
      <x:c r="D112" s="6" t="n">
        <x:v>44.5</x:v>
      </x:c>
      <x:c r="E112" s="6" t="n">
        <x:v>42.71</x:v>
      </x:c>
      <x:c r="F112" s="6" t="n">
        <x:v>10420</x:v>
      </x:c>
      <x:c r="G112" s="6" t="n">
        <x:v>46</x:v>
      </x:c>
      <x:c r="H112" s="8" t="n">
        <x:v>0.0326</x:v>
      </x:c>
      <x:c r="I112" s="6" t="str">
        <x:v>106125084573</x:v>
      </x:c>
      <x:c r="J112" s="6" t="str">
        <x:v>https://cd.lianjia.com/chengjiao/106125084573.html</x:v>
      </x:c>
    </x:row>
    <x:row r="113" ht="22" customHeight="1">
      <x:c r="A113" s="6" t="str">
        <x:v>合江亭</x:v>
      </x:c>
      <x:c r="B113" s="6" t="str">
        <x:v>喜年广场</x:v>
      </x:c>
      <x:c r="C113" s="6" t="str">
        <x:v>2026.02.01</x:v>
      </x:c>
      <x:c r="D113" s="6" t="n">
        <x:v>109</x:v>
      </x:c>
      <x:c r="E113" s="6" t="n">
        <x:v>46.89</x:v>
      </x:c>
      <x:c r="F113" s="6" t="n">
        <x:v>23246</x:v>
      </x:c>
      <x:c r="G113" s="6" t="n">
        <x:v>116</x:v>
      </x:c>
      <x:c r="H113" s="8" t="n">
        <x:v>0.0603</x:v>
      </x:c>
      <x:c r="I113" s="6" t="str">
        <x:v>106125494438</x:v>
      </x:c>
      <x:c r="J113" s="6" t="str">
        <x:v>https://cd.lianjia.com/chengjiao/106125494438.html</x:v>
      </x:c>
    </x:row>
    <x:row r="114" ht="22" customHeight="1">
      <x:c r="A114" s="6" t="str">
        <x:v>盐市口</x:v>
      </x:c>
      <x:c r="B114" s="6" t="str">
        <x:v>财富中心</x:v>
      </x:c>
      <x:c r="C114" s="6" t="str">
        <x:v>2026.01.23</x:v>
      </x:c>
      <x:c r="D114" s="6" t="n">
        <x:v>112.2</x:v>
      </x:c>
      <x:c r="E114" s="6" t="n">
        <x:v>47.92</x:v>
      </x:c>
      <x:c r="F114" s="6" t="n">
        <x:v>23415</x:v>
      </x:c>
      <x:c r="G114" s="6" t="n">
        <x:v>126</x:v>
      </x:c>
      <x:c r="H114" s="8" t="n">
        <x:v>0.10949999999999999</x:v>
      </x:c>
      <x:c r="I114" s="6" t="str">
        <x:v>106125456543</x:v>
      </x:c>
      <x:c r="J114" s="6" t="str">
        <x:v>https://cd.lianjia.com/chengjiao/106125456543.html</x:v>
      </x:c>
    </x:row>
    <x:row r="115" ht="22" customHeight="1">
      <x:c r="A115" s="6" t="str">
        <x:v>盐市口</x:v>
      </x:c>
      <x:c r="B115" s="6" t="str">
        <x:v>财富中心</x:v>
      </x:c>
      <x:c r="C115" s="6" t="str">
        <x:v>2026.01.23</x:v>
      </x:c>
      <x:c r="D115" s="6" t="n">
        <x:v>111.5</x:v>
      </x:c>
      <x:c r="E115" s="6" t="n">
        <x:v>50.02</x:v>
      </x:c>
      <x:c r="F115" s="6" t="n">
        <x:v>22292</x:v>
      </x:c>
      <x:c r="G115" s="6" t="n">
        <x:v>116</x:v>
      </x:c>
      <x:c r="H115" s="8" t="n">
        <x:v>0.0388</x:v>
      </x:c>
      <x:c r="I115" s="6" t="str">
        <x:v>106119247116</x:v>
      </x:c>
      <x:c r="J115" s="6" t="str">
        <x:v>https://cd.lianjia.com/chengjiao/106119247116.html</x:v>
      </x:c>
    </x:row>
    <x:row r="116" ht="22" customHeight="1">
      <x:c r="A116" s="6" t="str">
        <x:v>合江亭</x:v>
      </x:c>
      <x:c r="B116" s="6" t="str">
        <x:v>喜年广场</x:v>
      </x:c>
      <x:c r="C116" s="6" t="str">
        <x:v>2026.01.23</x:v>
      </x:c>
      <x:c r="D116" s="6" t="n">
        <x:v>106.9</x:v>
      </x:c>
      <x:c r="E116" s="6" t="n">
        <x:v>47.48</x:v>
      </x:c>
      <x:c r="F116" s="6" t="n">
        <x:v>22511</x:v>
      </x:c>
      <x:c r="G116" s="6" t="n">
        <x:v>112</x:v>
      </x:c>
      <x:c r="H116" s="8" t="n">
        <x:v>0.0455</x:v>
      </x:c>
      <x:c r="I116" s="6" t="str">
        <x:v>106124332046</x:v>
      </x:c>
      <x:c r="J116" s="6" t="str">
        <x:v>https://cd.lianjia.com/chengjiao/106124332046.html</x:v>
      </x:c>
    </x:row>
    <x:row r="117" ht="22" customHeight="1">
      <x:c r="A117" s="6" t="str">
        <x:v>川音</x:v>
      </x:c>
      <x:c r="B117" s="6" t="str">
        <x:v>凯悦新城</x:v>
      </x:c>
      <x:c r="C117" s="6" t="str">
        <x:v>2026.01.19</x:v>
      </x:c>
      <x:c r="D117" s="6" t="n">
        <x:v>64.5</x:v>
      </x:c>
      <x:c r="E117" s="6" t="n">
        <x:v>53.21</x:v>
      </x:c>
      <x:c r="F117" s="6" t="n">
        <x:v>12122</x:v>
      </x:c>
      <x:c r="G117" s="6" t="n">
        <x:v>65.6</x:v>
      </x:c>
      <x:c r="H117" s="8" t="n">
        <x:v>0.0168</x:v>
      </x:c>
      <x:c r="I117" s="6" t="str">
        <x:v>106125406010</x:v>
      </x:c>
      <x:c r="J117" s="6" t="str">
        <x:v>https://cd.lianjia.com/chengjiao/106125406010.html</x:v>
      </x:c>
    </x:row>
    <x:row r="118" ht="22" customHeight="1">
      <x:c r="A118" s="6" t="str">
        <x:v>川大</x:v>
      </x:c>
      <x:c r="B118" s="6" t="str">
        <x:v>樱花假日</x:v>
      </x:c>
      <x:c r="C118" s="6" t="str">
        <x:v>2026.01.17</x:v>
      </x:c>
      <x:c r="D118" s="6" t="n">
        <x:v>40.5</x:v>
      </x:c>
      <x:c r="E118" s="6" t="n">
        <x:v>26.49</x:v>
      </x:c>
      <x:c r="F118" s="6" t="n">
        <x:v>15289</x:v>
      </x:c>
      <x:c r="G118" s="6" t="n">
        <x:v>43</x:v>
      </x:c>
      <x:c r="H118" s="8" t="n">
        <x:v>0.0581</x:v>
      </x:c>
      <x:c r="I118" s="6" t="str">
        <x:v>106125833490</x:v>
      </x:c>
      <x:c r="J118" s="6" t="str">
        <x:v>https://cd.lianjia.com/chengjiao/106125833490.html</x:v>
      </x:c>
    </x:row>
    <x:row r="119" ht="22" customHeight="1">
      <x:c r="A119" s="6" t="str">
        <x:v>盐市口</x:v>
      </x:c>
      <x:c r="B119" s="6" t="str">
        <x:v>财富中心</x:v>
      </x:c>
      <x:c r="C119" s="6" t="str">
        <x:v>2026.01.16</x:v>
      </x:c>
      <x:c r="D119" s="6" t="n">
        <x:v>112</x:v>
      </x:c>
      <x:c r="E119" s="6" t="n">
        <x:v>47.53</x:v>
      </x:c>
      <x:c r="F119" s="6" t="n">
        <x:v>23565</x:v>
      </x:c>
      <x:c r="G119" s="6" t="n">
        <x:v>118.8</x:v>
      </x:c>
      <x:c r="H119" s="8" t="n">
        <x:v>0.0572</x:v>
      </x:c>
      <x:c r="I119" s="6" t="str">
        <x:v>106116199732</x:v>
      </x:c>
      <x:c r="J119" s="6" t="str">
        <x:v>https://cd.lianjia.com/chengjiao/106116199732.html</x:v>
      </x:c>
    </x:row>
    <x:row r="120" ht="22" customHeight="1">
      <x:c r="A120" s="6" t="str">
        <x:v>棕北</x:v>
      </x:c>
      <x:c r="B120" s="6" t="str">
        <x:v>花样年华梦想家</x:v>
      </x:c>
      <x:c r="C120" s="6" t="str">
        <x:v>2026.01.13</x:v>
      </x:c>
      <x:c r="D120" s="6" t="n">
        <x:v>43.5</x:v>
      </x:c>
      <x:c r="E120" s="6" t="n">
        <x:v>42.71</x:v>
      </x:c>
      <x:c r="F120" s="6" t="n">
        <x:v>10185</x:v>
      </x:c>
      <x:c r="G120" s="6" t="n">
        <x:v>45</x:v>
      </x:c>
      <x:c r="H120" s="8" t="n">
        <x:v>0.0333</x:v>
      </x:c>
      <x:c r="I120" s="6" t="str">
        <x:v>106125781465</x:v>
      </x:c>
      <x:c r="J120" s="6" t="str">
        <x:v>https://cd.lianjia.com/chengjiao/106125781465.html</x:v>
      </x:c>
    </x:row>
    <x:row r="121" ht="22" customHeight="1">
      <x:c r="A121" s="6" t="str">
        <x:v>川大</x:v>
      </x:c>
      <x:c r="B121" s="6" t="str">
        <x:v>好望角</x:v>
      </x:c>
      <x:c r="C121" s="6" t="str">
        <x:v>2026.01.11</x:v>
      </x:c>
      <x:c r="D121" s="6" t="n">
        <x:v>38.5</x:v>
      </x:c>
      <x:c r="E121" s="6" t="n">
        <x:v>32.68</x:v>
      </x:c>
      <x:c r="F121" s="6" t="n">
        <x:v>11766</x:v>
      </x:c>
      <x:c r="G121" s="6" t="n">
        <x:v>38.8</x:v>
      </x:c>
      <x:c r="H121" s="8" t="n">
        <x:v>0.0077</x:v>
      </x:c>
      <x:c r="I121" s="6" t="str">
        <x:v>106123186008</x:v>
      </x:c>
      <x:c r="J121" s="6" t="str">
        <x:v>https://cd.lianjia.com/chengjiao/106123186008.html</x:v>
      </x:c>
    </x:row>
    <x:row r="122" ht="22" customHeight="1">
      <x:c r="A122" s="6" t="str">
        <x:v>棕北</x:v>
      </x:c>
      <x:c r="B122" s="6" t="str">
        <x:v>新棕北</x:v>
      </x:c>
      <x:c r="C122" s="6" t="str">
        <x:v>2026.01.08</x:v>
      </x:c>
      <x:c r="D122" s="6" t="n">
        <x:v>53</x:v>
      </x:c>
      <x:c r="E122" s="6" t="n">
        <x:v>57.34</x:v>
      </x:c>
      <x:c r="F122" s="6" t="n">
        <x:v>9244</x:v>
      </x:c>
      <x:c r="G122" s="6" t="n">
        <x:v>55</x:v>
      </x:c>
      <x:c r="H122" s="8" t="n">
        <x:v>0.0364</x:v>
      </x:c>
      <x:c r="I122" s="6" t="str">
        <x:v>106121217507</x:v>
      </x:c>
      <x:c r="J122" s="6" t="str">
        <x:v>https://cd.lianjia.com/chengjiao/106121217507.html</x:v>
      </x:c>
    </x:row>
    <x:row r="123" ht="22" customHeight="1">
      <x:c r="A123" s="6" t="str">
        <x:v>盐市口</x:v>
      </x:c>
      <x:c r="B123" s="6" t="str">
        <x:v>大发百度城</x:v>
      </x:c>
      <x:c r="C123" s="6" t="str">
        <x:v>2026.01.08</x:v>
      </x:c>
      <x:c r="D123" s="6" t="n">
        <x:v>45</x:v>
      </x:c>
      <x:c r="E123" s="6" t="n">
        <x:v>40.47</x:v>
      </x:c>
      <x:c r="F123" s="6" t="n">
        <x:v>11120</x:v>
      </x:c>
      <x:c r="G123" s="6" t="n">
        <x:v>47</x:v>
      </x:c>
      <x:c r="H123" s="8" t="n">
        <x:v>0.0426</x:v>
      </x:c>
      <x:c r="I123" s="6" t="str">
        <x:v>106124128387</x:v>
      </x:c>
      <x:c r="J123" s="6" t="str">
        <x:v>https://cd.lianjia.com/chengjiao/106124128387.html</x:v>
      </x:c>
    </x:row>
    <x:row r="124" ht="22" customHeight="1">
      <x:c r="A124" s="6" t="str">
        <x:v>合江亭</x:v>
      </x:c>
      <x:c r="B124" s="6" t="str">
        <x:v>喜年广场</x:v>
      </x:c>
      <x:c r="C124" s="6" t="str">
        <x:v>2025.12.31</x:v>
      </x:c>
      <x:c r="D124" s="6" t="n">
        <x:v>109</x:v>
      </x:c>
      <x:c r="E124" s="6" t="n">
        <x:v>46.89</x:v>
      </x:c>
      <x:c r="F124" s="6" t="n">
        <x:v>23246</x:v>
      </x:c>
      <x:c r="G124" s="6" t="n">
        <x:v>115</x:v>
      </x:c>
      <x:c r="H124" s="8" t="n">
        <x:v>0.052199999999999996</x:v>
      </x:c>
      <x:c r="I124" s="6" t="str">
        <x:v>106125811758</x:v>
      </x:c>
      <x:c r="J124" s="6" t="str">
        <x:v>https://cd.lianjia.com/chengjiao/106125811758.html</x:v>
      </x:c>
    </x:row>
    <x:row r="125" ht="22" customHeight="1">
      <x:c r="A125" s="6" t="str">
        <x:v>川大</x:v>
      </x:c>
      <x:c r="B125" s="6" t="str">
        <x:v>樱花假日</x:v>
      </x:c>
      <x:c r="C125" s="6" t="str">
        <x:v>2025.12.30</x:v>
      </x:c>
      <x:c r="D125" s="6" t="n">
        <x:v>87</x:v>
      </x:c>
      <x:c r="E125" s="6" t="n">
        <x:v>67.2</x:v>
      </x:c>
      <x:c r="F125" s="6" t="n">
        <x:v>12947</x:v>
      </x:c>
      <x:c r="G125" s="6" t="n">
        <x:v>95</x:v>
      </x:c>
      <x:c r="H125" s="8" t="n">
        <x:v>0.0842</x:v>
      </x:c>
      <x:c r="I125" s="6" t="str">
        <x:v>106123738026</x:v>
      </x:c>
      <x:c r="J125" s="6" t="str">
        <x:v>https://cd.lianjia.com/chengjiao/106123738026.html</x:v>
      </x:c>
    </x:row>
    <x:row r="126" ht="22" customHeight="1">
      <x:c r="A126" s="6" t="str">
        <x:v>川大</x:v>
      </x:c>
      <x:c r="B126" s="6" t="str">
        <x:v>樱花假日</x:v>
      </x:c>
      <x:c r="C126" s="6" t="str">
        <x:v>2025.12.29</x:v>
      </x:c>
      <x:c r="D126" s="6" t="n">
        <x:v>40</x:v>
      </x:c>
      <x:c r="E126" s="6" t="n">
        <x:v>26.49</x:v>
      </x:c>
      <x:c r="F126" s="6" t="n">
        <x:v>15101</x:v>
      </x:c>
      <x:c r="G126" s="6" t="n">
        <x:v>43</x:v>
      </x:c>
      <x:c r="H126" s="8" t="n">
        <x:v>0.0698</x:v>
      </x:c>
      <x:c r="I126" s="6" t="str">
        <x:v>106125112094</x:v>
      </x:c>
      <x:c r="J126" s="6" t="str">
        <x:v>https://cd.lianjia.com/chengjiao/106125112094.html</x:v>
      </x:c>
    </x:row>
    <x:row r="127" ht="22" customHeight="1">
      <x:c r="A127" s="6" t="str">
        <x:v>盐市口</x:v>
      </x:c>
      <x:c r="B127" s="6" t="str">
        <x:v>大发百度城</x:v>
      </x:c>
      <x:c r="C127" s="6" t="str">
        <x:v>2025.12.28</x:v>
      </x:c>
      <x:c r="D127" s="6" t="n">
        <x:v>40</x:v>
      </x:c>
      <x:c r="E127" s="6" t="n">
        <x:v>41.24</x:v>
      </x:c>
      <x:c r="F127" s="6" t="n">
        <x:v>9700</x:v>
      </x:c>
      <x:c r="G127" s="6" t="n">
        <x:v>43.6</x:v>
      </x:c>
      <x:c r="H127" s="8" t="n">
        <x:v>0.08259999999999999</x:v>
      </x:c>
      <x:c r="I127" s="6" t="str">
        <x:v>106125801723</x:v>
      </x:c>
      <x:c r="J127" s="6" t="str">
        <x:v>https://cd.lianjia.com/chengjiao/106125801723.html</x:v>
      </x:c>
    </x:row>
    <x:row r="128" ht="22" customHeight="1">
      <x:c r="A128" s="6" t="str">
        <x:v>盐市口</x:v>
      </x:c>
      <x:c r="B128" s="6" t="str">
        <x:v>新和春禧时代</x:v>
      </x:c>
      <x:c r="C128" s="6" t="str">
        <x:v>2025.12.27</x:v>
      </x:c>
      <x:c r="D128" s="6" t="n">
        <x:v>104</x:v>
      </x:c>
      <x:c r="E128" s="6" t="n">
        <x:v>49.94</x:v>
      </x:c>
      <x:c r="F128" s="6" t="n">
        <x:v>20825</x:v>
      </x:c>
      <x:c r="G128" s="6" t="n">
        <x:v>109</x:v>
      </x:c>
      <x:c r="H128" s="8" t="n">
        <x:v>0.045899999999999996</x:v>
      </x:c>
      <x:c r="I128" s="6" t="str">
        <x:v>106122084309</x:v>
      </x:c>
      <x:c r="J128" s="6" t="str">
        <x:v>https://cd.lianjia.com/chengjiao/106122084309.html</x:v>
      </x:c>
    </x:row>
    <x:row r="129" ht="22" customHeight="1">
      <x:c r="A129" s="6" t="str">
        <x:v>盐市口</x:v>
      </x:c>
      <x:c r="B129" s="6" t="str">
        <x:v>新和春禧时代</x:v>
      </x:c>
      <x:c r="C129" s="6" t="str">
        <x:v>2025.12.23</x:v>
      </x:c>
      <x:c r="D129" s="6" t="n">
        <x:v>95</x:v>
      </x:c>
      <x:c r="E129" s="6" t="n">
        <x:v>39.16</x:v>
      </x:c>
      <x:c r="F129" s="6" t="n">
        <x:v>24260</x:v>
      </x:c>
      <x:c r="G129" s="6" t="n">
        <x:v>95</x:v>
      </x:c>
      <x:c r="H129" s="8" t="n">
        <x:v>0</x:v>
      </x:c>
      <x:c r="I129" s="6" t="str">
        <x:v>106125380525</x:v>
      </x:c>
      <x:c r="J129" s="6" t="str">
        <x:v>https://cd.lianjia.com/chengjiao/106125380525.html</x:v>
      </x:c>
    </x:row>
    <x:row r="130" ht="22" customHeight="1">
      <x:c r="A130" s="6" t="str">
        <x:v>合江亭</x:v>
      </x:c>
      <x:c r="B130" s="6" t="str">
        <x:v>SOHO我的寓所</x:v>
      </x:c>
      <x:c r="C130" s="6" t="str">
        <x:v>2025.12.22</x:v>
      </x:c>
      <x:c r="D130" s="6" t="n">
        <x:v>68</x:v>
      </x:c>
      <x:c r="E130" s="6" t="n">
        <x:v>36.8</x:v>
      </x:c>
      <x:c r="F130" s="6" t="n">
        <x:v>18479</x:v>
      </x:c>
      <x:c r="G130" s="6" t="n">
        <x:v>71</x:v>
      </x:c>
      <x:c r="H130" s="8" t="n">
        <x:v>0.042300000000000004</x:v>
      </x:c>
      <x:c r="I130" s="6" t="str">
        <x:v>106124974393</x:v>
      </x:c>
      <x:c r="J130" s="6" t="str">
        <x:v>https://cd.lianjia.com/chengjiao/106124974393.html</x:v>
      </x:c>
    </x:row>
    <x:row r="131" ht="22" customHeight="1">
      <x:c r="A131" s="6" t="str">
        <x:v>川音</x:v>
      </x:c>
      <x:c r="B131" s="6" t="str">
        <x:v>凯悦新城</x:v>
      </x:c>
      <x:c r="C131" s="6" t="str">
        <x:v>2025.12.22</x:v>
      </x:c>
      <x:c r="D131" s="6" t="n">
        <x:v>65.4</x:v>
      </x:c>
      <x:c r="E131" s="6" t="n">
        <x:v>53.18</x:v>
      </x:c>
      <x:c r="F131" s="6" t="n">
        <x:v>12298</x:v>
      </x:c>
      <x:c r="G131" s="6" t="n">
        <x:v>69</x:v>
      </x:c>
      <x:c r="H131" s="8" t="n">
        <x:v>0.052199999999999996</x:v>
      </x:c>
      <x:c r="I131" s="6" t="str">
        <x:v>106119915245</x:v>
      </x:c>
      <x:c r="J131" s="6" t="str">
        <x:v>https://cd.lianjia.com/chengjiao/106119915245.html</x:v>
      </x:c>
    </x:row>
    <x:row r="132" ht="22" customHeight="1">
      <x:c r="A132" s="6" t="str">
        <x:v>西南财大</x:v>
      </x:c>
      <x:c r="B132" s="6" t="str">
        <x:v>西财骏苑</x:v>
      </x:c>
      <x:c r="C132" s="6" t="str">
        <x:v>2025.12.21</x:v>
      </x:c>
      <x:c r="D132" s="6" t="n">
        <x:v>53.9</x:v>
      </x:c>
      <x:c r="E132" s="6" t="n">
        <x:v>51.21</x:v>
      </x:c>
      <x:c r="F132" s="6" t="n">
        <x:v>10522</x:v>
      </x:c>
      <x:c r="G132" s="6" t="n">
        <x:v>54</x:v>
      </x:c>
      <x:c r="H132" s="8" t="n">
        <x:v>0.0019</x:v>
      </x:c>
      <x:c r="I132" s="6" t="str">
        <x:v>106121980769</x:v>
      </x:c>
      <x:c r="J132" s="6" t="str">
        <x:v>https://cd.lianjia.com/chengjiao/106121980769.html</x:v>
      </x:c>
    </x:row>
    <x:row r="133" ht="22" customHeight="1">
      <x:c r="A133" s="6" t="str">
        <x:v>盐市口</x:v>
      </x:c>
      <x:c r="B133" s="6" t="str">
        <x:v>财富中心</x:v>
      </x:c>
      <x:c r="C133" s="6" t="str">
        <x:v>2025.12.21</x:v>
      </x:c>
      <x:c r="D133" s="6" t="n">
        <x:v>93.3</x:v>
      </x:c>
      <x:c r="E133" s="6" t="n">
        <x:v>29.14</x:v>
      </x:c>
      <x:c r="F133" s="6" t="n">
        <x:v>32018</x:v>
      </x:c>
      <x:c r="G133" s="6" t="n">
        <x:v>100</x:v>
      </x:c>
      <x:c r="H133" s="8" t="n">
        <x:v>0.067</x:v>
      </x:c>
      <x:c r="I133" s="6" t="str">
        <x:v>106124705450</x:v>
      </x:c>
      <x:c r="J133" s="6" t="str">
        <x:v>https://cd.lianjia.com/chengjiao/106124705450.html</x:v>
      </x:c>
    </x:row>
    <x:row r="134" ht="22" customHeight="1">
      <x:c r="A134" s="6" t="str">
        <x:v>合江亭</x:v>
      </x:c>
      <x:c r="B134" s="6" t="str">
        <x:v>星城银座</x:v>
      </x:c>
      <x:c r="C134" s="6" t="str">
        <x:v>2025.12.20</x:v>
      </x:c>
      <x:c r="D134" s="6" t="n">
        <x:v>95</x:v>
      </x:c>
      <x:c r="E134" s="6" t="n">
        <x:v>51.83</x:v>
      </x:c>
      <x:c r="F134" s="6" t="n">
        <x:v>18330</x:v>
      </x:c>
      <x:c r="G134" s="6" t="n">
        <x:v>99</x:v>
      </x:c>
      <x:c r="H134" s="8" t="n">
        <x:v>0.0404</x:v>
      </x:c>
      <x:c r="I134" s="6" t="str">
        <x:v>106125118034</x:v>
      </x:c>
      <x:c r="J134" s="6" t="str">
        <x:v>https://cd.lianjia.com/chengjiao/106125118034.html</x:v>
      </x:c>
    </x:row>
    <x:row r="135" ht="22" customHeight="1">
      <x:c r="A135" s="6" t="str">
        <x:v>盐市口</x:v>
      </x:c>
      <x:c r="B135" s="6" t="str">
        <x:v>城市理想</x:v>
      </x:c>
      <x:c r="C135" s="6" t="str">
        <x:v>2025.12.20</x:v>
      </x:c>
      <x:c r="D135" s="6" t="n">
        <x:v>106.7</x:v>
      </x:c>
      <x:c r="E135" s="6" t="n">
        <x:v>50.55</x:v>
      </x:c>
      <x:c r="F135" s="6" t="n">
        <x:v>21108</x:v>
      </x:c>
      <x:c r="G135" s="6" t="n">
        <x:v>116</x:v>
      </x:c>
      <x:c r="H135" s="8" t="n">
        <x:v>0.0802</x:v>
      </x:c>
      <x:c r="I135" s="6" t="str">
        <x:v>106125406372</x:v>
      </x:c>
      <x:c r="J135" s="6" t="str">
        <x:v>https://cd.lianjia.com/chengjiao/106125406372.html</x:v>
      </x:c>
    </x:row>
    <x:row r="136" ht="22" customHeight="1">
      <x:c r="A136" s="6" t="str">
        <x:v>合江亭</x:v>
      </x:c>
      <x:c r="B136" s="6" t="str">
        <x:v>喜年广场</x:v>
      </x:c>
      <x:c r="C136" s="6" t="str">
        <x:v>2025.12.20</x:v>
      </x:c>
      <x:c r="D136" s="6" t="n">
        <x:v>111</x:v>
      </x:c>
      <x:c r="E136" s="6" t="n">
        <x:v>46.89</x:v>
      </x:c>
      <x:c r="F136" s="6" t="n">
        <x:v>23673</x:v>
      </x:c>
      <x:c r="G136" s="6" t="n">
        <x:v>115</x:v>
      </x:c>
      <x:c r="H136" s="8" t="n">
        <x:v>0.0348</x:v>
      </x:c>
      <x:c r="I136" s="6" t="str">
        <x:v>106123326522</x:v>
      </x:c>
      <x:c r="J136" s="6" t="str">
        <x:v>https://cd.lianjia.com/chengjiao/106123326522.html</x:v>
      </x:c>
    </x:row>
    <x:row r="137" ht="22" customHeight="1">
      <x:c r="A137" s="6" t="str">
        <x:v>合江亭</x:v>
      </x:c>
      <x:c r="B137" s="6" t="str">
        <x:v>蓝光时代华章</x:v>
      </x:c>
      <x:c r="C137" s="6" t="str">
        <x:v>2025.12.19</x:v>
      </x:c>
      <x:c r="D137" s="6" t="n">
        <x:v>97.5</x:v>
      </x:c>
      <x:c r="E137" s="6" t="n">
        <x:v>37.51</x:v>
      </x:c>
      <x:c r="F137" s="6" t="n">
        <x:v>25994</x:v>
      </x:c>
      <x:c r="G137" s="6" t="n">
        <x:v>98.7</x:v>
      </x:c>
      <x:c r="H137" s="8" t="n">
        <x:v>0.012199999999999999</x:v>
      </x:c>
      <x:c r="I137" s="6" t="str">
        <x:v>106124379191</x:v>
      </x:c>
      <x:c r="J137" s="6" t="str">
        <x:v>https://cd.lianjia.com/chengjiao/106124379191.html</x:v>
      </x:c>
    </x:row>
    <x:row r="138" ht="22" customHeight="1">
      <x:c r="A138" s="6" t="str">
        <x:v>盐市口</x:v>
      </x:c>
      <x:c r="B138" s="6" t="str">
        <x:v>现代之窗</x:v>
      </x:c>
      <x:c r="C138" s="6" t="str">
        <x:v>2025.12.18</x:v>
      </x:c>
      <x:c r="D138" s="6" t="n">
        <x:v>65</x:v>
      </x:c>
      <x:c r="E138" s="6" t="n">
        <x:v>45.09</x:v>
      </x:c>
      <x:c r="F138" s="6" t="n">
        <x:v>14416</x:v>
      </x:c>
      <x:c r="G138" s="6" t="n">
        <x:v>65</x:v>
      </x:c>
      <x:c r="H138" s="8" t="n">
        <x:v>0</x:v>
      </x:c>
      <x:c r="I138" s="6" t="str">
        <x:v>106122783506</x:v>
      </x:c>
      <x:c r="J138" s="6" t="str">
        <x:v>https://cd.lianjia.com/chengjiao/106122783506.html</x:v>
      </x:c>
    </x:row>
    <x:row r="139" ht="22" customHeight="1">
      <x:c r="A139" s="6" t="str">
        <x:v>川大</x:v>
      </x:c>
      <x:c r="B139" s="6" t="str">
        <x:v>樱花假日</x:v>
      </x:c>
      <x:c r="C139" s="6" t="str">
        <x:v>2025.12.16</x:v>
      </x:c>
      <x:c r="D139" s="6" t="n">
        <x:v>42</x:v>
      </x:c>
      <x:c r="E139" s="6" t="n">
        <x:v>27.94</x:v>
      </x:c>
      <x:c r="F139" s="6" t="n">
        <x:v>15033</x:v>
      </x:c>
      <x:c r="G139" s="6" t="n">
        <x:v>45</x:v>
      </x:c>
      <x:c r="H139" s="8" t="n">
        <x:v>0.0667</x:v>
      </x:c>
      <x:c r="I139" s="6" t="str">
        <x:v>106125102857</x:v>
      </x:c>
      <x:c r="J139" s="6" t="str">
        <x:v>https://cd.lianjia.com/chengjiao/106125102857.html</x:v>
      </x:c>
    </x:row>
    <x:row r="140" ht="22" customHeight="1">
      <x:c r="A140" s="6" t="str">
        <x:v>华西</x:v>
      </x:c>
      <x:c r="B140" s="6" t="str">
        <x:v>傲仕门</x:v>
      </x:c>
      <x:c r="C140" s="6" t="str">
        <x:v>2025.12.13</x:v>
      </x:c>
      <x:c r="D140" s="6" t="n">
        <x:v>83</x:v>
      </x:c>
      <x:c r="E140" s="6" t="n">
        <x:v>58.3</x:v>
      </x:c>
      <x:c r="F140" s="6" t="n">
        <x:v>14237</x:v>
      </x:c>
      <x:c r="G140" s="6" t="n">
        <x:v>88</x:v>
      </x:c>
      <x:c r="H140" s="8" t="n">
        <x:v>0.056799999999999996</x:v>
      </x:c>
      <x:c r="I140" s="6" t="str">
        <x:v>106125211466</x:v>
      </x:c>
      <x:c r="J140" s="6" t="str">
        <x:v>https://cd.lianjia.com/chengjiao/106125211466.html</x:v>
      </x:c>
    </x:row>
    <x:row r="141" ht="22" customHeight="1">
      <x:c r="A141" s="6" t="str">
        <x:v>玉林</x:v>
      </x:c>
      <x:c r="B141" s="6" t="str">
        <x:v>都市金岸</x:v>
      </x:c>
      <x:c r="C141" s="6" t="str">
        <x:v>2025.12.10</x:v>
      </x:c>
      <x:c r="D141" s="6" t="n">
        <x:v>56.8</x:v>
      </x:c>
      <x:c r="E141" s="6" t="n">
        <x:v>39.29</x:v>
      </x:c>
      <x:c r="F141" s="6" t="n">
        <x:v>14457</x:v>
      </x:c>
      <x:c r="G141" s="6" t="n">
        <x:v>60</x:v>
      </x:c>
      <x:c r="H141" s="8" t="n">
        <x:v>0.0533</x:v>
      </x:c>
      <x:c r="I141" s="6" t="str">
        <x:v>106120893212</x:v>
      </x:c>
      <x:c r="J141" s="6" t="str">
        <x:v>https://cd.lianjia.com/chengjiao/106120893212.html</x:v>
      </x:c>
    </x:row>
    <x:row r="142" ht="22" customHeight="1">
      <x:c r="A142" s="6" t="str">
        <x:v>合江亭</x:v>
      </x:c>
      <x:c r="B142" s="6" t="str">
        <x:v>SOHO我的寓所</x:v>
      </x:c>
      <x:c r="C142" s="6" t="str">
        <x:v>2025.12.08</x:v>
      </x:c>
      <x:c r="D142" s="6" t="n">
        <x:v>75</x:v>
      </x:c>
      <x:c r="E142" s="6" t="n">
        <x:v>40.23</x:v>
      </x:c>
      <x:c r="F142" s="6" t="n">
        <x:v>18643</x:v>
      </x:c>
      <x:c r="G142" s="6" t="n">
        <x:v>77</x:v>
      </x:c>
      <x:c r="H142" s="8" t="n">
        <x:v>0.026000000000000002</x:v>
      </x:c>
      <x:c r="I142" s="6" t="str">
        <x:v>106125233581</x:v>
      </x:c>
      <x:c r="J142" s="6" t="str">
        <x:v>https://cd.lianjia.com/chengjiao/106125233581.html</x:v>
      </x:c>
    </x:row>
    <x:row r="143" ht="22" customHeight="1">
      <x:c r="A143" s="6" t="str">
        <x:v>棕北</x:v>
      </x:c>
      <x:c r="B143" s="6" t="str">
        <x:v>棕北国际</x:v>
      </x:c>
      <x:c r="C143" s="6" t="str">
        <x:v>2025.12.08</x:v>
      </x:c>
      <x:c r="D143" s="6" t="n">
        <x:v>58.8</x:v>
      </x:c>
      <x:c r="E143" s="6" t="n">
        <x:v>40.69</x:v>
      </x:c>
      <x:c r="F143" s="6" t="n">
        <x:v>14451</x:v>
      </x:c>
      <x:c r="G143" s="6" t="n">
        <x:v>59</x:v>
      </x:c>
      <x:c r="H143" s="8" t="n">
        <x:v>0.0034000000000000002</x:v>
      </x:c>
      <x:c r="I143" s="6" t="str">
        <x:v>106124952661</x:v>
      </x:c>
      <x:c r="J143" s="6" t="str">
        <x:v>https://cd.lianjia.com/chengjiao/106124952661.html</x:v>
      </x:c>
    </x:row>
    <x:row r="144" ht="22" customHeight="1">
      <x:c r="A144" s="6" t="str">
        <x:v>合江亭</x:v>
      </x:c>
      <x:c r="B144" s="6" t="str">
        <x:v>蓝光时代华章</x:v>
      </x:c>
      <x:c r="C144" s="6" t="str">
        <x:v>2025.12.07</x:v>
      </x:c>
      <x:c r="D144" s="6" t="n">
        <x:v>96.8</x:v>
      </x:c>
      <x:c r="E144" s="6" t="n">
        <x:v>39.51</x:v>
      </x:c>
      <x:c r="F144" s="6" t="n">
        <x:v>24501</x:v>
      </x:c>
      <x:c r="G144" s="6" t="n">
        <x:v>103</x:v>
      </x:c>
      <x:c r="H144" s="8" t="n">
        <x:v>0.0602</x:v>
      </x:c>
      <x:c r="I144" s="6" t="str">
        <x:v>106123698537</x:v>
      </x:c>
      <x:c r="J144" s="6" t="str">
        <x:v>https://cd.lianjia.com/chengjiao/106123698537.html</x:v>
      </x:c>
    </x:row>
    <x:row r="145" ht="22" customHeight="1">
      <x:c r="A145" s="6" t="str">
        <x:v>合江亭</x:v>
      </x:c>
      <x:c r="B145" s="6" t="str">
        <x:v>蓝光时代华章</x:v>
      </x:c>
      <x:c r="C145" s="6" t="str">
        <x:v>2025.12.07</x:v>
      </x:c>
      <x:c r="D145" s="6" t="n">
        <x:v>96.2</x:v>
      </x:c>
      <x:c r="E145" s="6" t="n">
        <x:v>36.68</x:v>
      </x:c>
      <x:c r="F145" s="6" t="n">
        <x:v>26227</x:v>
      </x:c>
      <x:c r="G145" s="6" t="n">
        <x:v>97.8</x:v>
      </x:c>
      <x:c r="H145" s="8" t="n">
        <x:v>0.016399999999999998</x:v>
      </x:c>
      <x:c r="I145" s="6" t="str">
        <x:v>106125118552</x:v>
      </x:c>
      <x:c r="J145" s="6" t="str">
        <x:v>https://cd.lianjia.com/chengjiao/106125118552.html</x:v>
      </x:c>
    </x:row>
    <x:row r="146" ht="22" customHeight="1">
      <x:c r="A146" s="6" t="str">
        <x:v>合江亭</x:v>
      </x:c>
      <x:c r="B146" s="6" t="str">
        <x:v>流星花园</x:v>
      </x:c>
      <x:c r="C146" s="6" t="str">
        <x:v>2025.12.06</x:v>
      </x:c>
      <x:c r="D146" s="6" t="n">
        <x:v>73.3</x:v>
      </x:c>
      <x:c r="E146" s="6" t="n">
        <x:v>39.67</x:v>
      </x:c>
      <x:c r="F146" s="6" t="n">
        <x:v>18465</x:v>
      </x:c>
      <x:c r="G146" s="6" t="n">
        <x:v>75</x:v>
      </x:c>
      <x:c r="H146" s="8" t="n">
        <x:v>0.0227</x:v>
      </x:c>
      <x:c r="I146" s="6" t="str">
        <x:v>106123588464</x:v>
      </x:c>
      <x:c r="J146" s="6" t="str">
        <x:v>https://cd.lianjia.com/chengjiao/106123588464.html</x:v>
      </x:c>
    </x:row>
    <x:row r="147" ht="22" customHeight="1">
      <x:c r="A147" s="6" t="str">
        <x:v>合江亭</x:v>
      </x:c>
      <x:c r="B147" s="6" t="str">
        <x:v>喜年广场</x:v>
      </x:c>
      <x:c r="C147" s="6" t="str">
        <x:v>2025.12.06</x:v>
      </x:c>
      <x:c r="D147" s="6" t="n">
        <x:v>110</x:v>
      </x:c>
      <x:c r="E147" s="6" t="n">
        <x:v>46.89</x:v>
      </x:c>
      <x:c r="F147" s="6" t="n">
        <x:v>23460</x:v>
      </x:c>
      <x:c r="G147" s="6" t="n">
        <x:v>116</x:v>
      </x:c>
      <x:c r="H147" s="8" t="n">
        <x:v>0.051699999999999996</x:v>
      </x:c>
      <x:c r="I147" s="6" t="str">
        <x:v>106124600346</x:v>
      </x:c>
      <x:c r="J147" s="6" t="str">
        <x:v>https://cd.lianjia.com/chengjiao/106124600346.html</x:v>
      </x:c>
    </x:row>
    <x:row r="148" ht="22" customHeight="1">
      <x:c r="A148" s="6" t="str">
        <x:v>华西</x:v>
      </x:c>
      <x:c r="B148" s="6" t="str">
        <x:v>凯蒂阳光</x:v>
      </x:c>
      <x:c r="C148" s="6" t="str">
        <x:v>2025.12.05</x:v>
      </x:c>
      <x:c r="D148" s="6" t="n">
        <x:v>72</x:v>
      </x:c>
      <x:c r="E148" s="6" t="n">
        <x:v>48.56</x:v>
      </x:c>
      <x:c r="F148" s="6" t="n">
        <x:v>14828</x:v>
      </x:c>
      <x:c r="G148" s="6" t="n">
        <x:v>78</x:v>
      </x:c>
      <x:c r="H148" s="8" t="n">
        <x:v>0.07690000000000001</x:v>
      </x:c>
      <x:c r="I148" s="6" t="str">
        <x:v>106125567693</x:v>
      </x:c>
      <x:c r="J148" s="6" t="str">
        <x:v>https://cd.lianjia.com/chengjiao/106125567693.html</x:v>
      </x:c>
    </x:row>
    <x:row r="149" ht="22" customHeight="1">
      <x:c r="A149" s="6" t="str">
        <x:v>盐市口</x:v>
      </x:c>
      <x:c r="B149" s="6" t="str">
        <x:v>美华大厦</x:v>
      </x:c>
      <x:c r="C149" s="6" t="str">
        <x:v>2025.12.05</x:v>
      </x:c>
      <x:c r="D149" s="6" t="n">
        <x:v>106</x:v>
      </x:c>
      <x:c r="E149" s="6" t="n">
        <x:v>47.35</x:v>
      </x:c>
      <x:c r="F149" s="6" t="n">
        <x:v>22387</x:v>
      </x:c>
      <x:c r="G149" s="6" t="n">
        <x:v>112</x:v>
      </x:c>
      <x:c r="H149" s="8" t="n">
        <x:v>0.0536</x:v>
      </x:c>
      <x:c r="I149" s="6" t="str">
        <x:v>106123900239</x:v>
      </x:c>
      <x:c r="J149" s="6" t="str">
        <x:v>https://cd.lianjia.com/chengjiao/106123900239.html</x:v>
      </x:c>
    </x:row>
    <x:row r="150" ht="22" customHeight="1">
      <x:c r="A150" s="6" t="str">
        <x:v>合江亭</x:v>
      </x:c>
      <x:c r="B150" s="6" t="str">
        <x:v>喜年广场</x:v>
      </x:c>
      <x:c r="C150" s="6" t="str">
        <x:v>2025.12.04</x:v>
      </x:c>
      <x:c r="D150" s="6" t="n">
        <x:v>110</x:v>
      </x:c>
      <x:c r="E150" s="6" t="n">
        <x:v>46.89</x:v>
      </x:c>
      <x:c r="F150" s="6" t="n">
        <x:v>23460</x:v>
      </x:c>
      <x:c r="G150" s="6" t="n">
        <x:v>115</x:v>
      </x:c>
      <x:c r="H150" s="8" t="n">
        <x:v>0.0435</x:v>
      </x:c>
      <x:c r="I150" s="6" t="str">
        <x:v>106124556031</x:v>
      </x:c>
      <x:c r="J150" s="6" t="str">
        <x:v>https://cd.lianjia.com/chengjiao/106124556031.html</x:v>
      </x:c>
    </x:row>
    <x:row r="151" ht="22" customHeight="1">
      <x:c r="A151" s="6" t="str">
        <x:v>盐市口</x:v>
      </x:c>
      <x:c r="B151" s="6" t="str">
        <x:v>财富中心</x:v>
      </x:c>
      <x:c r="C151" s="6" t="str">
        <x:v>2025.12.04</x:v>
      </x:c>
      <x:c r="D151" s="6" t="n">
        <x:v>92.3</x:v>
      </x:c>
      <x:c r="E151" s="6" t="n">
        <x:v>24.31</x:v>
      </x:c>
      <x:c r="F151" s="6" t="n">
        <x:v>37968</x:v>
      </x:c>
      <x:c r="G151" s="6" t="n">
        <x:v>98</x:v>
      </x:c>
      <x:c r="H151" s="8" t="n">
        <x:v>0.0582</x:v>
      </x:c>
      <x:c r="I151" s="6" t="str">
        <x:v>106125362832</x:v>
      </x:c>
      <x:c r="J151" s="6" t="str">
        <x:v>https://cd.lianjia.com/chengjiao/106125362832.html</x:v>
      </x:c>
    </x:row>
    <x:row r="152" ht="22" customHeight="1">
      <x:c r="A152" s="6" t="str">
        <x:v>盐市口</x:v>
      </x:c>
      <x:c r="B152" s="6" t="str">
        <x:v>财富中心</x:v>
      </x:c>
      <x:c r="C152" s="6" t="str">
        <x:v>2025.12.03</x:v>
      </x:c>
      <x:c r="D152" s="6" t="n">
        <x:v>113</x:v>
      </x:c>
      <x:c r="E152" s="6" t="n">
        <x:v>47.53</x:v>
      </x:c>
      <x:c r="F152" s="6" t="n">
        <x:v>23775</x:v>
      </x:c>
      <x:c r="G152" s="6" t="n">
        <x:v>113</x:v>
      </x:c>
      <x:c r="H152" s="8" t="n">
        <x:v>0</x:v>
      </x:c>
      <x:c r="I152" s="6" t="str">
        <x:v>106122235838</x:v>
      </x:c>
      <x:c r="J152" s="6" t="str">
        <x:v>https://cd.lianjia.com/chengjiao/106122235838.html</x:v>
      </x:c>
    </x:row>
    <x:row r="153" ht="22" customHeight="1">
      <x:c r="A153" s="6" t="str">
        <x:v>合江亭</x:v>
      </x:c>
      <x:c r="B153" s="6" t="str">
        <x:v>蓉上坊一期</x:v>
      </x:c>
      <x:c r="C153" s="6" t="str">
        <x:v>2025.11.30</x:v>
      </x:c>
      <x:c r="D153" s="6" t="n">
        <x:v>82</x:v>
      </x:c>
      <x:c r="E153" s="6" t="n">
        <x:v>50.44</x:v>
      </x:c>
      <x:c r="F153" s="6" t="n">
        <x:v>16257</x:v>
      </x:c>
      <x:c r="G153" s="6" t="n">
        <x:v>85</x:v>
      </x:c>
      <x:c r="H153" s="8" t="n">
        <x:v>0.0353</x:v>
      </x:c>
      <x:c r="I153" s="6" t="str">
        <x:v>106123532348</x:v>
      </x:c>
      <x:c r="J153" s="6" t="str">
        <x:v>https://cd.lianjia.com/chengjiao/106123532348.html</x:v>
      </x:c>
    </x:row>
    <x:row r="154" ht="22" customHeight="1">
      <x:c r="A154" s="6" t="str">
        <x:v>棕北</x:v>
      </x:c>
      <x:c r="B154" s="6" t="str">
        <x:v>棕北国际</x:v>
      </x:c>
      <x:c r="C154" s="6" t="str">
        <x:v>2025.11.30</x:v>
      </x:c>
      <x:c r="D154" s="6" t="n">
        <x:v>67</x:v>
      </x:c>
      <x:c r="E154" s="6" t="n">
        <x:v>49.31</x:v>
      </x:c>
      <x:c r="F154" s="6" t="n">
        <x:v>13588</x:v>
      </x:c>
      <x:c r="G154" s="6" t="n">
        <x:v>70</x:v>
      </x:c>
      <x:c r="H154" s="8" t="n">
        <x:v>0.0429</x:v>
      </x:c>
      <x:c r="I154" s="6" t="str">
        <x:v>106117226357</x:v>
      </x:c>
      <x:c r="J154" s="6" t="str">
        <x:v>https://cd.lianjia.com/chengjiao/106117226357.html</x:v>
      </x:c>
    </x:row>
    <x:row r="155" ht="22" customHeight="1">
      <x:c r="A155" s="6" t="str">
        <x:v>盐市口</x:v>
      </x:c>
      <x:c r="B155" s="6" t="str">
        <x:v>都市驿站</x:v>
      </x:c>
      <x:c r="C155" s="6" t="str">
        <x:v>2025.11.30</x:v>
      </x:c>
      <x:c r="D155" s="6" t="n">
        <x:v>95.5</x:v>
      </x:c>
      <x:c r="E155" s="6" t="n">
        <x:v>44.21</x:v>
      </x:c>
      <x:c r="F155" s="6" t="n">
        <x:v>21602</x:v>
      </x:c>
      <x:c r="G155" s="6" t="n">
        <x:v>101</x:v>
      </x:c>
      <x:c r="H155" s="8" t="n">
        <x:v>0.0545</x:v>
      </x:c>
      <x:c r="I155" s="6" t="str">
        <x:v>106115158237</x:v>
      </x:c>
      <x:c r="J155" s="6" t="str">
        <x:v>https://cd.lianjia.com/chengjiao/106115158237.html</x:v>
      </x:c>
    </x:row>
    <x:row r="156" ht="22" customHeight="1">
      <x:c r="A156" s="6" t="str">
        <x:v>合江亭</x:v>
      </x:c>
      <x:c r="B156" s="6" t="str">
        <x:v>喜年广场</x:v>
      </x:c>
      <x:c r="C156" s="6" t="str">
        <x:v>2025.11.30</x:v>
      </x:c>
      <x:c r="D156" s="6" t="n">
        <x:v>111</x:v>
      </x:c>
      <x:c r="E156" s="6" t="n">
        <x:v>46.78</x:v>
      </x:c>
      <x:c r="F156" s="6" t="n">
        <x:v>23729</x:v>
      </x:c>
      <x:c r="G156" s="6" t="n">
        <x:v>116</x:v>
      </x:c>
      <x:c r="H156" s="8" t="n">
        <x:v>0.0431</x:v>
      </x:c>
      <x:c r="I156" s="6" t="str">
        <x:v>106124937139</x:v>
      </x:c>
      <x:c r="J156" s="6" t="str">
        <x:v>https://cd.lianjia.com/chengjiao/106124937139.html</x:v>
      </x:c>
    </x:row>
    <x:row r="157" ht="22" customHeight="1">
      <x:c r="A157" s="6" t="str">
        <x:v>棕北</x:v>
      </x:c>
      <x:c r="B157" s="6" t="str">
        <x:v>花样年华梦想家</x:v>
      </x:c>
      <x:c r="C157" s="6" t="str">
        <x:v>2025.11.28</x:v>
      </x:c>
      <x:c r="D157" s="6" t="n">
        <x:v>49.5</x:v>
      </x:c>
      <x:c r="E157" s="6" t="n">
        <x:v>51.61</x:v>
      </x:c>
      <x:c r="F157" s="6" t="n">
        <x:v>9592</x:v>
      </x:c>
      <x:c r="G157" s="6" t="n">
        <x:v>55</x:v>
      </x:c>
      <x:c r="H157" s="8" t="n">
        <x:v>0.1</x:v>
      </x:c>
      <x:c r="I157" s="6" t="str">
        <x:v>106125288861</x:v>
      </x:c>
      <x:c r="J157" s="6" t="str">
        <x:v>https://cd.lianjia.com/chengjiao/106125288861.html</x:v>
      </x:c>
    </x:row>
    <x:row r="158" ht="22" customHeight="1">
      <x:c r="A158" s="6" t="str">
        <x:v>盐市口</x:v>
      </x:c>
      <x:c r="B158" s="6" t="str">
        <x:v>萧邦</x:v>
      </x:c>
      <x:c r="C158" s="6" t="str">
        <x:v>2025.11.27</x:v>
      </x:c>
      <x:c r="D158" s="6" t="n">
        <x:v>66.9</x:v>
      </x:c>
      <x:c r="E158" s="6" t="n">
        <x:v>47.97</x:v>
      </x:c>
      <x:c r="F158" s="6" t="n">
        <x:v>13943</x:v>
      </x:c>
      <x:c r="G158" s="6" t="n">
        <x:v>69</x:v>
      </x:c>
      <x:c r="H158" s="8" t="n">
        <x:v>0.0304</x:v>
      </x:c>
      <x:c r="I158" s="6" t="str">
        <x:v>106124331279</x:v>
      </x:c>
      <x:c r="J158" s="6" t="str">
        <x:v>https://cd.lianjia.com/chengjiao/106124331279.html</x:v>
      </x:c>
    </x:row>
    <x:row r="159" ht="22" customHeight="1">
      <x:c r="A159" s="6" t="str">
        <x:v>川音</x:v>
      </x:c>
      <x:c r="B159" s="6" t="str">
        <x:v>廊桥乐章</x:v>
      </x:c>
      <x:c r="C159" s="6" t="str">
        <x:v>2025.11.26</x:v>
      </x:c>
      <x:c r="D159" s="6" t="n">
        <x:v>105.5</x:v>
      </x:c>
      <x:c r="E159" s="6" t="n">
        <x:v>57.85</x:v>
      </x:c>
      <x:c r="F159" s="6" t="n">
        <x:v>18237</x:v>
      </x:c>
      <x:c r="G159" s="6" t="n">
        <x:v>110</x:v>
      </x:c>
      <x:c r="H159" s="8" t="n">
        <x:v>0.0409</x:v>
      </x:c>
      <x:c r="I159" s="6" t="str">
        <x:v>106124315682</x:v>
      </x:c>
      <x:c r="J159" s="6" t="str">
        <x:v>https://cd.lianjia.com/chengjiao/106124315682.html</x:v>
      </x:c>
    </x:row>
    <x:row r="160" ht="22" customHeight="1">
      <x:c r="A160" s="6" t="str">
        <x:v>西南财大</x:v>
      </x:c>
      <x:c r="B160" s="6" t="str">
        <x:v>水木光华</x:v>
      </x:c>
      <x:c r="C160" s="6" t="str">
        <x:v>2025.11.26</x:v>
      </x:c>
      <x:c r="D160" s="6" t="n">
        <x:v>57.5</x:v>
      </x:c>
      <x:c r="E160" s="6" t="n">
        <x:v>45.91</x:v>
      </x:c>
      <x:c r="F160" s="6" t="n">
        <x:v>12525</x:v>
      </x:c>
      <x:c r="G160" s="6" t="n">
        <x:v>57.5</x:v>
      </x:c>
      <x:c r="H160" s="8" t="n">
        <x:v>0</x:v>
      </x:c>
      <x:c r="I160" s="6" t="str">
        <x:v>106124564719</x:v>
      </x:c>
      <x:c r="J160" s="6" t="str">
        <x:v>https://cd.lianjia.com/chengjiao/106124564719.html</x:v>
      </x:c>
    </x:row>
    <x:row r="161" ht="22" customHeight="1">
      <x:c r="A161" s="6" t="str">
        <x:v>棕北</x:v>
      </x:c>
      <x:c r="B161" s="6" t="str">
        <x:v>首航欣程</x:v>
      </x:c>
      <x:c r="C161" s="6" t="str">
        <x:v>2025.11.24</x:v>
      </x:c>
      <x:c r="D161" s="6" t="n">
        <x:v>77.5</x:v>
      </x:c>
      <x:c r="E161" s="6" t="n">
        <x:v>48.58</x:v>
      </x:c>
      <x:c r="F161" s="6" t="n">
        <x:v>15954</x:v>
      </x:c>
      <x:c r="G161" s="6" t="n">
        <x:v>85</x:v>
      </x:c>
      <x:c r="H161" s="8" t="n">
        <x:v>0.0882</x:v>
      </x:c>
      <x:c r="I161" s="6" t="str">
        <x:v>106120720805</x:v>
      </x:c>
      <x:c r="J161" s="6" t="str">
        <x:v>https://cd.lianjia.com/chengjiao/106120720805.html</x:v>
      </x:c>
    </x:row>
    <x:row r="162" ht="22" customHeight="1">
      <x:c r="A162" s="6" t="str">
        <x:v>西南财大</x:v>
      </x:c>
      <x:c r="B162" s="6" t="str">
        <x:v>光华馨地</x:v>
      </x:c>
      <x:c r="C162" s="6" t="str">
        <x:v>2025.11.24</x:v>
      </x:c>
      <x:c r="D162" s="6" t="n">
        <x:v>74.7</x:v>
      </x:c>
      <x:c r="E162" s="6" t="n">
        <x:v>54.88</x:v>
      </x:c>
      <x:c r="F162" s="6" t="n">
        <x:v>13612</x:v>
      </x:c>
      <x:c r="G162" s="6" t="n">
        <x:v>79</x:v>
      </x:c>
      <x:c r="H162" s="8" t="n">
        <x:v>0.054400000000000004</x:v>
      </x:c>
      <x:c r="I162" s="6" t="str">
        <x:v>106122842453</x:v>
      </x:c>
      <x:c r="J162" s="6" t="str">
        <x:v>https://cd.lianjia.com/chengjiao/106122842453.html</x:v>
      </x:c>
    </x:row>
    <x:row r="163" ht="22" customHeight="1">
      <x:c r="A163" s="6" t="str">
        <x:v>西南财大</x:v>
      </x:c>
      <x:c r="B163" s="6" t="str">
        <x:v>金沙时代城</x:v>
      </x:c>
      <x:c r="C163" s="6" t="str">
        <x:v>2025.11.18</x:v>
      </x:c>
      <x:c r="D163" s="6" t="n">
        <x:v>31</x:v>
      </x:c>
      <x:c r="E163" s="6" t="n">
        <x:v>46.5</x:v>
      </x:c>
      <x:c r="F163" s="6" t="n">
        <x:v>6667</x:v>
      </x:c>
      <x:c r="G163" s="6" t="n">
        <x:v>33</x:v>
      </x:c>
      <x:c r="H163" s="8" t="n">
        <x:v>0.060599999999999994</x:v>
      </x:c>
      <x:c r="I163" s="6" t="str">
        <x:v>106125342257</x:v>
      </x:c>
      <x:c r="J163" s="6" t="str">
        <x:v>https://cd.lianjia.com/chengjiao/106125342257.html</x:v>
      </x:c>
    </x:row>
    <x:row r="164" ht="22" customHeight="1">
      <x:c r="A164" s="6" t="str">
        <x:v>合江亭</x:v>
      </x:c>
      <x:c r="B164" s="6" t="str">
        <x:v>流星花园</x:v>
      </x:c>
      <x:c r="C164" s="6" t="str">
        <x:v>2025.11.16</x:v>
      </x:c>
      <x:c r="D164" s="6" t="n">
        <x:v>71</x:v>
      </x:c>
      <x:c r="E164" s="6" t="n">
        <x:v>39.67</x:v>
      </x:c>
      <x:c r="F164" s="6" t="n">
        <x:v>17898</x:v>
      </x:c>
      <x:c r="G164" s="6" t="n">
        <x:v>73</x:v>
      </x:c>
      <x:c r="H164" s="8" t="n">
        <x:v>0.0274</x:v>
      </x:c>
      <x:c r="I164" s="6" t="str">
        <x:v>106125245171</x:v>
      </x:c>
      <x:c r="J164" s="6" t="str">
        <x:v>https://cd.lianjia.com/chengjiao/106125245171.html</x:v>
      </x:c>
    </x:row>
    <x:row r="165" ht="22" customHeight="1">
      <x:c r="A165" s="6" t="str">
        <x:v>盐市口</x:v>
      </x:c>
      <x:c r="B165" s="6" t="str">
        <x:v>财富中心</x:v>
      </x:c>
      <x:c r="C165" s="6" t="str">
        <x:v>2025.11.16</x:v>
      </x:c>
      <x:c r="D165" s="6" t="n">
        <x:v>109.8</x:v>
      </x:c>
      <x:c r="E165" s="6" t="n">
        <x:v>45.16</x:v>
      </x:c>
      <x:c r="F165" s="6" t="n">
        <x:v>24314</x:v>
      </x:c>
      <x:c r="G165" s="6" t="n">
        <x:v>114</x:v>
      </x:c>
      <x:c r="H165" s="8" t="n">
        <x:v>0.0368</x:v>
      </x:c>
      <x:c r="I165" s="6" t="str">
        <x:v>106124174082</x:v>
      </x:c>
      <x:c r="J165" s="6" t="str">
        <x:v>https://cd.lianjia.com/chengjiao/106124174082.html</x:v>
      </x:c>
    </x:row>
    <x:row r="166" ht="22" customHeight="1">
      <x:c r="A166" s="6" t="str">
        <x:v>川大</x:v>
      </x:c>
      <x:c r="B166" s="6" t="str">
        <x:v>蓝色加勒比广场</x:v>
      </x:c>
      <x:c r="C166" s="6" t="str">
        <x:v>2025.11.15</x:v>
      </x:c>
      <x:c r="D166" s="6" t="n">
        <x:v>39</x:v>
      </x:c>
      <x:c r="E166" s="6" t="n">
        <x:v>33.85</x:v>
      </x:c>
      <x:c r="F166" s="6" t="n">
        <x:v>11522</x:v>
      </x:c>
      <x:c r="G166" s="6" t="n">
        <x:v>40</x:v>
      </x:c>
      <x:c r="H166" s="8" t="n">
        <x:v>0.025</x:v>
      </x:c>
      <x:c r="I166" s="6" t="str">
        <x:v>106124275863</x:v>
      </x:c>
      <x:c r="J166" s="6" t="str">
        <x:v>https://cd.lianjia.com/chengjiao/106124275863.html</x:v>
      </x:c>
    </x:row>
    <x:row r="167" ht="22" customHeight="1">
      <x:c r="A167" s="6" t="str">
        <x:v>合江亭</x:v>
      </x:c>
      <x:c r="B167" s="6" t="str">
        <x:v>流星花园</x:v>
      </x:c>
      <x:c r="C167" s="6" t="str">
        <x:v>2025.11.14</x:v>
      </x:c>
      <x:c r="D167" s="6" t="n">
        <x:v>72.5</x:v>
      </x:c>
      <x:c r="E167" s="6" t="n">
        <x:v>41.37</x:v>
      </x:c>
      <x:c r="F167" s="6" t="n">
        <x:v>17525</x:v>
      </x:c>
      <x:c r="G167" s="6" t="n">
        <x:v>74</x:v>
      </x:c>
      <x:c r="H167" s="8" t="n">
        <x:v>0.0203</x:v>
      </x:c>
      <x:c r="I167" s="6" t="str">
        <x:v>106124461418</x:v>
      </x:c>
      <x:c r="J167" s="6" t="str">
        <x:v>https://cd.lianjia.com/chengjiao/106124461418.html</x:v>
      </x:c>
    </x:row>
    <x:row r="168" ht="22" customHeight="1">
      <x:c r="A168" s="6" t="str">
        <x:v>合江亭</x:v>
      </x:c>
      <x:c r="B168" s="6" t="str">
        <x:v>流星花园</x:v>
      </x:c>
      <x:c r="C168" s="6" t="str">
        <x:v>2025.11.13</x:v>
      </x:c>
      <x:c r="D168" s="6" t="n">
        <x:v>69.5</x:v>
      </x:c>
      <x:c r="E168" s="6" t="n">
        <x:v>39.67</x:v>
      </x:c>
      <x:c r="F168" s="6" t="n">
        <x:v>17520</x:v>
      </x:c>
      <x:c r="G168" s="6" t="n">
        <x:v>71</x:v>
      </x:c>
      <x:c r="H168" s="8" t="n">
        <x:v>0.021099999999999997</x:v>
      </x:c>
      <x:c r="I168" s="6" t="str">
        <x:v>106124326135</x:v>
      </x:c>
      <x:c r="J168" s="6" t="str">
        <x:v>https://cd.lianjia.com/chengjiao/106124326135.html</x:v>
      </x:c>
    </x:row>
    <x:row r="169" ht="22" customHeight="1">
      <x:c r="A169" s="6" t="str">
        <x:v>盐市口</x:v>
      </x:c>
      <x:c r="B169" s="6" t="str">
        <x:v>缤舍</x:v>
      </x:c>
      <x:c r="C169" s="6" t="str">
        <x:v>2025.11.11</x:v>
      </x:c>
      <x:c r="D169" s="6" t="n">
        <x:v>91</x:v>
      </x:c>
      <x:c r="E169" s="6" t="n">
        <x:v>59</x:v>
      </x:c>
      <x:c r="F169" s="6" t="n">
        <x:v>15424</x:v>
      </x:c>
      <x:c r="G169" s="6" t="n">
        <x:v>95</x:v>
      </x:c>
      <x:c r="H169" s="8" t="n">
        <x:v>0.0421</x:v>
      </x:c>
      <x:c r="I169" s="6" t="str">
        <x:v>106124832781</x:v>
      </x:c>
      <x:c r="J169" s="6" t="str">
        <x:v>https://cd.lianjia.com/chengjiao/106124832781.html</x:v>
      </x:c>
    </x:row>
    <x:row r="170" ht="22" customHeight="1">
      <x:c r="A170" s="6" t="str">
        <x:v>合江亭</x:v>
      </x:c>
      <x:c r="B170" s="6" t="str">
        <x:v>星城银座</x:v>
      </x:c>
      <x:c r="C170" s="6" t="str">
        <x:v>2025.11.10</x:v>
      </x:c>
      <x:c r="D170" s="6" t="n">
        <x:v>95</x:v>
      </x:c>
      <x:c r="E170" s="6" t="n">
        <x:v>36.58</x:v>
      </x:c>
      <x:c r="F170" s="6" t="n">
        <x:v>25971</x:v>
      </x:c>
      <x:c r="G170" s="6" t="n">
        <x:v>96</x:v>
      </x:c>
      <x:c r="H170" s="8" t="n">
        <x:v>0.0104</x:v>
      </x:c>
      <x:c r="I170" s="6" t="str">
        <x:v>106124667664</x:v>
      </x:c>
      <x:c r="J170" s="6" t="str">
        <x:v>https://cd.lianjia.com/chengjiao/106124667664.html</x:v>
      </x:c>
    </x:row>
    <x:row r="171" ht="22" customHeight="1">
      <x:c r="A171" s="6" t="str">
        <x:v>棕北</x:v>
      </x:c>
      <x:c r="B171" s="6" t="str">
        <x:v>花样年华梦想家</x:v>
      </x:c>
      <x:c r="C171" s="6" t="str">
        <x:v>2025.11.09</x:v>
      </x:c>
      <x:c r="D171" s="6" t="n">
        <x:v>43</x:v>
      </x:c>
      <x:c r="E171" s="6" t="n">
        <x:v>42.71</x:v>
      </x:c>
      <x:c r="F171" s="6" t="n">
        <x:v>10068</x:v>
      </x:c>
      <x:c r="G171" s="6" t="n">
        <x:v>45</x:v>
      </x:c>
      <x:c r="H171" s="8" t="n">
        <x:v>0.0444</x:v>
      </x:c>
      <x:c r="I171" s="6" t="str">
        <x:v>106124861217</x:v>
      </x:c>
      <x:c r="J171" s="6" t="str">
        <x:v>https://cd.lianjia.com/chengjiao/106124861217.html</x:v>
      </x:c>
    </x:row>
    <x:row r="172" ht="22" customHeight="1">
      <x:c r="A172" s="6" t="str">
        <x:v>合江亭</x:v>
      </x:c>
      <x:c r="B172" s="6" t="str">
        <x:v>美丽合江</x:v>
      </x:c>
      <x:c r="C172" s="6" t="str">
        <x:v>2025.11.09</x:v>
      </x:c>
      <x:c r="D172" s="6" t="n">
        <x:v>108.2</x:v>
      </x:c>
      <x:c r="E172" s="6" t="n">
        <x:v>52.38</x:v>
      </x:c>
      <x:c r="F172" s="6" t="n">
        <x:v>20657</x:v>
      </x:c>
      <x:c r="G172" s="6" t="n">
        <x:v>118</x:v>
      </x:c>
      <x:c r="H172" s="8" t="n">
        <x:v>0.08310000000000001</x:v>
      </x:c>
      <x:c r="I172" s="6" t="str">
        <x:v>106124481456</x:v>
      </x:c>
      <x:c r="J172" s="6" t="str">
        <x:v>https://cd.lianjia.com/chengjiao/106124481456.html</x:v>
      </x:c>
    </x:row>
    <x:row r="173" ht="22" customHeight="1">
      <x:c r="A173" s="6" t="str">
        <x:v>合江亭</x:v>
      </x:c>
      <x:c r="B173" s="6" t="str">
        <x:v>锦上花</x:v>
      </x:c>
      <x:c r="C173" s="6" t="str">
        <x:v>2025.11.07</x:v>
      </x:c>
      <x:c r="D173" s="6" t="n">
        <x:v>76.3</x:v>
      </x:c>
      <x:c r="E173" s="6" t="n">
        <x:v>46.57</x:v>
      </x:c>
      <x:c r="F173" s="6" t="n">
        <x:v>16384</x:v>
      </x:c>
      <x:c r="G173" s="6" t="n">
        <x:v>83</x:v>
      </x:c>
      <x:c r="H173" s="8" t="n">
        <x:v>0.08070000000000001</x:v>
      </x:c>
      <x:c r="I173" s="6" t="str">
        <x:v>106116965768</x:v>
      </x:c>
      <x:c r="J173" s="6" t="str">
        <x:v>https://cd.lianjia.com/chengjiao/106116965768.html</x:v>
      </x:c>
    </x:row>
    <x:row r="174" ht="22" customHeight="1">
      <x:c r="A174" s="6" t="str">
        <x:v>西南财大</x:v>
      </x:c>
      <x:c r="B174" s="6" t="str">
        <x:v>中华家园东区</x:v>
      </x:c>
      <x:c r="C174" s="6" t="str">
        <x:v>2025.11.05</x:v>
      </x:c>
      <x:c r="D174" s="6" t="n">
        <x:v>50.8</x:v>
      </x:c>
      <x:c r="E174" s="6" t="n">
        <x:v>47.04</x:v>
      </x:c>
      <x:c r="F174" s="6" t="n">
        <x:v>10800</x:v>
      </x:c>
      <x:c r="G174" s="6" t="n">
        <x:v>52</x:v>
      </x:c>
      <x:c r="H174" s="8" t="n">
        <x:v>0.0231</x:v>
      </x:c>
      <x:c r="I174" s="6" t="str">
        <x:v>106121620087</x:v>
      </x:c>
      <x:c r="J174" s="6" t="str">
        <x:v>https://cd.lianjia.com/chengjiao/106121620087.html</x:v>
      </x:c>
    </x:row>
    <x:row r="175" ht="22" customHeight="1">
      <x:c r="A175" s="6" t="str">
        <x:v>川大</x:v>
      </x:c>
      <x:c r="B175" s="6" t="str">
        <x:v>蓝色加勒比广场</x:v>
      </x:c>
      <x:c r="C175" s="6" t="str">
        <x:v>2025.11.03</x:v>
      </x:c>
      <x:c r="D175" s="6" t="n">
        <x:v>38.5</x:v>
      </x:c>
      <x:c r="E175" s="6" t="n">
        <x:v>32.6</x:v>
      </x:c>
      <x:c r="F175" s="6" t="n">
        <x:v>11810</x:v>
      </x:c>
      <x:c r="G175" s="6" t="n">
        <x:v>40</x:v>
      </x:c>
      <x:c r="H175" s="8" t="n">
        <x:v>0.0375</x:v>
      </x:c>
      <x:c r="I175" s="6" t="str">
        <x:v>106125101149</x:v>
      </x:c>
      <x:c r="J175" s="6" t="str">
        <x:v>https://cd.lianjia.com/chengjiao/106125101149.html</x:v>
      </x:c>
    </x:row>
    <x:row r="176" ht="22" customHeight="1">
      <x:c r="A176" s="6" t="str">
        <x:v>棕北</x:v>
      </x:c>
      <x:c r="B176" s="6" t="str">
        <x:v>花样年华梦想家</x:v>
      </x:c>
      <x:c r="C176" s="6" t="str">
        <x:v>2025.11.03</x:v>
      </x:c>
      <x:c r="D176" s="6" t="n">
        <x:v>45</x:v>
      </x:c>
      <x:c r="E176" s="6" t="n">
        <x:v>42.17</x:v>
      </x:c>
      <x:c r="F176" s="6" t="n">
        <x:v>10672</x:v>
      </x:c>
      <x:c r="G176" s="6" t="n">
        <x:v>46</x:v>
      </x:c>
      <x:c r="H176" s="8" t="n">
        <x:v>0.0217</x:v>
      </x:c>
      <x:c r="I176" s="6" t="str">
        <x:v>106123848641</x:v>
      </x:c>
      <x:c r="J176" s="6" t="str">
        <x:v>https://cd.lianjia.com/chengjiao/106123848641.html</x:v>
      </x:c>
    </x:row>
    <x:row r="177" ht="22" customHeight="1">
      <x:c r="A177" s="6" t="str">
        <x:v>棕北</x:v>
      </x:c>
      <x:c r="B177" s="6" t="str">
        <x:v>新棕北</x:v>
      </x:c>
      <x:c r="C177" s="6" t="str">
        <x:v>2025.11.02</x:v>
      </x:c>
      <x:c r="D177" s="6" t="n">
        <x:v>54.6</x:v>
      </x:c>
      <x:c r="E177" s="6" t="n">
        <x:v>61.49</x:v>
      </x:c>
      <x:c r="F177" s="6" t="n">
        <x:v>8880</x:v>
      </x:c>
      <x:c r="G177" s="6" t="n">
        <x:v>58</x:v>
      </x:c>
      <x:c r="H177" s="8" t="n">
        <x:v>0.058600000000000006</x:v>
      </x:c>
      <x:c r="I177" s="6" t="str">
        <x:v>106125097441</x:v>
      </x:c>
      <x:c r="J177" s="6" t="str">
        <x:v>https://cd.lianjia.com/chengjiao/106125097441.html</x:v>
      </x:c>
    </x:row>
    <x:row r="178" ht="22" customHeight="1">
      <x:c r="A178" s="6" t="str">
        <x:v>盐市口</x:v>
      </x:c>
      <x:c r="B178" s="6" t="str">
        <x:v>缤舍</x:v>
      </x:c>
      <x:c r="C178" s="6" t="str">
        <x:v>2025.11.01</x:v>
      </x:c>
      <x:c r="D178" s="6" t="n">
        <x:v>85</x:v>
      </x:c>
      <x:c r="E178" s="6" t="n">
        <x:v>59.04</x:v>
      </x:c>
      <x:c r="F178" s="6" t="n">
        <x:v>14398</x:v>
      </x:c>
      <x:c r="G178" s="6" t="n">
        <x:v>94</x:v>
      </x:c>
      <x:c r="H178" s="8" t="n">
        <x:v>0.09570000000000001</x:v>
      </x:c>
      <x:c r="I178" s="6" t="str">
        <x:v>106124777616</x:v>
      </x:c>
      <x:c r="J178" s="6" t="str">
        <x:v>https://cd.lianjia.com/chengjiao/106124777616.html</x:v>
      </x:c>
    </x:row>
    <x:row r="179" ht="22" customHeight="1">
      <x:c r="A179" s="6" t="str">
        <x:v>华西</x:v>
      </x:c>
      <x:c r="B179" s="6" t="str">
        <x:v>艺墅花乡</x:v>
      </x:c>
      <x:c r="C179" s="6" t="str">
        <x:v>2025.10.31</x:v>
      </x:c>
      <x:c r="D179" s="6" t="n">
        <x:v>49</x:v>
      </x:c>
      <x:c r="E179" s="6" t="n">
        <x:v>48.01</x:v>
      </x:c>
      <x:c r="F179" s="6" t="n">
        <x:v>10207</x:v>
      </x:c>
      <x:c r="G179" s="6" t="n">
        <x:v>51.6</x:v>
      </x:c>
      <x:c r="H179" s="8" t="n">
        <x:v>0.0504</x:v>
      </x:c>
      <x:c r="I179" s="6" t="str">
        <x:v>106122920365</x:v>
      </x:c>
      <x:c r="J179" s="6" t="str">
        <x:v>https://cd.lianjia.com/chengjiao/106122920365.html</x:v>
      </x:c>
    </x:row>
    <x:row r="180" ht="22" customHeight="1">
      <x:c r="A180" s="6" t="str">
        <x:v>盐市口</x:v>
      </x:c>
      <x:c r="B180" s="6" t="str">
        <x:v>世代锦江商务楼</x:v>
      </x:c>
      <x:c r="C180" s="6" t="str">
        <x:v>2025.10.31</x:v>
      </x:c>
      <x:c r="D180" s="6" t="n">
        <x:v>114.8</x:v>
      </x:c>
      <x:c r="E180" s="6" t="n">
        <x:v>43.78</x:v>
      </x:c>
      <x:c r="F180" s="6" t="n">
        <x:v>26223</x:v>
      </x:c>
      <x:c r="G180" s="6" t="n">
        <x:v>120</x:v>
      </x:c>
      <x:c r="H180" s="8" t="n">
        <x:v>0.0433</x:v>
      </x:c>
      <x:c r="I180" s="6" t="str">
        <x:v>106124909118</x:v>
      </x:c>
      <x:c r="J180" s="6" t="str">
        <x:v>https://cd.lianjia.com/chengjiao/106124909118.html</x:v>
      </x:c>
    </x:row>
    <x:row r="181" ht="22" customHeight="1">
      <x:c r="A181" s="6" t="str">
        <x:v>华西</x:v>
      </x:c>
      <x:c r="B181" s="6" t="str">
        <x:v>黉门公馆</x:v>
      </x:c>
      <x:c r="C181" s="6" t="str">
        <x:v>2025.10.29</x:v>
      </x:c>
      <x:c r="D181" s="6" t="n">
        <x:v>83</x:v>
      </x:c>
      <x:c r="E181" s="6" t="n">
        <x:v>54.97</x:v>
      </x:c>
      <x:c r="F181" s="6" t="n">
        <x:v>15100</x:v>
      </x:c>
      <x:c r="G181" s="6" t="n">
        <x:v>88</x:v>
      </x:c>
      <x:c r="H181" s="8" t="n">
        <x:v>0.056799999999999996</x:v>
      </x:c>
      <x:c r="I181" s="6" t="str">
        <x:v>106124237931</x:v>
      </x:c>
      <x:c r="J181" s="6" t="str">
        <x:v>https://cd.lianjia.com/chengjiao/106124237931.html</x:v>
      </x:c>
    </x:row>
    <x:row r="182" ht="22" customHeight="1">
      <x:c r="A182" s="6" t="str">
        <x:v>华西</x:v>
      </x:c>
      <x:c r="B182" s="6" t="str">
        <x:v>黉门公馆</x:v>
      </x:c>
      <x:c r="C182" s="6" t="str">
        <x:v>2025.10.28</x:v>
      </x:c>
      <x:c r="D182" s="6" t="n">
        <x:v>88</x:v>
      </x:c>
      <x:c r="E182" s="6" t="n">
        <x:v>54.51</x:v>
      </x:c>
      <x:c r="F182" s="6" t="n">
        <x:v>16144</x:v>
      </x:c>
      <x:c r="G182" s="6" t="n">
        <x:v>92</x:v>
      </x:c>
      <x:c r="H182" s="8" t="n">
        <x:v>0.0435</x:v>
      </x:c>
      <x:c r="I182" s="6" t="str">
        <x:v>106125137113</x:v>
      </x:c>
      <x:c r="J182" s="6" t="str">
        <x:v>https://cd.lianjia.com/chengjiao/106125137113.html</x:v>
      </x:c>
    </x:row>
    <x:row r="183" ht="22" customHeight="1">
      <x:c r="A183" s="6" t="str">
        <x:v>玉林</x:v>
      </x:c>
      <x:c r="B183" s="6" t="str">
        <x:v>华宇蓉国府</x:v>
      </x:c>
      <x:c r="C183" s="6" t="str">
        <x:v>2025.10.19</x:v>
      </x:c>
      <x:c r="D183" s="6" t="n">
        <x:v>117.5</x:v>
      </x:c>
      <x:c r="E183" s="6" t="n">
        <x:v>55.14</x:v>
      </x:c>
      <x:c r="F183" s="6" t="n">
        <x:v>21310</x:v>
      </x:c>
      <x:c r="G183" s="6" t="n">
        <x:v>120</x:v>
      </x:c>
      <x:c r="H183" s="8" t="n">
        <x:v>0.0208</x:v>
      </x:c>
      <x:c r="I183" s="6" t="str">
        <x:v>106124238095</x:v>
      </x:c>
      <x:c r="J183" s="6" t="str">
        <x:v>https://cd.lianjia.com/chengjiao/106124238095.html</x:v>
      </x:c>
    </x:row>
    <x:row r="184" ht="22" customHeight="1">
      <x:c r="A184" s="6" t="str">
        <x:v>西南财大</x:v>
      </x:c>
      <x:c r="B184" s="6" t="str">
        <x:v>仁和时代春天广场</x:v>
      </x:c>
      <x:c r="C184" s="6" t="str">
        <x:v>2025.10.19</x:v>
      </x:c>
      <x:c r="D184" s="6" t="n">
        <x:v>50</x:v>
      </x:c>
      <x:c r="E184" s="6" t="n">
        <x:v>49.35</x:v>
      </x:c>
      <x:c r="F184" s="6" t="n">
        <x:v>10132</x:v>
      </x:c>
      <x:c r="G184" s="6" t="n">
        <x:v>57</x:v>
      </x:c>
      <x:c r="H184" s="8" t="n">
        <x:v>0.12279999999999999</x:v>
      </x:c>
      <x:c r="I184" s="6" t="str">
        <x:v>106118752870</x:v>
      </x:c>
      <x:c r="J184" s="6" t="str">
        <x:v>https://cd.lianjia.com/chengjiao/106118752870.html</x:v>
      </x:c>
    </x:row>
    <x:row r="185" ht="22" customHeight="1">
      <x:c r="A185" s="6" t="str">
        <x:v>川大</x:v>
      </x:c>
      <x:c r="B185" s="6" t="str">
        <x:v>樱花假日</x:v>
      </x:c>
      <x:c r="C185" s="6" t="str">
        <x:v>2025.10.18</x:v>
      </x:c>
      <x:c r="D185" s="6" t="n">
        <x:v>42</x:v>
      </x:c>
      <x:c r="E185" s="6" t="n">
        <x:v>27.94</x:v>
      </x:c>
      <x:c r="F185" s="6" t="n">
        <x:v>15033</x:v>
      </x:c>
      <x:c r="G185" s="6" t="n">
        <x:v>43.8</x:v>
      </x:c>
      <x:c r="H185" s="8" t="n">
        <x:v>0.041100000000000005</x:v>
      </x:c>
      <x:c r="I185" s="6" t="str">
        <x:v>106124584979</x:v>
      </x:c>
      <x:c r="J185" s="6" t="str">
        <x:v>https://cd.lianjia.com/chengjiao/106124584979.html</x:v>
      </x:c>
    </x:row>
    <x:row r="186" ht="22" customHeight="1">
      <x:c r="A186" s="6" t="str">
        <x:v>盐市口</x:v>
      </x:c>
      <x:c r="B186" s="6" t="str">
        <x:v>世代锦江商务楼</x:v>
      </x:c>
      <x:c r="C186" s="6" t="str">
        <x:v>2025.10.01</x:v>
      </x:c>
      <x:c r="D186" s="6" t="n">
        <x:v>116.8</x:v>
      </x:c>
      <x:c r="E186" s="6" t="n">
        <x:v>41.02</x:v>
      </x:c>
      <x:c r="F186" s="6" t="n">
        <x:v>28474</x:v>
      </x:c>
      <x:c r="G186" s="6" t="n">
        <x:v>120</x:v>
      </x:c>
      <x:c r="H186" s="8" t="n">
        <x:v>0.026699999999999998</x:v>
      </x:c>
      <x:c r="I186" s="6" t="str">
        <x:v>106124762466</x:v>
      </x:c>
      <x:c r="J186" s="6" t="str">
        <x:v>https://cd.lianjia.com/chengjiao/106124762466.html</x:v>
      </x:c>
    </x:row>
    <x:row r="187" ht="22" customHeight="1">
      <x:c r="A187" s="6" t="str">
        <x:v>棕北</x:v>
      </x:c>
      <x:c r="B187" s="6" t="str">
        <x:v>花样年华梦想家</x:v>
      </x:c>
      <x:c r="C187" s="6" t="str">
        <x:v>2025.09.30</x:v>
      </x:c>
      <x:c r="D187" s="6" t="n">
        <x:v>40.5</x:v>
      </x:c>
      <x:c r="E187" s="6" t="n">
        <x:v>36.75</x:v>
      </x:c>
      <x:c r="F187" s="6" t="n">
        <x:v>11021</x:v>
      </x:c>
      <x:c r="G187" s="6" t="n">
        <x:v>42</x:v>
      </x:c>
      <x:c r="H187" s="8" t="n">
        <x:v>0.035699999999999996</x:v>
      </x:c>
      <x:c r="I187" s="6" t="str">
        <x:v>106109005234</x:v>
      </x:c>
      <x:c r="J187" s="6" t="str">
        <x:v>https://cd.lianjia.com/chengjiao/106109005234.html</x:v>
      </x:c>
    </x:row>
    <x:row r="188" ht="22" customHeight="1">
      <x:c r="A188" s="6" t="str">
        <x:v>合江亭</x:v>
      </x:c>
      <x:c r="B188" s="6" t="str">
        <x:v>国际商务大厦</x:v>
      </x:c>
      <x:c r="C188" s="6" t="str">
        <x:v>2025.09.25</x:v>
      </x:c>
      <x:c r="D188" s="6" t="n">
        <x:v>97.5</x:v>
      </x:c>
      <x:c r="E188" s="6" t="n">
        <x:v>47.94</x:v>
      </x:c>
      <x:c r="F188" s="6" t="n">
        <x:v>20338</x:v>
      </x:c>
      <x:c r="G188" s="6" t="n">
        <x:v>105</x:v>
      </x:c>
      <x:c r="H188" s="8" t="n">
        <x:v>0.07139999999999999</x:v>
      </x:c>
      <x:c r="I188" s="6" t="str">
        <x:v>106123950450</x:v>
      </x:c>
      <x:c r="J188" s="6" t="str">
        <x:v>https://cd.lianjia.com/chengjiao/106123950450.html</x:v>
      </x:c>
    </x:row>
    <x:row r="189" ht="22" customHeight="1">
      <x:c r="A189" s="6" t="str">
        <x:v>华西</x:v>
      </x:c>
      <x:c r="B189" s="6" t="str">
        <x:v>米兰风度花园</x:v>
      </x:c>
      <x:c r="C189" s="6" t="str">
        <x:v>2025.09.14</x:v>
      </x:c>
      <x:c r="D189" s="6" t="n">
        <x:v>77</x:v>
      </x:c>
      <x:c r="E189" s="6" t="n">
        <x:v>56.62</x:v>
      </x:c>
      <x:c r="F189" s="6" t="n">
        <x:v>13600</x:v>
      </x:c>
      <x:c r="G189" s="6" t="n">
        <x:v>77</x:v>
      </x:c>
      <x:c r="H189" s="8" t="n">
        <x:v>0</x:v>
      </x:c>
      <x:c r="I189" s="6" t="str">
        <x:v>106124510941</x:v>
      </x:c>
      <x:c r="J189" s="6" t="str">
        <x:v>https://cd.lianjia.com/chengjiao/106124510941.html</x:v>
      </x:c>
    </x:row>
    <x:row r="190" ht="22" customHeight="1">
      <x:c r="A190" s="6" t="str">
        <x:v>西南财大</x:v>
      </x:c>
      <x:c r="B190" s="6" t="str">
        <x:v>水木光华</x:v>
      </x:c>
      <x:c r="C190" s="6" t="str">
        <x:v>2025.09.13</x:v>
      </x:c>
      <x:c r="D190" s="6" t="n">
        <x:v>40.5</x:v>
      </x:c>
      <x:c r="E190" s="6" t="n">
        <x:v>38.05</x:v>
      </x:c>
      <x:c r="F190" s="6" t="n">
        <x:v>10644</x:v>
      </x:c>
      <x:c r="G190" s="6" t="n">
        <x:v>40.5</x:v>
      </x:c>
      <x:c r="H190" s="8" t="n">
        <x:v>0</x:v>
      </x:c>
      <x:c r="I190" s="6" t="str">
        <x:v>106124373166</x:v>
      </x:c>
      <x:c r="J190" s="6" t="str">
        <x:v>https://cd.lianjia.com/chengjiao/106124373166.html</x:v>
      </x:c>
    </x:row>
    <x:row r="191" ht="22" customHeight="1">
      <x:c r="A191" s="6" t="str">
        <x:v>川音</x:v>
      </x:c>
      <x:c r="B191" s="6" t="str">
        <x:v>林荫嘉园</x:v>
      </x:c>
      <x:c r="C191" s="6" t="str">
        <x:v>2025.09.08</x:v>
      </x:c>
      <x:c r="D191" s="6" t="n">
        <x:v>67.5</x:v>
      </x:c>
      <x:c r="E191" s="6" t="n">
        <x:v>48.44</x:v>
      </x:c>
      <x:c r="F191" s="6" t="n">
        <x:v>13935</x:v>
      </x:c>
      <x:c r="G191" s="6" t="n">
        <x:v>73</x:v>
      </x:c>
      <x:c r="H191" s="8" t="n">
        <x:v>0.0753</x:v>
      </x:c>
      <x:c r="I191" s="6" t="str">
        <x:v>106123993169</x:v>
      </x:c>
      <x:c r="J191" s="6" t="str">
        <x:v>https://cd.lianjia.com/chengjiao/106123993169.html</x:v>
      </x:c>
    </x:row>
    <x:row r="192" ht="22" customHeight="1">
      <x:c r="A192" s="6" t="str">
        <x:v>西南财大</x:v>
      </x:c>
      <x:c r="B192" s="6" t="str">
        <x:v>水木光华</x:v>
      </x:c>
      <x:c r="C192" s="6" t="str">
        <x:v>2025.09.07</x:v>
      </x:c>
      <x:c r="D192" s="6" t="n">
        <x:v>55</x:v>
      </x:c>
      <x:c r="E192" s="6" t="n">
        <x:v>51.3</x:v>
      </x:c>
      <x:c r="F192" s="6" t="n">
        <x:v>10722</x:v>
      </x:c>
      <x:c r="G192" s="6" t="n">
        <x:v>56.8</x:v>
      </x:c>
      <x:c r="H192" s="8" t="n">
        <x:v>0.0317</x:v>
      </x:c>
      <x:c r="I192" s="6" t="str">
        <x:v>106124453714</x:v>
      </x:c>
      <x:c r="J192" s="6" t="str">
        <x:v>https://cd.lianjia.com/chengjiao/106124453714.html</x:v>
      </x:c>
    </x:row>
    <x:row r="193" ht="22" customHeight="1">
      <x:c r="A193" s="6" t="str">
        <x:v>西南财大</x:v>
      </x:c>
      <x:c r="B193" s="6" t="str">
        <x:v>金沙时代城</x:v>
      </x:c>
      <x:c r="C193" s="6" t="str">
        <x:v>2025.09.07</x:v>
      </x:c>
      <x:c r="D193" s="6" t="n">
        <x:v>30</x:v>
      </x:c>
      <x:c r="E193" s="6" t="n">
        <x:v>46.67</x:v>
      </x:c>
      <x:c r="F193" s="6" t="n">
        <x:v>6429</x:v>
      </x:c>
      <x:c r="G193" s="6" t="n">
        <x:v>35</x:v>
      </x:c>
      <x:c r="H193" s="8" t="n">
        <x:v>0.1429</x:v>
      </x:c>
      <x:c r="I193" s="6" t="str">
        <x:v>106124419805</x:v>
      </x:c>
      <x:c r="J193" s="6" t="str">
        <x:v>https://cd.lianjia.com/chengjiao/106124419805.html</x:v>
      </x:c>
    </x:row>
    <x:row r="194" ht="22" customHeight="1">
      <x:c r="A194" s="6" t="str">
        <x:v>合江亭</x:v>
      </x:c>
      <x:c r="B194" s="6" t="str">
        <x:v>国际商务大厦</x:v>
      </x:c>
      <x:c r="C194" s="6" t="str">
        <x:v>2025.08.30</x:v>
      </x:c>
      <x:c r="D194" s="6" t="n">
        <x:v>99.5</x:v>
      </x:c>
      <x:c r="E194" s="6" t="n">
        <x:v>41.16</x:v>
      </x:c>
      <x:c r="F194" s="6" t="n">
        <x:v>24174</x:v>
      </x:c>
      <x:c r="G194" s="6" t="n">
        <x:v>103</x:v>
      </x:c>
      <x:c r="H194" s="8" t="n">
        <x:v>0.034</x:v>
      </x:c>
      <x:c r="I194" s="6" t="str">
        <x:v>106123682402</x:v>
      </x:c>
      <x:c r="J194" s="6" t="str">
        <x:v>https://cd.lianjia.com/chengjiao/106123682402.html</x:v>
      </x:c>
    </x:row>
    <x:row r="195" ht="22" customHeight="1">
      <x:c r="A195" s="6" t="str">
        <x:v>西南财大</x:v>
      </x:c>
      <x:c r="B195" s="6" t="str">
        <x:v>水木光华</x:v>
      </x:c>
      <x:c r="C195" s="6" t="str">
        <x:v>2025.08.17</x:v>
      </x:c>
      <x:c r="D195" s="6" t="n">
        <x:v>52.5</x:v>
      </x:c>
      <x:c r="E195" s="6" t="n">
        <x:v>45.91</x:v>
      </x:c>
      <x:c r="F195" s="6" t="n">
        <x:v>11436</x:v>
      </x:c>
      <x:c r="G195" s="6" t="n">
        <x:v>55</x:v>
      </x:c>
      <x:c r="H195" s="8" t="n">
        <x:v>0.0455</x:v>
      </x:c>
      <x:c r="I195" s="6" t="str">
        <x:v>106122207709</x:v>
      </x:c>
      <x:c r="J195" s="6" t="str">
        <x:v>https://cd.lianjia.com/chengjiao/106122207709.html</x:v>
      </x:c>
    </x:row>
    <x:row r="196" ht="22" customHeight="1">
      <x:c r="A196" s="6" t="str">
        <x:v>玉林</x:v>
      </x:c>
      <x:c r="B196" s="6" t="str">
        <x:v>华宇蓉国府</x:v>
      </x:c>
      <x:c r="C196" s="6" t="str">
        <x:v>2025.08.14</x:v>
      </x:c>
      <x:c r="D196" s="6" t="n">
        <x:v>105.5</x:v>
      </x:c>
      <x:c r="E196" s="6" t="n">
        <x:v>55.14</x:v>
      </x:c>
      <x:c r="F196" s="6" t="n">
        <x:v>19134</x:v>
      </x:c>
      <x:c r="G196" s="6" t="n">
        <x:v>110</x:v>
      </x:c>
      <x:c r="H196" s="8" t="n">
        <x:v>0.0409</x:v>
      </x:c>
      <x:c r="I196" s="6" t="str">
        <x:v>106123328197</x:v>
      </x:c>
      <x:c r="J196" s="6" t="str">
        <x:v>https://cd.lianjia.com/chengjiao/106123328197.html</x:v>
      </x:c>
    </x:row>
    <x:row r="197" ht="22" customHeight="1">
      <x:c r="A197" s="6" t="str">
        <x:v>盐市口</x:v>
      </x:c>
      <x:c r="B197" s="6" t="str">
        <x:v>阳光365</x:v>
      </x:c>
      <x:c r="C197" s="6" t="str">
        <x:v>2025.08.13</x:v>
      </x:c>
      <x:c r="D197" s="6" t="n">
        <x:v>96.5</x:v>
      </x:c>
      <x:c r="E197" s="6" t="n">
        <x:v>33.11</x:v>
      </x:c>
      <x:c r="F197" s="6" t="n">
        <x:v>29146</x:v>
      </x:c>
      <x:c r="G197" s="6" t="n">
        <x:v>100</x:v>
      </x:c>
      <x:c r="H197" s="8" t="n">
        <x:v>0.035</x:v>
      </x:c>
      <x:c r="I197" s="6" t="str">
        <x:v>106122286719</x:v>
      </x:c>
      <x:c r="J197" s="6" t="str">
        <x:v>https://cd.lianjia.com/chengjiao/106122286719.html</x:v>
      </x:c>
    </x:row>
    <x:row r="198" ht="22" customHeight="1">
      <x:c r="A198" s="6" t="str">
        <x:v>川音</x:v>
      </x:c>
      <x:c r="B198" s="6" t="str">
        <x:v>时代100</x:v>
      </x:c>
      <x:c r="C198" s="6" t="str">
        <x:v>2025.08.10</x:v>
      </x:c>
      <x:c r="D198" s="6" t="n">
        <x:v>62.7</x:v>
      </x:c>
      <x:c r="E198" s="6" t="n">
        <x:v>42.12</x:v>
      </x:c>
      <x:c r="F198" s="6" t="n">
        <x:v>14887</x:v>
      </x:c>
      <x:c r="G198" s="6" t="n">
        <x:v>65</x:v>
      </x:c>
      <x:c r="H198" s="8" t="n">
        <x:v>0.0354</x:v>
      </x:c>
      <x:c r="I198" s="6" t="str">
        <x:v>106123081001</x:v>
      </x:c>
      <x:c r="J198" s="6" t="str">
        <x:v>https://cd.lianjia.com/chengjiao/106123081001.html</x:v>
      </x:c>
    </x:row>
    <x:row r="199" ht="22" customHeight="1">
      <x:c r="A199" s="6" t="str">
        <x:v>玉林</x:v>
      </x:c>
      <x:c r="B199" s="6" t="str">
        <x:v>都市金岸</x:v>
      </x:c>
      <x:c r="C199" s="6" t="str">
        <x:v>2025.08.07</x:v>
      </x:c>
      <x:c r="D199" s="6" t="n">
        <x:v>59.4</x:v>
      </x:c>
      <x:c r="E199" s="6" t="n">
        <x:v>39.29</x:v>
      </x:c>
      <x:c r="F199" s="6" t="n">
        <x:v>15106</x:v>
      </x:c>
      <x:c r="G199" s="6" t="n">
        <x:v>65</x:v>
      </x:c>
      <x:c r="H199" s="8" t="n">
        <x:v>0.0862</x:v>
      </x:c>
      <x:c r="I199" s="6" t="str">
        <x:v>106123748279</x:v>
      </x:c>
      <x:c r="J199" s="6" t="str">
        <x:v>https://cd.lianjia.com/chengjiao/106123748279.html</x:v>
      </x:c>
    </x:row>
    <x:row r="200" ht="22" customHeight="1">
      <x:c r="A200" s="6" t="str">
        <x:v>川音</x:v>
      </x:c>
      <x:c r="B200" s="6" t="str">
        <x:v>凯悦新城</x:v>
      </x:c>
      <x:c r="C200" s="6" t="str">
        <x:v>2025.08.03</x:v>
      </x:c>
      <x:c r="D200" s="6" t="n">
        <x:v>52.7</x:v>
      </x:c>
      <x:c r="E200" s="6" t="n">
        <x:v>41.79</x:v>
      </x:c>
      <x:c r="F200" s="6" t="n">
        <x:v>12611</x:v>
      </x:c>
      <x:c r="G200" s="6" t="n">
        <x:v>56</x:v>
      </x:c>
      <x:c r="H200" s="8" t="n">
        <x:v>0.058899999999999994</x:v>
      </x:c>
      <x:c r="I200" s="6" t="str">
        <x:v>106123341598</x:v>
      </x:c>
      <x:c r="J200" s="6" t="str">
        <x:v>https://cd.lianjia.com/chengjiao/106123341598.html</x:v>
      </x:c>
    </x:row>
    <x:row r="201" ht="22" customHeight="1">
      <x:c r="A201" s="6" t="str">
        <x:v>盐市口</x:v>
      </x:c>
      <x:c r="B201" s="6" t="str">
        <x:v>阳光365</x:v>
      </x:c>
      <x:c r="C201" s="6" t="str">
        <x:v>2025.08.01</x:v>
      </x:c>
      <x:c r="D201" s="6" t="n">
        <x:v>112</x:v>
      </x:c>
      <x:c r="E201" s="6" t="n">
        <x:v>33.11</x:v>
      </x:c>
      <x:c r="F201" s="6" t="n">
        <x:v>33827</x:v>
      </x:c>
      <x:c r="G201" s="6" t="n">
        <x:v>120</x:v>
      </x:c>
      <x:c r="H201" s="8" t="n">
        <x:v>0.0667</x:v>
      </x:c>
      <x:c r="I201" s="6" t="str">
        <x:v>106123929489</x:v>
      </x:c>
      <x:c r="J201" s="6" t="str">
        <x:v>https://cd.lianjia.com/chengjiao/106123929489.html</x:v>
      </x:c>
    </x:row>
    <x:row r="202" ht="22" customHeight="1">
      <x:c r="A202" s="6" t="str">
        <x:v>盐市口</x:v>
      </x:c>
      <x:c r="B202" s="6" t="str">
        <x:v>世代锦江商务楼</x:v>
      </x:c>
      <x:c r="C202" s="6" t="str">
        <x:v>2025.07.27</x:v>
      </x:c>
      <x:c r="D202" s="6" t="n">
        <x:v>115.8</x:v>
      </x:c>
      <x:c r="E202" s="6" t="n">
        <x:v>45.72</x:v>
      </x:c>
      <x:c r="F202" s="6" t="n">
        <x:v>25329</x:v>
      </x:c>
      <x:c r="G202" s="6" t="n">
        <x:v>116</x:v>
      </x:c>
      <x:c r="H202" s="8" t="n">
        <x:v>0.0017000000000000001</x:v>
      </x:c>
      <x:c r="I202" s="6" t="str">
        <x:v>106123785461</x:v>
      </x:c>
      <x:c r="J202" s="6" t="str">
        <x:v>https://cd.lianjia.com/chengjiao/106123785461.html</x:v>
      </x:c>
    </x:row>
    <x:row r="203" ht="22" customHeight="1">
      <x:c r="A203" s="6" t="str">
        <x:v>盐市口</x:v>
      </x:c>
      <x:c r="B203" s="6" t="str">
        <x:v>阳光365</x:v>
      </x:c>
      <x:c r="C203" s="6" t="str">
        <x:v>2025.07.25</x:v>
      </x:c>
      <x:c r="D203" s="6" t="n">
        <x:v>109</x:v>
      </x:c>
      <x:c r="E203" s="6" t="n">
        <x:v>33.11</x:v>
      </x:c>
      <x:c r="F203" s="6" t="n">
        <x:v>32921</x:v>
      </x:c>
      <x:c r="G203" s="6" t="n">
        <x:v>113</x:v>
      </x:c>
      <x:c r="H203" s="8" t="n">
        <x:v>0.0354</x:v>
      </x:c>
      <x:c r="I203" s="6" t="str">
        <x:v>106121714011</x:v>
      </x:c>
      <x:c r="J203" s="6" t="str">
        <x:v>https://cd.lianjia.com/chengjiao/106121714011.html</x:v>
      </x:c>
    </x:row>
    <x:row r="204" ht="22" customHeight="1">
      <x:c r="A204" s="6" t="str">
        <x:v>盐市口</x:v>
      </x:c>
      <x:c r="B204" s="6" t="str">
        <x:v>世代锦江商务楼</x:v>
      </x:c>
      <x:c r="C204" s="6" t="str">
        <x:v>2025.07.24</x:v>
      </x:c>
      <x:c r="D204" s="6" t="n">
        <x:v>114.9</x:v>
      </x:c>
      <x:c r="E204" s="6" t="n">
        <x:v>43.78</x:v>
      </x:c>
      <x:c r="F204" s="6" t="n">
        <x:v>26245</x:v>
      </x:c>
      <x:c r="G204" s="6" t="n">
        <x:v>115</x:v>
      </x:c>
      <x:c r="H204" s="8" t="n">
        <x:v>0.0009</x:v>
      </x:c>
      <x:c r="I204" s="6" t="str">
        <x:v>106123948860</x:v>
      </x:c>
      <x:c r="J204" s="6" t="str">
        <x:v>https://cd.lianjia.com/chengjiao/106123948860.html</x:v>
      </x:c>
    </x:row>
    <x:row r="205" ht="22" customHeight="1">
      <x:c r="A205" s="6" t="str">
        <x:v>华西</x:v>
      </x:c>
      <x:c r="B205" s="6" t="str">
        <x:v>米兰风度花园</x:v>
      </x:c>
      <x:c r="C205" s="6" t="str">
        <x:v>2025.07.21</x:v>
      </x:c>
      <x:c r="D205" s="6" t="n">
        <x:v>71.3</x:v>
      </x:c>
      <x:c r="E205" s="6" t="n">
        <x:v>58</x:v>
      </x:c>
      <x:c r="F205" s="6" t="n">
        <x:v>12285</x:v>
      </x:c>
      <x:c r="G205" s="6" t="n">
        <x:v>76</x:v>
      </x:c>
      <x:c r="H205" s="8" t="n">
        <x:v>0.061799999999999994</x:v>
      </x:c>
      <x:c r="I205" s="6" t="str">
        <x:v>106123767179</x:v>
      </x:c>
      <x:c r="J205" s="6" t="str">
        <x:v>https://cd.lianjia.com/chengjiao/106123767179.html</x:v>
      </x:c>
    </x:row>
    <x:row r="206" ht="22" customHeight="1">
      <x:c r="A206" s="6" t="str">
        <x:v>川音</x:v>
      </x:c>
      <x:c r="B206" s="6" t="str">
        <x:v>摩卡筑</x:v>
      </x:c>
      <x:c r="C206" s="6" t="str">
        <x:v>2025.07.20</x:v>
      </x:c>
      <x:c r="D206" s="6" t="n">
        <x:v>82.8</x:v>
      </x:c>
      <x:c r="E206" s="6" t="n">
        <x:v>47.75</x:v>
      </x:c>
      <x:c r="F206" s="6" t="n">
        <x:v>17341</x:v>
      </x:c>
      <x:c r="G206" s="6" t="n">
        <x:v>83</x:v>
      </x:c>
      <x:c r="H206" s="8" t="n">
        <x:v>0.0024</x:v>
      </x:c>
      <x:c r="I206" s="6" t="str">
        <x:v>106123608657</x:v>
      </x:c>
      <x:c r="J206" s="6" t="str">
        <x:v>https://cd.lianjia.com/chengjiao/106123608657.html</x:v>
      </x:c>
    </x:row>
    <x:row r="207" ht="22" customHeight="1">
      <x:c r="A207" s="6" t="str">
        <x:v>合江亭</x:v>
      </x:c>
      <x:c r="B207" s="6" t="str">
        <x:v>星城银座</x:v>
      </x:c>
      <x:c r="C207" s="6" t="str">
        <x:v>2025.07.19</x:v>
      </x:c>
      <x:c r="D207" s="6" t="n">
        <x:v>110</x:v>
      </x:c>
      <x:c r="E207" s="6" t="n">
        <x:v>52.66</x:v>
      </x:c>
      <x:c r="F207" s="6" t="n">
        <x:v>20889</x:v>
      </x:c>
      <x:c r="G207" s="6" t="n">
        <x:v>116</x:v>
      </x:c>
      <x:c r="H207" s="8" t="n">
        <x:v>0.051699999999999996</x:v>
      </x:c>
      <x:c r="I207" s="6" t="str">
        <x:v>106117141065</x:v>
      </x:c>
      <x:c r="J207" s="6" t="str">
        <x:v>https://cd.lianjia.com/chengjiao/106117141065.html</x:v>
      </x:c>
    </x:row>
    <x:row r="208" ht="22" customHeight="1">
      <x:c r="A208" s="6" t="str">
        <x:v>玉林</x:v>
      </x:c>
      <x:c r="B208" s="6" t="str">
        <x:v>华宇蓉国府</x:v>
      </x:c>
      <x:c r="C208" s="6" t="str">
        <x:v>2025.07.14</x:v>
      </x:c>
      <x:c r="D208" s="6" t="n">
        <x:v>91</x:v>
      </x:c>
      <x:c r="E208" s="6" t="n">
        <x:v>45.13</x:v>
      </x:c>
      <x:c r="F208" s="6" t="n">
        <x:v>20164</x:v>
      </x:c>
      <x:c r="G208" s="6" t="n">
        <x:v>99</x:v>
      </x:c>
      <x:c r="H208" s="8" t="n">
        <x:v>0.0808</x:v>
      </x:c>
      <x:c r="I208" s="6" t="str">
        <x:v>106123336189</x:v>
      </x:c>
      <x:c r="J208" s="6" t="str">
        <x:v>https://cd.lianjia.com/chengjiao/106123336189.html</x:v>
      </x:c>
    </x:row>
    <x:row r="209" ht="22" customHeight="1">
      <x:c r="A209" s="6" t="str">
        <x:v>棕北</x:v>
      </x:c>
      <x:c r="B209" s="6" t="str">
        <x:v>花样年华梦想家</x:v>
      </x:c>
      <x:c r="C209" s="6" t="str">
        <x:v>2025.07.13</x:v>
      </x:c>
      <x:c r="D209" s="6" t="n">
        <x:v>43.9</x:v>
      </x:c>
      <x:c r="E209" s="6" t="n">
        <x:v>36.75</x:v>
      </x:c>
      <x:c r="F209" s="6" t="n">
        <x:v>11946</x:v>
      </x:c>
      <x:c r="G209" s="6" t="n">
        <x:v>46.5</x:v>
      </x:c>
      <x:c r="H209" s="8" t="n">
        <x:v>0.0559</x:v>
      </x:c>
      <x:c r="I209" s="6" t="str">
        <x:v>106122430626</x:v>
      </x:c>
      <x:c r="J209" s="6" t="str">
        <x:v>https://cd.lianjia.com/chengjiao/106122430626.html</x:v>
      </x:c>
    </x:row>
    <x:row r="210" ht="22" customHeight="1">
      <x:c r="A210" s="6" t="str">
        <x:v>盐市口</x:v>
      </x:c>
      <x:c r="B210" s="6" t="str">
        <x:v>银杏地带</x:v>
      </x:c>
      <x:c r="C210" s="6" t="str">
        <x:v>2025.07.13</x:v>
      </x:c>
      <x:c r="D210" s="6" t="n">
        <x:v>43.8</x:v>
      </x:c>
      <x:c r="E210" s="6" t="n">
        <x:v>45.33</x:v>
      </x:c>
      <x:c r="F210" s="6" t="n">
        <x:v>9663</x:v>
      </x:c>
      <x:c r="G210" s="6" t="n">
        <x:v>46</x:v>
      </x:c>
      <x:c r="H210" s="8" t="n">
        <x:v>0.0478</x:v>
      </x:c>
      <x:c r="I210" s="6" t="str">
        <x:v>106123479577</x:v>
      </x:c>
      <x:c r="J210" s="6" t="str">
        <x:v>https://cd.lianjia.com/chengjiao/106123479577.html</x:v>
      </x:c>
    </x:row>
    <x:row r="211" ht="22" customHeight="1">
      <x:c r="A211" s="6" t="str">
        <x:v>合江亭</x:v>
      </x:c>
      <x:c r="B211" s="6" t="str">
        <x:v>星城银座</x:v>
      </x:c>
      <x:c r="C211" s="6" t="str">
        <x:v>2025.07.13</x:v>
      </x:c>
      <x:c r="D211" s="6" t="n">
        <x:v>95</x:v>
      </x:c>
      <x:c r="E211" s="6" t="n">
        <x:v>36.58</x:v>
      </x:c>
      <x:c r="F211" s="6" t="n">
        <x:v>25971</x:v>
      </x:c>
      <x:c r="G211" s="6" t="n">
        <x:v>98</x:v>
      </x:c>
      <x:c r="H211" s="8" t="n">
        <x:v>0.030600000000000002</x:v>
      </x:c>
      <x:c r="I211" s="6" t="str">
        <x:v>106123793318</x:v>
      </x:c>
      <x:c r="J211" s="6" t="str">
        <x:v>https://cd.lianjia.com/chengjiao/106123793318.html</x:v>
      </x:c>
    </x:row>
    <x:row r="212" ht="22" customHeight="1">
      <x:c r="A212" s="6" t="str">
        <x:v>盐市口</x:v>
      </x:c>
      <x:c r="B212" s="6" t="str">
        <x:v>世代锦江商务楼</x:v>
      </x:c>
      <x:c r="C212" s="6" t="str">
        <x:v>2025.07.11</x:v>
      </x:c>
      <x:c r="D212" s="6" t="n">
        <x:v>115</x:v>
      </x:c>
      <x:c r="E212" s="6" t="n">
        <x:v>43.78</x:v>
      </x:c>
      <x:c r="F212" s="6" t="n">
        <x:v>26268</x:v>
      </x:c>
      <x:c r="G212" s="6" t="n">
        <x:v>115</x:v>
      </x:c>
      <x:c r="H212" s="8" t="n">
        <x:v>0</x:v>
      </x:c>
      <x:c r="I212" s="6" t="str">
        <x:v>106123350955</x:v>
      </x:c>
      <x:c r="J212" s="6" t="str">
        <x:v>https://cd.lianjia.com/chengjiao/106123350955.html</x:v>
      </x:c>
    </x:row>
    <x:row r="213" ht="22" customHeight="1">
      <x:c r="A213" s="6" t="str">
        <x:v>棕北</x:v>
      </x:c>
      <x:c r="B213" s="6" t="str">
        <x:v>花样年华梦想家</x:v>
      </x:c>
      <x:c r="C213" s="6" t="str">
        <x:v>2025.07.10</x:v>
      </x:c>
      <x:c r="D213" s="6" t="n">
        <x:v>50</x:v>
      </x:c>
      <x:c r="E213" s="6" t="n">
        <x:v>51.61</x:v>
      </x:c>
      <x:c r="F213" s="6" t="n">
        <x:v>9689</x:v>
      </x:c>
      <x:c r="G213" s="6" t="n">
        <x:v>52</x:v>
      </x:c>
      <x:c r="H213" s="8" t="n">
        <x:v>0.0385</x:v>
      </x:c>
      <x:c r="I213" s="6" t="str">
        <x:v>106122093074</x:v>
      </x:c>
      <x:c r="J213" s="6" t="str">
        <x:v>https://cd.lianjia.com/chengjiao/106122093074.html</x:v>
      </x:c>
    </x:row>
    <x:row r="214" ht="22" customHeight="1">
      <x:c r="A214" s="6" t="str">
        <x:v>棕北</x:v>
      </x:c>
      <x:c r="B214" s="6" t="str">
        <x:v>花样年华梦想家</x:v>
      </x:c>
      <x:c r="C214" s="6" t="str">
        <x:v>2025.07.10</x:v>
      </x:c>
      <x:c r="D214" s="6" t="n">
        <x:v>50</x:v>
      </x:c>
      <x:c r="E214" s="6" t="n">
        <x:v>51.61</x:v>
      </x:c>
      <x:c r="F214" s="6" t="n">
        <x:v>9689</x:v>
      </x:c>
      <x:c r="G214" s="6" t="n">
        <x:v>52</x:v>
      </x:c>
      <x:c r="H214" s="8" t="n">
        <x:v>0.0385</x:v>
      </x:c>
      <x:c r="I214" s="6" t="str">
        <x:v>106122093023</x:v>
      </x:c>
      <x:c r="J214" s="6" t="str">
        <x:v>https://cd.lianjia.com/chengjiao/106122093023.html</x:v>
      </x:c>
    </x:row>
    <x:row r="215" ht="22" customHeight="1">
      <x:c r="A215" s="6" t="str">
        <x:v>棕北</x:v>
      </x:c>
      <x:c r="B215" s="6" t="str">
        <x:v>花样年华梦想家</x:v>
      </x:c>
      <x:c r="C215" s="6" t="str">
        <x:v>2025.07.10</x:v>
      </x:c>
      <x:c r="D215" s="6" t="n">
        <x:v>50</x:v>
      </x:c>
      <x:c r="E215" s="6" t="n">
        <x:v>51.61</x:v>
      </x:c>
      <x:c r="F215" s="6" t="n">
        <x:v>9689</x:v>
      </x:c>
      <x:c r="G215" s="6" t="n">
        <x:v>52</x:v>
      </x:c>
      <x:c r="H215" s="8" t="n">
        <x:v>0.0385</x:v>
      </x:c>
      <x:c r="I215" s="6" t="str">
        <x:v>106122124471</x:v>
      </x:c>
      <x:c r="J215" s="6" t="str">
        <x:v>https://cd.lianjia.com/chengjiao/106122124471.html</x:v>
      </x:c>
    </x:row>
    <x:row r="216" ht="22" customHeight="1">
      <x:c r="A216" s="6" t="str">
        <x:v>西南财大</x:v>
      </x:c>
      <x:c r="B216" s="6" t="str">
        <x:v>水木光华</x:v>
      </x:c>
      <x:c r="C216" s="6" t="str">
        <x:v>2025.07.09</x:v>
      </x:c>
      <x:c r="D216" s="6" t="n">
        <x:v>60</x:v>
      </x:c>
      <x:c r="E216" s="6" t="n">
        <x:v>51.76</x:v>
      </x:c>
      <x:c r="F216" s="6" t="n">
        <x:v>11592</x:v>
      </x:c>
      <x:c r="G216" s="6" t="n">
        <x:v>60</x:v>
      </x:c>
      <x:c r="H216" s="8" t="n">
        <x:v>0</x:v>
      </x:c>
      <x:c r="I216" s="6" t="str">
        <x:v>106123412147</x:v>
      </x:c>
      <x:c r="J216" s="6" t="str">
        <x:v>https://cd.lianjia.com/chengjiao/106123412147.html</x:v>
      </x:c>
    </x:row>
    <x:row r="217" ht="22" customHeight="1">
      <x:c r="A217" s="6" t="str">
        <x:v>盐市口</x:v>
      </x:c>
      <x:c r="B217" s="6" t="str">
        <x:v>世代锦江商务楼</x:v>
      </x:c>
      <x:c r="C217" s="6" t="str">
        <x:v>2025.07.09</x:v>
      </x:c>
      <x:c r="D217" s="6" t="n">
        <x:v>115.8</x:v>
      </x:c>
      <x:c r="E217" s="6" t="n">
        <x:v>41.02</x:v>
      </x:c>
      <x:c r="F217" s="6" t="n">
        <x:v>28231</x:v>
      </x:c>
      <x:c r="G217" s="6" t="n">
        <x:v>116</x:v>
      </x:c>
      <x:c r="H217" s="8" t="n">
        <x:v>0.0017000000000000001</x:v>
      </x:c>
      <x:c r="I217" s="6" t="str">
        <x:v>106123726550</x:v>
      </x:c>
      <x:c r="J217" s="6" t="str">
        <x:v>https://cd.lianjia.com/chengjiao/106123726550.html</x:v>
      </x:c>
    </x:row>
    <x:row r="218" ht="22" customHeight="1">
      <x:c r="A218" s="6" t="str">
        <x:v>盐市口</x:v>
      </x:c>
      <x:c r="B218" s="6" t="str">
        <x:v>世代锦江商务楼</x:v>
      </x:c>
      <x:c r="C218" s="6" t="str">
        <x:v>2025.07.05</x:v>
      </x:c>
      <x:c r="D218" s="6" t="n">
        <x:v>114.5</x:v>
      </x:c>
      <x:c r="E218" s="6" t="n">
        <x:v>43.78</x:v>
      </x:c>
      <x:c r="F218" s="6" t="n">
        <x:v>26154</x:v>
      </x:c>
      <x:c r="G218" s="6" t="n">
        <x:v>115</x:v>
      </x:c>
      <x:c r="H218" s="8" t="n">
        <x:v>0.0043</x:v>
      </x:c>
      <x:c r="I218" s="6" t="str">
        <x:v>106123395195</x:v>
      </x:c>
      <x:c r="J218" s="6" t="str">
        <x:v>https://cd.lianjia.com/chengjiao/106123395195.html</x:v>
      </x:c>
    </x:row>
    <x:row r="219" ht="22" customHeight="1">
      <x:c r="A219" s="6" t="str">
        <x:v>合江亭</x:v>
      </x:c>
      <x:c r="B219" s="6" t="str">
        <x:v>星城银座</x:v>
      </x:c>
      <x:c r="C219" s="6" t="str">
        <x:v>2025.06.30</x:v>
      </x:c>
      <x:c r="D219" s="6" t="n">
        <x:v>99</x:v>
      </x:c>
      <x:c r="E219" s="6" t="n">
        <x:v>51.83</x:v>
      </x:c>
      <x:c r="F219" s="6" t="n">
        <x:v>19101</x:v>
      </x:c>
      <x:c r="G219" s="6" t="n">
        <x:v>103</x:v>
      </x:c>
      <x:c r="H219" s="8" t="n">
        <x:v>0.0388</x:v>
      </x:c>
      <x:c r="I219" s="6" t="str">
        <x:v>106123176757</x:v>
      </x:c>
      <x:c r="J219" s="6" t="str">
        <x:v>https://cd.lianjia.com/chengjiao/106123176757.html</x:v>
      </x:c>
    </x:row>
    <x:row r="220" ht="22" customHeight="1">
      <x:c r="A220" s="6" t="str">
        <x:v>盐市口</x:v>
      </x:c>
      <x:c r="B220" s="6" t="str">
        <x:v>兴隆街23号</x:v>
      </x:c>
      <x:c r="C220" s="6" t="str">
        <x:v>2025.06.30</x:v>
      </x:c>
      <x:c r="D220" s="6" t="n">
        <x:v>49</x:v>
      </x:c>
      <x:c r="E220" s="6" t="n">
        <x:v>40.75</x:v>
      </x:c>
      <x:c r="F220" s="6" t="n">
        <x:v>12025</x:v>
      </x:c>
      <x:c r="G220" s="6" t="n">
        <x:v>50</x:v>
      </x:c>
      <x:c r="H220" s="8" t="n">
        <x:v>0.02</x:v>
      </x:c>
      <x:c r="I220" s="6" t="str">
        <x:v>106123623265</x:v>
      </x:c>
      <x:c r="J220" s="6" t="str">
        <x:v>https://cd.lianjia.com/chengjiao/106123623265.html</x:v>
      </x:c>
    </x:row>
    <x:row r="221" ht="22" customHeight="1">
      <x:c r="A221" s="6" t="str">
        <x:v>西南财大</x:v>
      </x:c>
      <x:c r="B221" s="6" t="str">
        <x:v>水木光华</x:v>
      </x:c>
      <x:c r="C221" s="6" t="str">
        <x:v>2025.06.28</x:v>
      </x:c>
      <x:c r="D221" s="6" t="n">
        <x:v>38</x:v>
      </x:c>
      <x:c r="E221" s="6" t="n">
        <x:v>35.84</x:v>
      </x:c>
      <x:c r="F221" s="6" t="n">
        <x:v>10603</x:v>
      </x:c>
      <x:c r="G221" s="6" t="n">
        <x:v>40</x:v>
      </x:c>
      <x:c r="H221" s="8" t="n">
        <x:v>0.05</x:v>
      </x:c>
      <x:c r="I221" s="6" t="str">
        <x:v>106123188315</x:v>
      </x:c>
      <x:c r="J221" s="6" t="str">
        <x:v>https://cd.lianjia.com/chengjiao/106123188315.html</x:v>
      </x:c>
    </x:row>
    <x:row r="222" ht="22" customHeight="1">
      <x:c r="A222" s="6" t="str">
        <x:v>华西</x:v>
      </x:c>
      <x:c r="B222" s="6" t="str">
        <x:v>艺墅花乡</x:v>
      </x:c>
      <x:c r="C222" s="6" t="str">
        <x:v>2025.06.22</x:v>
      </x:c>
      <x:c r="D222" s="6" t="n">
        <x:v>70</x:v>
      </x:c>
      <x:c r="E222" s="6" t="n">
        <x:v>40.21</x:v>
      </x:c>
      <x:c r="F222" s="6" t="n">
        <x:v>17409</x:v>
      </x:c>
      <x:c r="G222" s="6" t="n">
        <x:v>71</x:v>
      </x:c>
      <x:c r="H222" s="8" t="n">
        <x:v>0.0141</x:v>
      </x:c>
      <x:c r="I222" s="6" t="str">
        <x:v>106123482220</x:v>
      </x:c>
      <x:c r="J222" s="6" t="str">
        <x:v>https://cd.lianjia.com/chengjiao/106123482220.html</x:v>
      </x:c>
    </x:row>
    <x:row r="223" ht="22" customHeight="1">
      <x:c r="A223" s="6" t="str">
        <x:v>西南财大</x:v>
      </x:c>
      <x:c r="B223" s="6" t="str">
        <x:v>水木光华</x:v>
      </x:c>
      <x:c r="C223" s="6" t="str">
        <x:v>2025.06.21</x:v>
      </x:c>
      <x:c r="D223" s="6" t="n">
        <x:v>77.8</x:v>
      </x:c>
      <x:c r="E223" s="6" t="n">
        <x:v>51.3</x:v>
      </x:c>
      <x:c r="F223" s="6" t="n">
        <x:v>15166</x:v>
      </x:c>
      <x:c r="G223" s="6" t="n">
        <x:v>77.8</x:v>
      </x:c>
      <x:c r="H223" s="8" t="n">
        <x:v>0</x:v>
      </x:c>
      <x:c r="I223" s="6" t="str">
        <x:v>106122555924</x:v>
      </x:c>
      <x:c r="J223" s="6" t="str">
        <x:v>https://cd.lianjia.com/chengjiao/106122555924.html</x:v>
      </x:c>
    </x:row>
    <x:row r="224" ht="22" customHeight="1">
      <x:c r="A224" s="6" t="str">
        <x:v>盐市口</x:v>
      </x:c>
      <x:c r="B224" s="6" t="str">
        <x:v>阳光365</x:v>
      </x:c>
      <x:c r="C224" s="6" t="str">
        <x:v>2025.06.21</x:v>
      </x:c>
      <x:c r="D224" s="6" t="n">
        <x:v>110</x:v>
      </x:c>
      <x:c r="E224" s="6" t="n">
        <x:v>33.11</x:v>
      </x:c>
      <x:c r="F224" s="6" t="n">
        <x:v>33223</x:v>
      </x:c>
      <x:c r="G224" s="6" t="n">
        <x:v>115</x:v>
      </x:c>
      <x:c r="H224" s="8" t="n">
        <x:v>0.0435</x:v>
      </x:c>
      <x:c r="I224" s="6" t="str">
        <x:v>106123514278</x:v>
      </x:c>
      <x:c r="J224" s="6" t="str">
        <x:v>https://cd.lianjia.com/chengjiao/106123514278.html</x:v>
      </x:c>
    </x:row>
    <x:row r="225" ht="22" customHeight="1">
      <x:c r="A225" s="6" t="str">
        <x:v>盐市口</x:v>
      </x:c>
      <x:c r="B225" s="6" t="str">
        <x:v>阳光365</x:v>
      </x:c>
      <x:c r="C225" s="6" t="str">
        <x:v>2025.06.18</x:v>
      </x:c>
      <x:c r="D225" s="6" t="n">
        <x:v>110</x:v>
      </x:c>
      <x:c r="E225" s="6" t="n">
        <x:v>33.11</x:v>
      </x:c>
      <x:c r="F225" s="6" t="n">
        <x:v>33223</x:v>
      </x:c>
      <x:c r="G225" s="6" t="n">
        <x:v>115</x:v>
      </x:c>
      <x:c r="H225" s="8" t="n">
        <x:v>0.0435</x:v>
      </x:c>
      <x:c r="I225" s="6" t="str">
        <x:v>106122218581</x:v>
      </x:c>
      <x:c r="J225" s="6" t="str">
        <x:v>https://cd.lianjia.com/chengjiao/106122218581.html</x:v>
      </x:c>
    </x:row>
    <x:row r="226" ht="22" customHeight="1">
      <x:c r="A226" s="6" t="str">
        <x:v>西南财大</x:v>
      </x:c>
      <x:c r="B226" s="6" t="str">
        <x:v>水木光华</x:v>
      </x:c>
      <x:c r="C226" s="6" t="str">
        <x:v>2025.06.14</x:v>
      </x:c>
      <x:c r="D226" s="6" t="n">
        <x:v>54</x:v>
      </x:c>
      <x:c r="E226" s="6" t="n">
        <x:v>45.91</x:v>
      </x:c>
      <x:c r="F226" s="6" t="n">
        <x:v>11763</x:v>
      </x:c>
      <x:c r="G226" s="6" t="n">
        <x:v>56</x:v>
      </x:c>
      <x:c r="H226" s="8" t="n">
        <x:v>0.035699999999999996</x:v>
      </x:c>
      <x:c r="I226" s="6" t="str">
        <x:v>106122651212</x:v>
      </x:c>
      <x:c r="J226" s="6" t="str">
        <x:v>https://cd.lianjia.com/chengjiao/106122651212.html</x:v>
      </x:c>
    </x:row>
    <x:row r="227" ht="22" customHeight="1">
      <x:c r="A227" s="6" t="str">
        <x:v>盐市口</x:v>
      </x:c>
      <x:c r="B227" s="6" t="str">
        <x:v>阳光365</x:v>
      </x:c>
      <x:c r="C227" s="6" t="str">
        <x:v>2025.06.14</x:v>
      </x:c>
      <x:c r="D227" s="6" t="n">
        <x:v>110</x:v>
      </x:c>
      <x:c r="E227" s="6" t="n">
        <x:v>33.11</x:v>
      </x:c>
      <x:c r="F227" s="6" t="n">
        <x:v>33223</x:v>
      </x:c>
      <x:c r="G227" s="6" t="n">
        <x:v>114</x:v>
      </x:c>
      <x:c r="H227" s="8" t="n">
        <x:v>0.0351</x:v>
      </x:c>
      <x:c r="I227" s="6" t="str">
        <x:v>106122971042</x:v>
      </x:c>
      <x:c r="J227" s="6" t="str">
        <x:v>https://cd.lianjia.com/chengjiao/106122971042.html</x:v>
      </x:c>
    </x:row>
    <x:row r="228" ht="22" customHeight="1">
      <x:c r="A228" s="6" t="str">
        <x:v>华西</x:v>
      </x:c>
      <x:c r="B228" s="6" t="str">
        <x:v>金茂礼都</x:v>
      </x:c>
      <x:c r="C228" s="6" t="str">
        <x:v>2025.06.11</x:v>
      </x:c>
      <x:c r="D228" s="6" t="n">
        <x:v>35</x:v>
      </x:c>
      <x:c r="E228" s="6" t="n">
        <x:v>31.03</x:v>
      </x:c>
      <x:c r="F228" s="6" t="n">
        <x:v>11280</x:v>
      </x:c>
      <x:c r="G228" s="6" t="n">
        <x:v>35</x:v>
      </x:c>
      <x:c r="H228" s="8" t="n">
        <x:v>0</x:v>
      </x:c>
      <x:c r="I228" s="6" t="str">
        <x:v>106123097161</x:v>
      </x:c>
      <x:c r="J228" s="6" t="str">
        <x:v>https://cd.lianjia.com/chengjiao/106123097161.html</x:v>
      </x:c>
    </x:row>
    <x:row r="229" ht="22" customHeight="1">
      <x:c r="A229" s="6" t="str">
        <x:v>盐市口</x:v>
      </x:c>
      <x:c r="B229" s="6" t="str">
        <x:v>世代锦江商务楼</x:v>
      </x:c>
      <x:c r="C229" s="6" t="str">
        <x:v>2025.06.11</x:v>
      </x:c>
      <x:c r="D229" s="6" t="n">
        <x:v>117</x:v>
      </x:c>
      <x:c r="E229" s="6" t="n">
        <x:v>41.02</x:v>
      </x:c>
      <x:c r="F229" s="6" t="n">
        <x:v>28523</x:v>
      </x:c>
      <x:c r="G229" s="6" t="n">
        <x:v>120</x:v>
      </x:c>
      <x:c r="H229" s="8" t="n">
        <x:v>0.025</x:v>
      </x:c>
      <x:c r="I229" s="6" t="str">
        <x:v>106122686067</x:v>
      </x:c>
      <x:c r="J229" s="6" t="str">
        <x:v>https://cd.lianjia.com/chengjiao/106122686067.html</x:v>
      </x:c>
    </x:row>
    <x:row r="230" ht="22" customHeight="1">
      <x:c r="A230" s="6" t="str">
        <x:v>西南财大</x:v>
      </x:c>
      <x:c r="B230" s="6" t="str">
        <x:v>金沙时代城</x:v>
      </x:c>
      <x:c r="C230" s="6" t="str">
        <x:v>2025.06.10</x:v>
      </x:c>
      <x:c r="D230" s="6" t="n">
        <x:v>30</x:v>
      </x:c>
      <x:c r="E230" s="6" t="n">
        <x:v>46.36</x:v>
      </x:c>
      <x:c r="F230" s="6" t="n">
        <x:v>6472</x:v>
      </x:c>
      <x:c r="G230" s="6" t="n">
        <x:v>31</x:v>
      </x:c>
      <x:c r="H230" s="8" t="n">
        <x:v>0.0323</x:v>
      </x:c>
      <x:c r="I230" s="6" t="str">
        <x:v>106123323800</x:v>
      </x:c>
      <x:c r="J230" s="6" t="str">
        <x:v>https://cd.lianjia.com/chengjiao/106123323800.html</x:v>
      </x:c>
    </x:row>
    <x:row r="231" ht="22" customHeight="1">
      <x:c r="A231" s="6" t="str">
        <x:v>棕北</x:v>
      </x:c>
      <x:c r="B231" s="6" t="str">
        <x:v>花样年华梦想家</x:v>
      </x:c>
      <x:c r="C231" s="6" t="str">
        <x:v>2025.06.05</x:v>
      </x:c>
      <x:c r="D231" s="6" t="n">
        <x:v>41.9</x:v>
      </x:c>
      <x:c r="E231" s="6" t="n">
        <x:v>36.75</x:v>
      </x:c>
      <x:c r="F231" s="6" t="n">
        <x:v>11402</x:v>
      </x:c>
      <x:c r="G231" s="6" t="n">
        <x:v>42.5</x:v>
      </x:c>
      <x:c r="H231" s="8" t="n">
        <x:v>0.0141</x:v>
      </x:c>
      <x:c r="I231" s="6" t="str">
        <x:v>106122976390</x:v>
      </x:c>
      <x:c r="J231" s="6" t="str">
        <x:v>https://cd.lianjia.com/chengjiao/106122976390.html</x:v>
      </x:c>
    </x:row>
    <x:row r="232" ht="22" customHeight="1">
      <x:c r="A232" s="6" t="str">
        <x:v>盐市口</x:v>
      </x:c>
      <x:c r="B232" s="6" t="str">
        <x:v>阳光365</x:v>
      </x:c>
      <x:c r="C232" s="6" t="str">
        <x:v>2025.06.03</x:v>
      </x:c>
      <x:c r="D232" s="6" t="n">
        <x:v>112.6</x:v>
      </x:c>
      <x:c r="E232" s="6" t="n">
        <x:v>33.11</x:v>
      </x:c>
      <x:c r="F232" s="6" t="n">
        <x:v>34008</x:v>
      </x:c>
      <x:c r="G232" s="6" t="n">
        <x:v>115</x:v>
      </x:c>
      <x:c r="H232" s="8" t="n">
        <x:v>0.0209</x:v>
      </x:c>
      <x:c r="I232" s="6" t="str">
        <x:v>106122682350</x:v>
      </x:c>
      <x:c r="J232" s="6" t="str">
        <x:v>https://cd.lianjia.com/chengjiao/106122682350.html</x:v>
      </x:c>
    </x:row>
    <x:row r="233" ht="22" customHeight="1">
      <x:c r="A233" s="6" t="str">
        <x:v>西南财大</x:v>
      </x:c>
      <x:c r="B233" s="6" t="str">
        <x:v>仁和时代春天广场</x:v>
      </x:c>
      <x:c r="C233" s="6" t="str">
        <x:v>2025.06.01</x:v>
      </x:c>
      <x:c r="D233" s="6" t="n">
        <x:v>43.4</x:v>
      </x:c>
      <x:c r="E233" s="6" t="n">
        <x:v>51.29</x:v>
      </x:c>
      <x:c r="F233" s="6" t="n">
        <x:v>8445</x:v>
      </x:c>
      <x:c r="G233" s="6" t="n">
        <x:v>45.8</x:v>
      </x:c>
      <x:c r="H233" s="8" t="n">
        <x:v>0.0524</x:v>
      </x:c>
      <x:c r="I233" s="6" t="str">
        <x:v>106118815719</x:v>
      </x:c>
      <x:c r="J233" s="6" t="str">
        <x:v>https://cd.lianjia.com/chengjiao/106118815719.html</x:v>
      </x:c>
    </x:row>
    <x:row r="234" ht="22" customHeight="1">
      <x:c r="A234" s="6" t="str">
        <x:v>川大</x:v>
      </x:c>
      <x:c r="B234" s="6" t="str">
        <x:v>纯真年代</x:v>
      </x:c>
      <x:c r="C234" s="6" t="str">
        <x:v>2025.05.28</x:v>
      </x:c>
      <x:c r="D234" s="6" t="n">
        <x:v>67.5</x:v>
      </x:c>
      <x:c r="E234" s="6" t="n">
        <x:v>44.92</x:v>
      </x:c>
      <x:c r="F234" s="6" t="n">
        <x:v>15027</x:v>
      </x:c>
      <x:c r="G234" s="6" t="n">
        <x:v>68</x:v>
      </x:c>
      <x:c r="H234" s="8" t="n">
        <x:v>0.0074</x:v>
      </x:c>
      <x:c r="I234" s="6" t="str">
        <x:v>106121105254</x:v>
      </x:c>
      <x:c r="J234" s="6" t="str">
        <x:v>https://cd.lianjia.com/chengjiao/106121105254.html</x:v>
      </x:c>
    </x:row>
    <x:row r="235" ht="22" customHeight="1">
      <x:c r="A235" s="6" t="str">
        <x:v>棕北</x:v>
      </x:c>
      <x:c r="B235" s="6" t="str">
        <x:v>花样年华梦想家</x:v>
      </x:c>
      <x:c r="C235" s="6" t="str">
        <x:v>2025.05.25</x:v>
      </x:c>
      <x:c r="D235" s="6" t="n">
        <x:v>41.5</x:v>
      </x:c>
      <x:c r="E235" s="6" t="n">
        <x:v>41.52</x:v>
      </x:c>
      <x:c r="F235" s="6" t="n">
        <x:v>9996</x:v>
      </x:c>
      <x:c r="G235" s="6" t="n">
        <x:v>43</x:v>
      </x:c>
      <x:c r="H235" s="8" t="n">
        <x:v>0.0349</x:v>
      </x:c>
      <x:c r="I235" s="6" t="str">
        <x:v>106122437414</x:v>
      </x:c>
      <x:c r="J235" s="6" t="str">
        <x:v>https://cd.lianjia.com/chengjiao/106122437414.html</x:v>
      </x:c>
    </x:row>
    <x:row r="236" ht="22" customHeight="1">
      <x:c r="A236" s="6" t="str">
        <x:v>玉林</x:v>
      </x:c>
      <x:c r="B236" s="6" t="str">
        <x:v>华宇蓉国府</x:v>
      </x:c>
      <x:c r="C236" s="6" t="str">
        <x:v>2025.05.24</x:v>
      </x:c>
      <x:c r="D236" s="6" t="n">
        <x:v>95</x:v>
      </x:c>
      <x:c r="E236" s="6" t="n">
        <x:v>45.53</x:v>
      </x:c>
      <x:c r="F236" s="6" t="n">
        <x:v>20866</x:v>
      </x:c>
      <x:c r="G236" s="6" t="n">
        <x:v>99</x:v>
      </x:c>
      <x:c r="H236" s="8" t="n">
        <x:v>0.0404</x:v>
      </x:c>
      <x:c r="I236" s="6" t="str">
        <x:v>106122814156</x:v>
      </x:c>
      <x:c r="J236" s="6" t="str">
        <x:v>https://cd.lianjia.com/chengjiao/106122814156.html</x:v>
      </x:c>
    </x:row>
    <x:row r="237" ht="22" customHeight="1">
      <x:c r="A237" s="6" t="str">
        <x:v>玉林</x:v>
      </x:c>
      <x:c r="B237" s="6" t="str">
        <x:v>都市金岸</x:v>
      </x:c>
      <x:c r="C237" s="6" t="str">
        <x:v>2025.05.14</x:v>
      </x:c>
      <x:c r="D237" s="6" t="n">
        <x:v>85</x:v>
      </x:c>
      <x:c r="E237" s="6" t="n">
        <x:v>55.2</x:v>
      </x:c>
      <x:c r="F237" s="6" t="n">
        <x:v>15399</x:v>
      </x:c>
      <x:c r="G237" s="6" t="n">
        <x:v>85</x:v>
      </x:c>
      <x:c r="H237" s="8" t="n">
        <x:v>0</x:v>
      </x:c>
      <x:c r="I237" s="6" t="str">
        <x:v>106122855056</x:v>
      </x:c>
      <x:c r="J237" s="6" t="str">
        <x:v>https://cd.lianjia.com/chengjiao/106122855056.html</x:v>
      </x:c>
    </x:row>
    <x:row r="238" ht="22" customHeight="1">
      <x:c r="A238" s="6" t="str">
        <x:v>合江亭</x:v>
      </x:c>
      <x:c r="B238" s="6" t="str">
        <x:v>国际商务大厦</x:v>
      </x:c>
      <x:c r="C238" s="6" t="str">
        <x:v>2025.04.30</x:v>
      </x:c>
      <x:c r="D238" s="6" t="n">
        <x:v>98.2</x:v>
      </x:c>
      <x:c r="E238" s="6" t="n">
        <x:v>42</x:v>
      </x:c>
      <x:c r="F238" s="6" t="n">
        <x:v>23381</x:v>
      </x:c>
      <x:c r="G238" s="6" t="n">
        <x:v>102</x:v>
      </x:c>
      <x:c r="H238" s="8" t="n">
        <x:v>0.0373</x:v>
      </x:c>
      <x:c r="I238" s="6" t="str">
        <x:v>106122389750</x:v>
      </x:c>
      <x:c r="J238" s="6" t="str">
        <x:v>https://cd.lianjia.com/chengjiao/106122389750.html</x:v>
      </x:c>
    </x:row>
    <x:row r="239" ht="22" customHeight="1">
      <x:c r="A239" s="6" t="str">
        <x:v>西南财大</x:v>
      </x:c>
      <x:c r="B239" s="6" t="str">
        <x:v>水木光华</x:v>
      </x:c>
      <x:c r="C239" s="6" t="str">
        <x:v>2025.04.29</x:v>
      </x:c>
      <x:c r="D239" s="6" t="n">
        <x:v>53</x:v>
      </x:c>
      <x:c r="E239" s="6" t="n">
        <x:v>45.9</x:v>
      </x:c>
      <x:c r="F239" s="6" t="n">
        <x:v>11547</x:v>
      </x:c>
      <x:c r="G239" s="6" t="n">
        <x:v>53</x:v>
      </x:c>
      <x:c r="H239" s="8" t="n">
        <x:v>0</x:v>
      </x:c>
      <x:c r="I239" s="6" t="str">
        <x:v>106122781809</x:v>
      </x:c>
      <x:c r="J239" s="6" t="str">
        <x:v>https://cd.lianjia.com/chengjiao/106122781809.html</x:v>
      </x:c>
    </x:row>
    <x:row r="240" ht="22" customHeight="1">
      <x:c r="A240" s="6" t="str">
        <x:v>玉林</x:v>
      </x:c>
      <x:c r="B240" s="6" t="str">
        <x:v>华宇蓉国府</x:v>
      </x:c>
      <x:c r="C240" s="6" t="str">
        <x:v>2025.04.16</x:v>
      </x:c>
      <x:c r="D240" s="6" t="n">
        <x:v>115</x:v>
      </x:c>
      <x:c r="E240" s="6" t="n">
        <x:v>55.14</x:v>
      </x:c>
      <x:c r="F240" s="6" t="n">
        <x:v>20857</x:v>
      </x:c>
      <x:c r="G240" s="6" t="n">
        <x:v>120</x:v>
      </x:c>
      <x:c r="H240" s="8" t="n">
        <x:v>0.0417</x:v>
      </x:c>
      <x:c r="I240" s="6" t="str">
        <x:v>106112630404</x:v>
      </x:c>
      <x:c r="J240" s="6" t="str">
        <x:v>https://cd.lianjia.com/chengjiao/106112630404.html</x:v>
      </x:c>
    </x:row>
    <x:row r="241" ht="22" customHeight="1">
      <x:c r="A241" s="6" t="str">
        <x:v>川大</x:v>
      </x:c>
      <x:c r="B241" s="6" t="str">
        <x:v>樱花假日</x:v>
      </x:c>
      <x:c r="C241" s="6" t="str">
        <x:v>2025.04.09</x:v>
      </x:c>
      <x:c r="D241" s="6" t="n">
        <x:v>57</x:v>
      </x:c>
      <x:c r="E241" s="6" t="n">
        <x:v>38.08</x:v>
      </x:c>
      <x:c r="F241" s="6" t="n">
        <x:v>14969</x:v>
      </x:c>
      <x:c r="G241" s="6" t="n">
        <x:v>61</x:v>
      </x:c>
      <x:c r="H241" s="8" t="n">
        <x:v>0.06559999999999999</x:v>
      </x:c>
      <x:c r="I241" s="6" t="str">
        <x:v>106121702085</x:v>
      </x:c>
      <x:c r="J241" s="6" t="str">
        <x:v>https://cd.lianjia.com/chengjiao/106121702085.html</x:v>
      </x:c>
    </x:row>
    <x:row r="242" ht="22" customHeight="1">
      <x:c r="A242" s="6" t="str">
        <x:v>西南财大</x:v>
      </x:c>
      <x:c r="B242" s="6" t="str">
        <x:v>仁和时代春天广场</x:v>
      </x:c>
      <x:c r="C242" s="6" t="str">
        <x:v>2025.04.04</x:v>
      </x:c>
      <x:c r="D242" s="6" t="n">
        <x:v>43</x:v>
      </x:c>
      <x:c r="E242" s="6" t="n">
        <x:v>49.31</x:v>
      </x:c>
      <x:c r="F242" s="6" t="n">
        <x:v>8721</x:v>
      </x:c>
      <x:c r="G242" s="6" t="n">
        <x:v>46.5</x:v>
      </x:c>
      <x:c r="H242" s="8" t="n">
        <x:v>0.0753</x:v>
      </x:c>
      <x:c r="I242" s="6" t="str">
        <x:v>106121549483</x:v>
      </x:c>
      <x:c r="J242" s="6" t="str">
        <x:v>https://cd.lianjia.com/chengjiao/106121549483.html</x:v>
      </x:c>
    </x:row>
    <x:row r="243" ht="22" customHeight="1">
      <x:c r="A243" s="6" t="str">
        <x:v>合江亭</x:v>
      </x:c>
      <x:c r="B243" s="6" t="str">
        <x:v>星城银座</x:v>
      </x:c>
      <x:c r="C243" s="6" t="str">
        <x:v>2025.03.30</x:v>
      </x:c>
      <x:c r="D243" s="6" t="n">
        <x:v>94</x:v>
      </x:c>
      <x:c r="E243" s="6" t="n">
        <x:v>36.58</x:v>
      </x:c>
      <x:c r="F243" s="6" t="n">
        <x:v>25698</x:v>
      </x:c>
      <x:c r="G243" s="6" t="n">
        <x:v>96</x:v>
      </x:c>
      <x:c r="H243" s="8" t="n">
        <x:v>0.0208</x:v>
      </x:c>
      <x:c r="I243" s="6" t="str">
        <x:v>106121109008</x:v>
      </x:c>
      <x:c r="J243" s="6" t="str">
        <x:v>https://cd.lianjia.com/chengjiao/106121109008.html</x:v>
      </x:c>
    </x:row>
    <x:row r="244" ht="22" customHeight="1">
      <x:c r="A244" s="6" t="str">
        <x:v>华西</x:v>
      </x:c>
      <x:c r="B244" s="6" t="str">
        <x:v>天竺丽苑</x:v>
      </x:c>
      <x:c r="C244" s="6" t="str">
        <x:v>2025.03.29</x:v>
      </x:c>
      <x:c r="D244" s="6" t="n">
        <x:v>60</x:v>
      </x:c>
      <x:c r="E244" s="6" t="n">
        <x:v>47.2</x:v>
      </x:c>
      <x:c r="F244" s="6" t="n">
        <x:v>12712</x:v>
      </x:c>
      <x:c r="G244" s="6" t="n">
        <x:v>68</x:v>
      </x:c>
      <x:c r="H244" s="8" t="n">
        <x:v>0.1176</x:v>
      </x:c>
      <x:c r="I244" s="6" t="str">
        <x:v>106121101180</x:v>
      </x:c>
      <x:c r="J244" s="6" t="str">
        <x:v>https://cd.lianjia.com/chengjiao/106121101180.html</x:v>
      </x:c>
    </x:row>
    <x:row r="245" ht="22" customHeight="1">
      <x:c r="A245" s="6" t="str">
        <x:v>棕北</x:v>
      </x:c>
      <x:c r="B245" s="6" t="str">
        <x:v>花样年华梦想家</x:v>
      </x:c>
      <x:c r="C245" s="6" t="str">
        <x:v>2025.03.29</x:v>
      </x:c>
      <x:c r="D245" s="6" t="n">
        <x:v>52</x:v>
      </x:c>
      <x:c r="E245" s="6" t="n">
        <x:v>51.61</x:v>
      </x:c>
      <x:c r="F245" s="6" t="n">
        <x:v>10076</x:v>
      </x:c>
      <x:c r="G245" s="6" t="n">
        <x:v>53</x:v>
      </x:c>
      <x:c r="H245" s="8" t="n">
        <x:v>0.0189</x:v>
      </x:c>
      <x:c r="I245" s="6" t="str">
        <x:v>106120989801</x:v>
      </x:c>
      <x:c r="J245" s="6" t="str">
        <x:v>https://cd.lianjia.com/chengjiao/106120989801.html</x:v>
      </x:c>
    </x:row>
    <x:row r="246" ht="22" customHeight="1">
      <x:c r="A246" s="6" t="str">
        <x:v>合江亭</x:v>
      </x:c>
      <x:c r="B246" s="6" t="str">
        <x:v>星城银座</x:v>
      </x:c>
      <x:c r="C246" s="6" t="str">
        <x:v>2025.03.27</x:v>
      </x:c>
      <x:c r="D246" s="6" t="n">
        <x:v>93.5</x:v>
      </x:c>
      <x:c r="E246" s="6" t="n">
        <x:v>37.82</x:v>
      </x:c>
      <x:c r="F246" s="6" t="n">
        <x:v>24723</x:v>
      </x:c>
      <x:c r="G246" s="6" t="n">
        <x:v>98</x:v>
      </x:c>
      <x:c r="H246" s="8" t="n">
        <x:v>0.045899999999999996</x:v>
      </x:c>
      <x:c r="I246" s="6" t="str">
        <x:v>106121843336</x:v>
      </x:c>
      <x:c r="J246" s="6" t="str">
        <x:v>https://cd.lianjia.com/chengjiao/106121843336.html</x:v>
      </x:c>
    </x:row>
    <x:row r="247" ht="22" customHeight="1">
      <x:c r="A247" s="6" t="str">
        <x:v>华西</x:v>
      </x:c>
      <x:c r="B247" s="6" t="str">
        <x:v>丽景天成</x:v>
      </x:c>
      <x:c r="C247" s="6" t="str">
        <x:v>2025.03.23</x:v>
      </x:c>
      <x:c r="D247" s="6" t="n">
        <x:v>98.8</x:v>
      </x:c>
      <x:c r="E247" s="6" t="n">
        <x:v>57.93</x:v>
      </x:c>
      <x:c r="F247" s="6" t="n">
        <x:v>17056</x:v>
      </x:c>
      <x:c r="G247" s="6" t="n">
        <x:v>110</x:v>
      </x:c>
      <x:c r="H247" s="8" t="n">
        <x:v>0.1018</x:v>
      </x:c>
      <x:c r="I247" s="6" t="str">
        <x:v>106122150148</x:v>
      </x:c>
      <x:c r="J247" s="6" t="str">
        <x:v>https://cd.lianjia.com/chengjiao/106122150148.html</x:v>
      </x:c>
    </x:row>
    <x:row r="248" ht="22" customHeight="1">
      <x:c r="A248" s="6" t="str">
        <x:v>盐市口</x:v>
      </x:c>
      <x:c r="B248" s="6" t="str">
        <x:v>阳光365</x:v>
      </x:c>
      <x:c r="C248" s="6" t="str">
        <x:v>2025.03.21</x:v>
      </x:c>
      <x:c r="D248" s="6" t="n">
        <x:v>115</x:v>
      </x:c>
      <x:c r="E248" s="6" t="n">
        <x:v>33.11</x:v>
      </x:c>
      <x:c r="F248" s="6" t="n">
        <x:v>34733</x:v>
      </x:c>
      <x:c r="G248" s="6" t="n">
        <x:v>120</x:v>
      </x:c>
      <x:c r="H248" s="8" t="n">
        <x:v>0.0417</x:v>
      </x:c>
      <x:c r="I248" s="6" t="str">
        <x:v>106119278167</x:v>
      </x:c>
      <x:c r="J248" s="6" t="str">
        <x:v>https://cd.lianjia.com/chengjiao/106119278167.html</x:v>
      </x:c>
    </x:row>
    <x:row r="249" ht="22" customHeight="1">
      <x:c r="A249" s="6" t="str">
        <x:v>合江亭</x:v>
      </x:c>
      <x:c r="B249" s="6" t="str">
        <x:v>锦上花</x:v>
      </x:c>
      <x:c r="C249" s="6" t="str">
        <x:v>2025.03.16</x:v>
      </x:c>
      <x:c r="D249" s="6" t="n">
        <x:v>75</x:v>
      </x:c>
      <x:c r="E249" s="6" t="n">
        <x:v>50.85</x:v>
      </x:c>
      <x:c r="F249" s="6" t="n">
        <x:v>14750</x:v>
      </x:c>
      <x:c r="G249" s="6" t="n">
        <x:v>83.5</x:v>
      </x:c>
      <x:c r="H249" s="8" t="n">
        <x:v>0.1018</x:v>
      </x:c>
      <x:c r="I249" s="6" t="str">
        <x:v>106111587732</x:v>
      </x:c>
      <x:c r="J249" s="6" t="str">
        <x:v>https://cd.lianjia.com/chengjiao/106111587732.html</x:v>
      </x:c>
    </x:row>
    <x:row r="250" ht="22" customHeight="1">
      <x:c r="A250" s="6" t="str">
        <x:v>西南财大</x:v>
      </x:c>
      <x:c r="B250" s="6" t="str">
        <x:v>水木光华</x:v>
      </x:c>
      <x:c r="C250" s="6" t="str">
        <x:v>2025.03.13</x:v>
      </x:c>
      <x:c r="D250" s="6" t="n">
        <x:v>59</x:v>
      </x:c>
      <x:c r="E250" s="6" t="n">
        <x:v>38.05</x:v>
      </x:c>
      <x:c r="F250" s="6" t="n">
        <x:v>15506</x:v>
      </x:c>
      <x:c r="G250" s="6" t="n">
        <x:v>60</x:v>
      </x:c>
      <x:c r="H250" s="8" t="n">
        <x:v>0.0167</x:v>
      </x:c>
      <x:c r="I250" s="6" t="str">
        <x:v>106119017727</x:v>
      </x:c>
      <x:c r="J250" s="6" t="str">
        <x:v>https://cd.lianjia.com/chengjiao/106119017727.html</x:v>
      </x:c>
    </x:row>
    <x:row r="251" ht="22" customHeight="1">
      <x:c r="A251" s="6" t="str">
        <x:v>盐市口</x:v>
      </x:c>
      <x:c r="B251" s="6" t="str">
        <x:v>经典坐标</x:v>
      </x:c>
      <x:c r="C251" s="6" t="str">
        <x:v>2025.03.12</x:v>
      </x:c>
      <x:c r="D251" s="6" t="n">
        <x:v>64</x:v>
      </x:c>
      <x:c r="E251" s="6" t="n">
        <x:v>60.92</x:v>
      </x:c>
      <x:c r="F251" s="6" t="n">
        <x:v>10506</x:v>
      </x:c>
      <x:c r="G251" s="6" t="n">
        <x:v>68</x:v>
      </x:c>
      <x:c r="H251" s="8" t="n">
        <x:v>0.0588</x:v>
      </x:c>
      <x:c r="I251" s="6" t="str">
        <x:v>106121317354</x:v>
      </x:c>
      <x:c r="J251" s="6" t="str">
        <x:v>https://cd.lianjia.com/chengjiao/106121317354.html</x:v>
      </x:c>
    </x:row>
    <x:row r="252" ht="22" customHeight="1">
      <x:c r="A252" s="6" t="str">
        <x:v>盐市口</x:v>
      </x:c>
      <x:c r="B252" s="6" t="str">
        <x:v>世代锦江商务楼</x:v>
      </x:c>
      <x:c r="C252" s="6" t="str">
        <x:v>2025.03.12</x:v>
      </x:c>
      <x:c r="D252" s="6" t="n">
        <x:v>115</x:v>
      </x:c>
      <x:c r="E252" s="6" t="n">
        <x:v>43.78</x:v>
      </x:c>
      <x:c r="F252" s="6" t="n">
        <x:v>26268</x:v>
      </x:c>
      <x:c r="G252" s="6" t="n">
        <x:v>118</x:v>
      </x:c>
      <x:c r="H252" s="8" t="n">
        <x:v>0.0254</x:v>
      </x:c>
      <x:c r="I252" s="6" t="str">
        <x:v>106122082409</x:v>
      </x:c>
      <x:c r="J252" s="6" t="str">
        <x:v>https://cd.lianjia.com/chengjiao/106122082409.html</x:v>
      </x:c>
    </x:row>
    <x:row r="253" ht="22" customHeight="1">
      <x:c r="A253" s="6" t="str">
        <x:v>盐市口</x:v>
      </x:c>
      <x:c r="B253" s="6" t="str">
        <x:v>阳光365</x:v>
      </x:c>
      <x:c r="C253" s="6" t="str">
        <x:v>2025.03.12</x:v>
      </x:c>
      <x:c r="D253" s="6" t="n">
        <x:v>112.8</x:v>
      </x:c>
      <x:c r="E253" s="6" t="n">
        <x:v>33.11</x:v>
      </x:c>
      <x:c r="F253" s="6" t="n">
        <x:v>34069</x:v>
      </x:c>
      <x:c r="G253" s="6" t="n">
        <x:v>118</x:v>
      </x:c>
      <x:c r="H253" s="8" t="n">
        <x:v>0.0441</x:v>
      </x:c>
      <x:c r="I253" s="6" t="str">
        <x:v>106121610271</x:v>
      </x:c>
      <x:c r="J253" s="6" t="str">
        <x:v>https://cd.lianjia.com/chengjiao/106121610271.html</x:v>
      </x:c>
    </x:row>
    <x:row r="254" ht="22" customHeight="1">
      <x:c r="A254" s="6" t="str">
        <x:v>合江亭</x:v>
      </x:c>
      <x:c r="B254" s="6" t="str">
        <x:v>龙瑞苑</x:v>
      </x:c>
      <x:c r="C254" s="6" t="str">
        <x:v>2025.03.08</x:v>
      </x:c>
      <x:c r="D254" s="6" t="n">
        <x:v>79</x:v>
      </x:c>
      <x:c r="E254" s="6" t="n">
        <x:v>53.6</x:v>
      </x:c>
      <x:c r="F254" s="6" t="n">
        <x:v>14739</x:v>
      </x:c>
      <x:c r="G254" s="6" t="n">
        <x:v>80</x:v>
      </x:c>
      <x:c r="H254" s="8" t="n">
        <x:v>0.0125</x:v>
      </x:c>
      <x:c r="I254" s="6" t="str">
        <x:v>106121910076</x:v>
      </x:c>
      <x:c r="J254" s="6" t="str">
        <x:v>https://cd.lianjia.com/chengjiao/106121910076.html</x:v>
      </x:c>
    </x:row>
    <x:row r="255" ht="22" customHeight="1">
      <x:c r="A255" s="6" t="str">
        <x:v>盐市口</x:v>
      </x:c>
      <x:c r="B255" s="6" t="str">
        <x:v>阳光365</x:v>
      </x:c>
      <x:c r="C255" s="6" t="str">
        <x:v>2025.03.08</x:v>
      </x:c>
      <x:c r="D255" s="6" t="n">
        <x:v>113</x:v>
      </x:c>
      <x:c r="E255" s="6" t="n">
        <x:v>33.11</x:v>
      </x:c>
      <x:c r="F255" s="6" t="n">
        <x:v>34129</x:v>
      </x:c>
      <x:c r="G255" s="6" t="n">
        <x:v>118</x:v>
      </x:c>
      <x:c r="H255" s="8" t="n">
        <x:v>0.0424</x:v>
      </x:c>
      <x:c r="I255" s="6" t="str">
        <x:v>106119886142</x:v>
      </x:c>
      <x:c r="J255" s="6" t="str">
        <x:v>https://cd.lianjia.com/chengjiao/106119886142.html</x:v>
      </x:c>
    </x:row>
    <x:row r="256" ht="22" customHeight="1">
      <x:c r="A256" s="6" t="str">
        <x:v>合江亭</x:v>
      </x:c>
      <x:c r="B256" s="6" t="str">
        <x:v>流星花园</x:v>
      </x:c>
      <x:c r="C256" s="6" t="str">
        <x:v>2025.03.02</x:v>
      </x:c>
      <x:c r="D256" s="6" t="n">
        <x:v>71.3</x:v>
      </x:c>
      <x:c r="E256" s="6" t="n">
        <x:v>34.93</x:v>
      </x:c>
      <x:c r="F256" s="6" t="n">
        <x:v>20413</x:v>
      </x:c>
      <x:c r="G256" s="6" t="n">
        <x:v>75</x:v>
      </x:c>
      <x:c r="H256" s="8" t="n">
        <x:v>0.0493</x:v>
      </x:c>
      <x:c r="I256" s="6" t="str">
        <x:v>106121851641</x:v>
      </x:c>
      <x:c r="J256" s="6" t="str">
        <x:v>https://cd.lianjia.com/chengjiao/106121851641.html</x:v>
      </x:c>
    </x:row>
    <x:row r="257" ht="22" customHeight="1">
      <x:c r="A257" s="6" t="str">
        <x:v>华西</x:v>
      </x:c>
      <x:c r="B257" s="6" t="str">
        <x:v>丽景天成</x:v>
      </x:c>
      <x:c r="C257" s="6" t="str">
        <x:v>2025.03.01</x:v>
      </x:c>
      <x:c r="D257" s="6" t="n">
        <x:v>94</x:v>
      </x:c>
      <x:c r="E257" s="6" t="n">
        <x:v>57.93</x:v>
      </x:c>
      <x:c r="F257" s="6" t="n">
        <x:v>16227</x:v>
      </x:c>
      <x:c r="G257" s="6" t="n">
        <x:v>97</x:v>
      </x:c>
      <x:c r="H257" s="8" t="n">
        <x:v>0.030899999999999997</x:v>
      </x:c>
      <x:c r="I257" s="6" t="str">
        <x:v>106121392441</x:v>
      </x:c>
      <x:c r="J257" s="6" t="str">
        <x:v>https://cd.lianjia.com/chengjiao/106121392441.html</x:v>
      </x:c>
    </x:row>
    <x:row r="258" ht="22" customHeight="1">
      <x:c r="A258" s="6" t="str">
        <x:v>盐市口</x:v>
      </x:c>
      <x:c r="B258" s="6" t="str">
        <x:v>世代锦江商务楼</x:v>
      </x:c>
      <x:c r="C258" s="6" t="str">
        <x:v>2025.02.28</x:v>
      </x:c>
      <x:c r="D258" s="6" t="n">
        <x:v>114</x:v>
      </x:c>
      <x:c r="E258" s="6" t="n">
        <x:v>41.02</x:v>
      </x:c>
      <x:c r="F258" s="6" t="n">
        <x:v>27792</x:v>
      </x:c>
      <x:c r="G258" s="6" t="n">
        <x:v>116</x:v>
      </x:c>
      <x:c r="H258" s="8" t="n">
        <x:v>0.0172</x:v>
      </x:c>
      <x:c r="I258" s="6" t="str">
        <x:v>106120730008</x:v>
      </x:c>
      <x:c r="J258" s="6" t="str">
        <x:v>https://cd.lianjia.com/chengjiao/106120730008.html</x:v>
      </x:c>
    </x:row>
    <x:row r="259" ht="22" customHeight="1">
      <x:c r="A259" s="6" t="str">
        <x:v>合江亭</x:v>
      </x:c>
      <x:c r="B259" s="6" t="str">
        <x:v>流星花园</x:v>
      </x:c>
      <x:c r="C259" s="6" t="str">
        <x:v>2025.02.27</x:v>
      </x:c>
      <x:c r="D259" s="6" t="n">
        <x:v>70.5</x:v>
      </x:c>
      <x:c r="E259" s="6" t="n">
        <x:v>33.67</x:v>
      </x:c>
      <x:c r="F259" s="6" t="n">
        <x:v>20939</x:v>
      </x:c>
      <x:c r="G259" s="6" t="n">
        <x:v>72</x:v>
      </x:c>
      <x:c r="H259" s="8" t="n">
        <x:v>0.0208</x:v>
      </x:c>
      <x:c r="I259" s="6" t="str">
        <x:v>106120512475</x:v>
      </x:c>
      <x:c r="J259" s="6" t="str">
        <x:v>https://cd.lianjia.com/chengjiao/106120512475.html</x:v>
      </x:c>
    </x:row>
    <x:row r="260" ht="22" customHeight="1">
      <x:c r="A260" s="6" t="str">
        <x:v>棕北</x:v>
      </x:c>
      <x:c r="B260" s="6" t="str">
        <x:v>首航欣程</x:v>
      </x:c>
      <x:c r="C260" s="6" t="str">
        <x:v>2025.02.26</x:v>
      </x:c>
      <x:c r="D260" s="6" t="n">
        <x:v>77.7</x:v>
      </x:c>
      <x:c r="E260" s="6" t="n">
        <x:v>48.58</x:v>
      </x:c>
      <x:c r="F260" s="6" t="n">
        <x:v>15995</x:v>
      </x:c>
      <x:c r="G260" s="6" t="n">
        <x:v>82</x:v>
      </x:c>
      <x:c r="H260" s="8" t="n">
        <x:v>0.0524</x:v>
      </x:c>
      <x:c r="I260" s="6" t="str">
        <x:v>106119245650</x:v>
      </x:c>
      <x:c r="J260" s="6" t="str">
        <x:v>https://cd.lianjia.com/chengjiao/106119245650.html</x:v>
      </x:c>
    </x:row>
    <x:row r="261" ht="22" customHeight="1">
      <x:c r="A261" s="6" t="str">
        <x:v>合江亭</x:v>
      </x:c>
      <x:c r="B261" s="6" t="str">
        <x:v>锦江印象</x:v>
      </x:c>
      <x:c r="C261" s="6" t="str">
        <x:v>2025.02.23</x:v>
      </x:c>
      <x:c r="D261" s="6" t="n">
        <x:v>98</x:v>
      </x:c>
      <x:c r="E261" s="6" t="n">
        <x:v>36.02</x:v>
      </x:c>
      <x:c r="F261" s="6" t="n">
        <x:v>27208</x:v>
      </x:c>
      <x:c r="G261" s="6" t="n">
        <x:v>103</x:v>
      </x:c>
      <x:c r="H261" s="8" t="n">
        <x:v>0.048499999999999995</x:v>
      </x:c>
      <x:c r="I261" s="6" t="str">
        <x:v>106120640239</x:v>
      </x:c>
      <x:c r="J261" s="6" t="str">
        <x:v>https://cd.lianjia.com/chengjiao/106120640239.html</x:v>
      </x:c>
    </x:row>
    <x:row r="262" ht="22" customHeight="1">
      <x:c r="A262" s="6" t="str">
        <x:v>西南财大</x:v>
      </x:c>
      <x:c r="B262" s="6" t="str">
        <x:v>水木光华</x:v>
      </x:c>
      <x:c r="C262" s="6" t="str">
        <x:v>2025.02.21</x:v>
      </x:c>
      <x:c r="D262" s="6" t="n">
        <x:v>58.5</x:v>
      </x:c>
      <x:c r="E262" s="6" t="n">
        <x:v>45.91</x:v>
      </x:c>
      <x:c r="F262" s="6" t="n">
        <x:v>12743</x:v>
      </x:c>
      <x:c r="G262" s="6" t="n">
        <x:v>60</x:v>
      </x:c>
      <x:c r="H262" s="8" t="n">
        <x:v>0.025</x:v>
      </x:c>
      <x:c r="I262" s="6" t="str">
        <x:v>106121842970</x:v>
      </x:c>
      <x:c r="J262" s="6" t="str">
        <x:v>https://cd.lianjia.com/chengjiao/106121842970.html</x:v>
      </x:c>
    </x:row>
    <x:row r="263" ht="22" customHeight="1">
      <x:c r="A263" s="6" t="str">
        <x:v>合江亭</x:v>
      </x:c>
      <x:c r="B263" s="6" t="str">
        <x:v>国际商务大厦</x:v>
      </x:c>
      <x:c r="C263" s="6" t="str">
        <x:v>2025.02.19</x:v>
      </x:c>
      <x:c r="D263" s="6" t="n">
        <x:v>98</x:v>
      </x:c>
      <x:c r="E263" s="6" t="n">
        <x:v>41.16</x:v>
      </x:c>
      <x:c r="F263" s="6" t="n">
        <x:v>23810</x:v>
      </x:c>
      <x:c r="G263" s="6" t="n">
        <x:v>100</x:v>
      </x:c>
      <x:c r="H263" s="8" t="n">
        <x:v>0.02</x:v>
      </x:c>
      <x:c r="I263" s="6" t="str">
        <x:v>106121059116</x:v>
      </x:c>
      <x:c r="J263" s="6" t="str">
        <x:v>https://cd.lianjia.com/chengjiao/106121059116.html</x:v>
      </x:c>
    </x:row>
    <x:row r="264" ht="22" customHeight="1">
      <x:c r="A264" s="6" t="str">
        <x:v>盐市口</x:v>
      </x:c>
      <x:c r="B264" s="6" t="str">
        <x:v>世代锦江商务楼</x:v>
      </x:c>
      <x:c r="C264" s="6" t="str">
        <x:v>2025.02.14</x:v>
      </x:c>
      <x:c r="D264" s="6" t="n">
        <x:v>119.7</x:v>
      </x:c>
      <x:c r="E264" s="6" t="n">
        <x:v>45.72</x:v>
      </x:c>
      <x:c r="F264" s="6" t="n">
        <x:v>26177</x:v>
      </x:c>
      <x:c r="G264" s="6" t="n">
        <x:v>125</x:v>
      </x:c>
      <x:c r="H264" s="8" t="n">
        <x:v>0.0424</x:v>
      </x:c>
      <x:c r="I264" s="6" t="str">
        <x:v>106120252415</x:v>
      </x:c>
      <x:c r="J264" s="6" t="str">
        <x:v>https://cd.lianjia.com/chengjiao/106120252415.html</x:v>
      </x:c>
    </x:row>
    <x:row r="265" ht="22" customHeight="1">
      <x:c r="A265" s="6" t="str">
        <x:v>玉林</x:v>
      </x:c>
      <x:c r="B265" s="6" t="str">
        <x:v>华宇蓉国府</x:v>
      </x:c>
      <x:c r="C265" s="6" t="str">
        <x:v>2025.02.13</x:v>
      </x:c>
      <x:c r="D265" s="6" t="n">
        <x:v>95.5</x:v>
      </x:c>
      <x:c r="E265" s="6" t="n">
        <x:v>47.94</x:v>
      </x:c>
      <x:c r="F265" s="6" t="n">
        <x:v>19921</x:v>
      </x:c>
      <x:c r="G265" s="6" t="n">
        <x:v>98</x:v>
      </x:c>
      <x:c r="H265" s="8" t="n">
        <x:v>0.0255</x:v>
      </x:c>
      <x:c r="I265" s="6" t="str">
        <x:v>106121687101</x:v>
      </x:c>
      <x:c r="J265" s="6" t="str">
        <x:v>https://cd.lianjia.com/chengjiao/106121687101.html</x:v>
      </x:c>
    </x:row>
    <x:row r="266" ht="22" customHeight="1">
      <x:c r="A266" s="6" t="str">
        <x:v>玉林</x:v>
      </x:c>
      <x:c r="B266" s="6" t="str">
        <x:v>华宇蓉国府</x:v>
      </x:c>
      <x:c r="C266" s="6" t="str">
        <x:v>2025.02.11</x:v>
      </x:c>
      <x:c r="D266" s="6" t="n">
        <x:v>99</x:v>
      </x:c>
      <x:c r="E266" s="6" t="n">
        <x:v>45.48</x:v>
      </x:c>
      <x:c r="F266" s="6" t="n">
        <x:v>21768</x:v>
      </x:c>
      <x:c r="G266" s="6" t="n">
        <x:v>103</x:v>
      </x:c>
      <x:c r="H266" s="8" t="n">
        <x:v>0.0388</x:v>
      </x:c>
      <x:c r="I266" s="6" t="str">
        <x:v>106111988817</x:v>
      </x:c>
      <x:c r="J266" s="6" t="str">
        <x:v>https://cd.lianjia.com/chengjiao/106111988817.html</x:v>
      </x:c>
    </x:row>
    <x:row r="267" ht="22" customHeight="1">
      <x:c r="A267" s="6" t="str">
        <x:v>华西</x:v>
      </x:c>
      <x:c r="B267" s="6" t="str">
        <x:v>丽景天成</x:v>
      </x:c>
      <x:c r="C267" s="6" t="str">
        <x:v>2025.02.08</x:v>
      </x:c>
      <x:c r="D267" s="6" t="n">
        <x:v>98</x:v>
      </x:c>
      <x:c r="E267" s="6" t="n">
        <x:v>57.93</x:v>
      </x:c>
      <x:c r="F267" s="6" t="n">
        <x:v>16917</x:v>
      </x:c>
      <x:c r="G267" s="6" t="n">
        <x:v>101</x:v>
      </x:c>
      <x:c r="H267" s="8" t="n">
        <x:v>0.0297</x:v>
      </x:c>
      <x:c r="I267" s="6" t="str">
        <x:v>106120934373</x:v>
      </x:c>
      <x:c r="J267" s="6" t="str">
        <x:v>https://cd.lianjia.com/chengjiao/106120934373.html</x:v>
      </x:c>
    </x:row>
    <x:row r="268" ht="22" customHeight="1">
      <x:c r="A268" s="6" t="str">
        <x:v>盐市口</x:v>
      </x:c>
      <x:c r="B268" s="6" t="str">
        <x:v>财富中心</x:v>
      </x:c>
      <x:c r="C268" s="6" t="str">
        <x:v>2025.01.24</x:v>
      </x:c>
      <x:c r="D268" s="6" t="n">
        <x:v>110</x:v>
      </x:c>
      <x:c r="E268" s="6" t="n">
        <x:v>33.56</x:v>
      </x:c>
      <x:c r="F268" s="6" t="n">
        <x:v>32778</x:v>
      </x:c>
      <x:c r="G268" s="6" t="n">
        <x:v>112</x:v>
      </x:c>
      <x:c r="H268" s="8" t="n">
        <x:v>0.0179</x:v>
      </x:c>
      <x:c r="I268" s="6" t="str">
        <x:v>106115525559</x:v>
      </x:c>
      <x:c r="J268" s="6" t="str">
        <x:v>https://cd.lianjia.com/chengjiao/106115525559.html</x:v>
      </x:c>
    </x:row>
    <x:row r="269" ht="22" customHeight="1">
      <x:c r="A269" s="6" t="str">
        <x:v>合江亭</x:v>
      </x:c>
      <x:c r="B269" s="6" t="str">
        <x:v>星城银座</x:v>
      </x:c>
      <x:c r="C269" s="6" t="str">
        <x:v>2025.01.15</x:v>
      </x:c>
      <x:c r="D269" s="6" t="n">
        <x:v>86.5</x:v>
      </x:c>
      <x:c r="E269" s="6" t="n">
        <x:v>28.6</x:v>
      </x:c>
      <x:c r="F269" s="6" t="n">
        <x:v>30245</x:v>
      </x:c>
      <x:c r="G269" s="6" t="n">
        <x:v>88</x:v>
      </x:c>
      <x:c r="H269" s="8" t="n">
        <x:v>0.017</x:v>
      </x:c>
      <x:c r="I269" s="6" t="str">
        <x:v>106120523428</x:v>
      </x:c>
      <x:c r="J269" s="6" t="str">
        <x:v>https://cd.lianjia.com/chengjiao/106120523428.html</x:v>
      </x:c>
    </x:row>
    <x:row r="270" ht="22" customHeight="1">
      <x:c r="A270" s="6" t="str">
        <x:v>合江亭</x:v>
      </x:c>
      <x:c r="B270" s="6" t="str">
        <x:v>星城银座</x:v>
      </x:c>
      <x:c r="C270" s="6" t="str">
        <x:v>2025.01.12</x:v>
      </x:c>
      <x:c r="D270" s="6" t="n">
        <x:v>77</x:v>
      </x:c>
      <x:c r="E270" s="6" t="n">
        <x:v>27.66</x:v>
      </x:c>
      <x:c r="F270" s="6" t="n">
        <x:v>27839</x:v>
      </x:c>
      <x:c r="G270" s="6" t="n">
        <x:v>83</x:v>
      </x:c>
      <x:c r="H270" s="8" t="n">
        <x:v>0.0723</x:v>
      </x:c>
      <x:c r="I270" s="6" t="str">
        <x:v>106121009739</x:v>
      </x:c>
      <x:c r="J270" s="6" t="str">
        <x:v>https://cd.lianjia.com/chengjiao/106121009739.html</x:v>
      </x:c>
    </x:row>
    <x:row r="271" ht="22" customHeight="1">
      <x:c r="A271" s="6" t="str">
        <x:v>棕北</x:v>
      </x:c>
      <x:c r="B271" s="6" t="str">
        <x:v>花样年华梦想家</x:v>
      </x:c>
      <x:c r="C271" s="6" t="str">
        <x:v>2025.01.11</x:v>
      </x:c>
      <x:c r="D271" s="6" t="n">
        <x:v>51</x:v>
      </x:c>
      <x:c r="E271" s="6" t="n">
        <x:v>51.61</x:v>
      </x:c>
      <x:c r="F271" s="6" t="n">
        <x:v>9882</x:v>
      </x:c>
      <x:c r="G271" s="6" t="n">
        <x:v>53.2</x:v>
      </x:c>
      <x:c r="H271" s="8" t="n">
        <x:v>0.0414</x:v>
      </x:c>
      <x:c r="I271" s="6" t="str">
        <x:v>106120989452</x:v>
      </x:c>
      <x:c r="J271" s="6" t="str">
        <x:v>https://cd.lianjia.com/chengjiao/106120989452.html</x:v>
      </x:c>
    </x:row>
    <x:row r="272" ht="22" customHeight="1">
      <x:c r="A272" s="6" t="str">
        <x:v>川大</x:v>
      </x:c>
      <x:c r="B272" s="6" t="str">
        <x:v>纯真年代</x:v>
      </x:c>
      <x:c r="C272" s="6" t="str">
        <x:v>2025.01.09</x:v>
      </x:c>
      <x:c r="D272" s="6" t="n">
        <x:v>67.5</x:v>
      </x:c>
      <x:c r="E272" s="6" t="n">
        <x:v>44.92</x:v>
      </x:c>
      <x:c r="F272" s="6" t="n">
        <x:v>15027</x:v>
      </x:c>
      <x:c r="G272" s="6" t="n">
        <x:v>68</x:v>
      </x:c>
      <x:c r="H272" s="8" t="n">
        <x:v>0.0074</x:v>
      </x:c>
      <x:c r="I272" s="6" t="str">
        <x:v>106119562261</x:v>
      </x:c>
      <x:c r="J272" s="6" t="str">
        <x:v>https://cd.lianjia.com/chengjiao/106119562261.html</x:v>
      </x:c>
    </x:row>
    <x:row r="273" ht="22" customHeight="1">
      <x:c r="A273" s="6" t="str">
        <x:v>合江亭</x:v>
      </x:c>
      <x:c r="B273" s="6" t="str">
        <x:v>星城银座</x:v>
      </x:c>
      <x:c r="C273" s="6" t="str">
        <x:v>2025.01.07</x:v>
      </x:c>
      <x:c r="D273" s="6" t="n">
        <x:v>96</x:v>
      </x:c>
      <x:c r="E273" s="6" t="n">
        <x:v>48.1</x:v>
      </x:c>
      <x:c r="F273" s="6" t="n">
        <x:v>19959</x:v>
      </x:c>
      <x:c r="G273" s="6" t="n">
        <x:v>98</x:v>
      </x:c>
      <x:c r="H273" s="8" t="n">
        <x:v>0.0204</x:v>
      </x:c>
      <x:c r="I273" s="6" t="str">
        <x:v>106117968748</x:v>
      </x:c>
      <x:c r="J273" s="6" t="str">
        <x:v>https://cd.lianjia.com/chengjiao/106117968748.html</x:v>
      </x:c>
    </x:row>
    <x:row r="274" ht="22" customHeight="1">
      <x:c r="A274" s="6" t="str">
        <x:v>华西</x:v>
      </x:c>
      <x:c r="B274" s="6" t="str">
        <x:v>天竺丽苑</x:v>
      </x:c>
      <x:c r="C274" s="6" t="str">
        <x:v>2024.12.28</x:v>
      </x:c>
      <x:c r="D274" s="6" t="n">
        <x:v>67</x:v>
      </x:c>
      <x:c r="E274" s="6" t="n">
        <x:v>51.24</x:v>
      </x:c>
      <x:c r="F274" s="6" t="n">
        <x:v>13076</x:v>
      </x:c>
      <x:c r="G274" s="6" t="n">
        <x:v>73</x:v>
      </x:c>
      <x:c r="H274" s="8" t="n">
        <x:v>0.08220000000000001</x:v>
      </x:c>
      <x:c r="I274" s="6" t="str">
        <x:v>106121215309</x:v>
      </x:c>
      <x:c r="J274" s="6" t="str">
        <x:v>https://cd.lianjia.com/chengjiao/106121215309.html</x:v>
      </x:c>
    </x:row>
    <x:row r="275" ht="22" customHeight="1">
      <x:c r="A275" s="6" t="str">
        <x:v>棕北</x:v>
      </x:c>
      <x:c r="B275" s="6" t="str">
        <x:v>棕南公寓</x:v>
      </x:c>
      <x:c r="C275" s="6" t="str">
        <x:v>2024.12.25</x:v>
      </x:c>
      <x:c r="D275" s="6" t="n">
        <x:v>57.6</x:v>
      </x:c>
      <x:c r="E275" s="6" t="n">
        <x:v>41.31</x:v>
      </x:c>
      <x:c r="F275" s="6" t="n">
        <x:v>13944</x:v>
      </x:c>
      <x:c r="G275" s="6" t="n">
        <x:v>63</x:v>
      </x:c>
      <x:c r="H275" s="8" t="n">
        <x:v>0.0857</x:v>
      </x:c>
      <x:c r="I275" s="6" t="str">
        <x:v>106115269587</x:v>
      </x:c>
      <x:c r="J275" s="6" t="str">
        <x:v>https://cd.lianjia.com/chengjiao/106115269587.html</x:v>
      </x:c>
    </x:row>
    <x:row r="276" ht="22" customHeight="1">
      <x:c r="A276" s="6" t="str">
        <x:v>棕北</x:v>
      </x:c>
      <x:c r="B276" s="6" t="str">
        <x:v>花样年华梦想家</x:v>
      </x:c>
      <x:c r="C276" s="6" t="str">
        <x:v>2024.12.20</x:v>
      </x:c>
      <x:c r="D276" s="6" t="n">
        <x:v>40.1</x:v>
      </x:c>
      <x:c r="E276" s="6" t="n">
        <x:v>36.75</x:v>
      </x:c>
      <x:c r="F276" s="6" t="n">
        <x:v>10912</x:v>
      </x:c>
      <x:c r="G276" s="6" t="n">
        <x:v>42.5</x:v>
      </x:c>
      <x:c r="H276" s="8" t="n">
        <x:v>0.0565</x:v>
      </x:c>
      <x:c r="I276" s="6" t="str">
        <x:v>106119825322</x:v>
      </x:c>
      <x:c r="J276" s="6" t="str">
        <x:v>https://cd.lianjia.com/chengjiao/106119825322.html</x:v>
      </x:c>
    </x:row>
    <x:row r="277" ht="22" customHeight="1">
      <x:c r="A277" s="6" t="str">
        <x:v>玉林</x:v>
      </x:c>
      <x:c r="B277" s="6" t="str">
        <x:v>华宇蓉国府</x:v>
      </x:c>
      <x:c r="C277" s="6" t="str">
        <x:v>2024.12.18</x:v>
      </x:c>
      <x:c r="D277" s="6" t="n">
        <x:v>117.5</x:v>
      </x:c>
      <x:c r="E277" s="6" t="n">
        <x:v>55.14</x:v>
      </x:c>
      <x:c r="F277" s="6" t="n">
        <x:v>21310</x:v>
      </x:c>
      <x:c r="G277" s="6" t="n">
        <x:v>120</x:v>
      </x:c>
      <x:c r="H277" s="8" t="n">
        <x:v>0.0208</x:v>
      </x:c>
      <x:c r="I277" s="6" t="str">
        <x:v>106120693005</x:v>
      </x:c>
      <x:c r="J277" s="6" t="str">
        <x:v>https://cd.lianjia.com/chengjiao/106120693005.html</x:v>
      </x:c>
    </x:row>
    <x:row r="278" ht="22" customHeight="1">
      <x:c r="A278" s="6" t="str">
        <x:v>合江亭</x:v>
      </x:c>
      <x:c r="B278" s="6" t="str">
        <x:v>SOHO我的寓所</x:v>
      </x:c>
      <x:c r="C278" s="6" t="str">
        <x:v>2024.12.05</x:v>
      </x:c>
      <x:c r="D278" s="6" t="n">
        <x:v>100</x:v>
      </x:c>
      <x:c r="E278" s="6" t="n">
        <x:v>42.53</x:v>
      </x:c>
      <x:c r="F278" s="6" t="n">
        <x:v>23513</x:v>
      </x:c>
      <x:c r="G278" s="6" t="n">
        <x:v>102</x:v>
      </x:c>
      <x:c r="H278" s="8" t="n">
        <x:v>0.0196</x:v>
      </x:c>
      <x:c r="I278" s="6" t="str">
        <x:v>106120195419</x:v>
      </x:c>
      <x:c r="J278" s="6" t="str">
        <x:v>https://cd.lianjia.com/chengjiao/106120195419.html</x:v>
      </x:c>
    </x:row>
    <x:row r="279" ht="22" customHeight="1">
      <x:c r="A279" s="6" t="str">
        <x:v>西南财大</x:v>
      </x:c>
      <x:c r="B279" s="6" t="str">
        <x:v>水木光华</x:v>
      </x:c>
      <x:c r="C279" s="6" t="str">
        <x:v>2024.12.04</x:v>
      </x:c>
      <x:c r="D279" s="6" t="n">
        <x:v>51.8</x:v>
      </x:c>
      <x:c r="E279" s="6" t="n">
        <x:v>45.91</x:v>
      </x:c>
      <x:c r="F279" s="6" t="n">
        <x:v>11283</x:v>
      </x:c>
      <x:c r="G279" s="6" t="n">
        <x:v>52.5</x:v>
      </x:c>
      <x:c r="H279" s="8" t="n">
        <x:v>0.013300000000000001</x:v>
      </x:c>
      <x:c r="I279" s="6" t="str">
        <x:v>106120977684</x:v>
      </x:c>
      <x:c r="J279" s="6" t="str">
        <x:v>https://cd.lianjia.com/chengjiao/106120977684.html</x:v>
      </x:c>
    </x:row>
    <x:row r="280" ht="22" customHeight="1">
      <x:c r="A280" s="6" t="str">
        <x:v>华西</x:v>
      </x:c>
      <x:c r="B280" s="6" t="str">
        <x:v>艺墅花乡</x:v>
      </x:c>
      <x:c r="C280" s="6" t="str">
        <x:v>2024.12.02</x:v>
      </x:c>
      <x:c r="D280" s="6" t="n">
        <x:v>61</x:v>
      </x:c>
      <x:c r="E280" s="6" t="n">
        <x:v>35.66</x:v>
      </x:c>
      <x:c r="F280" s="6" t="n">
        <x:v>17101</x:v>
      </x:c>
      <x:c r="G280" s="6" t="n">
        <x:v>68</x:v>
      </x:c>
      <x:c r="H280" s="8" t="n">
        <x:v>0.10289999999999999</x:v>
      </x:c>
      <x:c r="I280" s="6" t="str">
        <x:v>106120591949</x:v>
      </x:c>
      <x:c r="J280" s="6" t="str">
        <x:v>https://cd.lianjia.com/chengjiao/106120591949.html</x:v>
      </x:c>
    </x:row>
    <x:row r="281" ht="22" customHeight="1">
      <x:c r="A281" s="6" t="str">
        <x:v>合江亭</x:v>
      </x:c>
      <x:c r="B281" s="6" t="str">
        <x:v>流星花园</x:v>
      </x:c>
      <x:c r="C281" s="6" t="str">
        <x:v>2024.12.01</x:v>
      </x:c>
      <x:c r="D281" s="6" t="n">
        <x:v>71.8</x:v>
      </x:c>
      <x:c r="E281" s="6" t="n">
        <x:v>33.67</x:v>
      </x:c>
      <x:c r="F281" s="6" t="n">
        <x:v>21325</x:v>
      </x:c>
      <x:c r="G281" s="6" t="n">
        <x:v>73</x:v>
      </x:c>
      <x:c r="H281" s="8" t="n">
        <x:v>0.016399999999999998</x:v>
      </x:c>
      <x:c r="I281" s="6" t="str">
        <x:v>106120678035</x:v>
      </x:c>
      <x:c r="J281" s="6" t="str">
        <x:v>https://cd.lianjia.com/chengjiao/106120678035.html</x:v>
      </x:c>
    </x:row>
    <x:row r="282" ht="22" customHeight="1">
      <x:c r="A282" s="6" t="str">
        <x:v>玉林</x:v>
      </x:c>
      <x:c r="B282" s="6" t="str">
        <x:v>华宇蓉国府</x:v>
      </x:c>
      <x:c r="C282" s="6" t="str">
        <x:v>2024.11.29</x:v>
      </x:c>
      <x:c r="D282" s="6" t="n">
        <x:v>96.7</x:v>
      </x:c>
      <x:c r="E282" s="6" t="n">
        <x:v>45.9</x:v>
      </x:c>
      <x:c r="F282" s="6" t="n">
        <x:v>21068</x:v>
      </x:c>
      <x:c r="G282" s="6" t="n">
        <x:v>97</x:v>
      </x:c>
      <x:c r="H282" s="8" t="n">
        <x:v>0.0031</x:v>
      </x:c>
      <x:c r="I282" s="6" t="str">
        <x:v>106120352766</x:v>
      </x:c>
      <x:c r="J282" s="6" t="str">
        <x:v>https://cd.lianjia.com/chengjiao/106120352766.html</x:v>
      </x:c>
    </x:row>
    <x:row r="283" ht="22" customHeight="1">
      <x:c r="A283" s="6" t="str">
        <x:v>川音</x:v>
      </x:c>
      <x:c r="B283" s="6" t="str">
        <x:v>colour彼岸</x:v>
      </x:c>
      <x:c r="C283" s="6" t="str">
        <x:v>2024.11.25</x:v>
      </x:c>
      <x:c r="D283" s="6" t="n">
        <x:v>75.8</x:v>
      </x:c>
      <x:c r="E283" s="6" t="n">
        <x:v>56.65</x:v>
      </x:c>
      <x:c r="F283" s="6" t="n">
        <x:v>13381</x:v>
      </x:c>
      <x:c r="G283" s="6" t="n">
        <x:v>79</x:v>
      </x:c>
      <x:c r="H283" s="8" t="n">
        <x:v>0.0405</x:v>
      </x:c>
      <x:c r="I283" s="6" t="str">
        <x:v>106120923543</x:v>
      </x:c>
      <x:c r="J283" s="6" t="str">
        <x:v>https://cd.lianjia.com/chengjiao/106120923543.html</x:v>
      </x:c>
    </x:row>
    <x:row r="284" ht="22" customHeight="1">
      <x:c r="A284" s="6" t="str">
        <x:v>西南财大</x:v>
      </x:c>
      <x:c r="B284" s="6" t="str">
        <x:v>水木光华</x:v>
      </x:c>
      <x:c r="C284" s="6" t="str">
        <x:v>2024.11.24</x:v>
      </x:c>
      <x:c r="D284" s="6" t="n">
        <x:v>56.4</x:v>
      </x:c>
      <x:c r="E284" s="6" t="n">
        <x:v>38.05</x:v>
      </x:c>
      <x:c r="F284" s="6" t="n">
        <x:v>14818</x:v>
      </x:c>
      <x:c r="G284" s="6" t="n">
        <x:v>59.5</x:v>
      </x:c>
      <x:c r="H284" s="8" t="n">
        <x:v>0.0521</x:v>
      </x:c>
      <x:c r="I284" s="6" t="str">
        <x:v>106120581332</x:v>
      </x:c>
      <x:c r="J284" s="6" t="str">
        <x:v>https://cd.lianjia.com/chengjiao/106120581332.html</x:v>
      </x:c>
    </x:row>
    <x:row r="285" ht="22" customHeight="1">
      <x:c r="A285" s="6" t="str">
        <x:v>川大</x:v>
      </x:c>
      <x:c r="B285" s="6" t="str">
        <x:v>樱花假日</x:v>
      </x:c>
      <x:c r="C285" s="6" t="str">
        <x:v>2024.11.23</x:v>
      </x:c>
      <x:c r="D285" s="6" t="n">
        <x:v>45.5</x:v>
      </x:c>
      <x:c r="E285" s="6" t="n">
        <x:v>37.86</x:v>
      </x:c>
      <x:c r="F285" s="6" t="n">
        <x:v>12018</x:v>
      </x:c>
      <x:c r="G285" s="6" t="n">
        <x:v>48</x:v>
      </x:c>
      <x:c r="H285" s="8" t="n">
        <x:v>0.0521</x:v>
      </x:c>
      <x:c r="I285" s="6" t="str">
        <x:v>106120808717</x:v>
      </x:c>
      <x:c r="J285" s="6" t="str">
        <x:v>https://cd.lianjia.com/chengjiao/106120808717.html</x:v>
      </x:c>
    </x:row>
    <x:row r="286" ht="22" customHeight="1">
      <x:c r="A286" s="6" t="str">
        <x:v>华西</x:v>
      </x:c>
      <x:c r="B286" s="6" t="str">
        <x:v>丽景天成</x:v>
      </x:c>
      <x:c r="C286" s="6" t="str">
        <x:v>2024.11.19</x:v>
      </x:c>
      <x:c r="D286" s="6" t="n">
        <x:v>100.8</x:v>
      </x:c>
      <x:c r="E286" s="6" t="n">
        <x:v>58.52</x:v>
      </x:c>
      <x:c r="F286" s="6" t="n">
        <x:v>17225</x:v>
      </x:c>
      <x:c r="G286" s="6" t="n">
        <x:v>106</x:v>
      </x:c>
      <x:c r="H286" s="8" t="n">
        <x:v>0.049100000000000005</x:v>
      </x:c>
      <x:c r="I286" s="6" t="str">
        <x:v>106117832757</x:v>
      </x:c>
      <x:c r="J286" s="6" t="str">
        <x:v>https://cd.lianjia.com/chengjiao/106117832757.html</x:v>
      </x:c>
    </x:row>
    <x:row r="287" ht="22" customHeight="1">
      <x:c r="A287" s="6" t="str">
        <x:v>华西</x:v>
      </x:c>
      <x:c r="B287" s="6" t="str">
        <x:v>米兰风度花园</x:v>
      </x:c>
      <x:c r="C287" s="6" t="str">
        <x:v>2024.11.19</x:v>
      </x:c>
      <x:c r="D287" s="6" t="n">
        <x:v>62.5</x:v>
      </x:c>
      <x:c r="E287" s="6" t="n">
        <x:v>51.84</x:v>
      </x:c>
      <x:c r="F287" s="6" t="n">
        <x:v>12057</x:v>
      </x:c>
      <x:c r="G287" s="6" t="n">
        <x:v>68</x:v>
      </x:c>
      <x:c r="H287" s="8" t="n">
        <x:v>0.0809</x:v>
      </x:c>
      <x:c r="I287" s="6" t="str">
        <x:v>106120777791</x:v>
      </x:c>
      <x:c r="J287" s="6" t="str">
        <x:v>https://cd.lianjia.com/chengjiao/106120777791.html</x:v>
      </x:c>
    </x:row>
    <x:row r="288" ht="22" customHeight="1">
      <x:c r="A288" s="6" t="str">
        <x:v>西南财大</x:v>
      </x:c>
      <x:c r="B288" s="6" t="str">
        <x:v>水木光华</x:v>
      </x:c>
      <x:c r="C288" s="6" t="str">
        <x:v>2024.11.19</x:v>
      </x:c>
      <x:c r="D288" s="6" t="n">
        <x:v>40</x:v>
      </x:c>
      <x:c r="E288" s="6" t="n">
        <x:v>38.05</x:v>
      </x:c>
      <x:c r="F288" s="6" t="n">
        <x:v>10513</x:v>
      </x:c>
      <x:c r="G288" s="6" t="n">
        <x:v>45</x:v>
      </x:c>
      <x:c r="H288" s="8" t="n">
        <x:v>0.11109999999999999</x:v>
      </x:c>
      <x:c r="I288" s="6" t="str">
        <x:v>106120489689</x:v>
      </x:c>
      <x:c r="J288" s="6" t="str">
        <x:v>https://cd.lianjia.com/chengjiao/106120489689.html</x:v>
      </x:c>
    </x:row>
    <x:row r="289" ht="22" customHeight="1">
      <x:c r="A289" s="6" t="str">
        <x:v>玉林</x:v>
      </x:c>
      <x:c r="B289" s="6" t="str">
        <x:v>华宇蓉国府</x:v>
      </x:c>
      <x:c r="C289" s="6" t="str">
        <x:v>2024.11.14</x:v>
      </x:c>
      <x:c r="D289" s="6" t="n">
        <x:v>94.5</x:v>
      </x:c>
      <x:c r="E289" s="6" t="n">
        <x:v>45.48</x:v>
      </x:c>
      <x:c r="F289" s="6" t="n">
        <x:v>20779</x:v>
      </x:c>
      <x:c r="G289" s="6" t="n">
        <x:v>103</x:v>
      </x:c>
      <x:c r="H289" s="8" t="n">
        <x:v>0.0825</x:v>
      </x:c>
      <x:c r="I289" s="6" t="str">
        <x:v>106113928614</x:v>
      </x:c>
      <x:c r="J289" s="6" t="str">
        <x:v>https://cd.lianjia.com/chengjiao/106113928614.html</x:v>
      </x:c>
    </x:row>
    <x:row r="290" ht="22" customHeight="1">
      <x:c r="A290" s="6" t="str">
        <x:v>棕北</x:v>
      </x:c>
      <x:c r="B290" s="6" t="str">
        <x:v>SOHO沸城</x:v>
      </x:c>
      <x:c r="C290" s="6" t="str">
        <x:v>2024.11.11</x:v>
      </x:c>
      <x:c r="D290" s="6" t="n">
        <x:v>68.7</x:v>
      </x:c>
      <x:c r="E290" s="6" t="n">
        <x:v>53.96</x:v>
      </x:c>
      <x:c r="F290" s="6" t="n">
        <x:v>12732</x:v>
      </x:c>
      <x:c r="G290" s="6" t="n">
        <x:v>69.5</x:v>
      </x:c>
      <x:c r="H290" s="8" t="n">
        <x:v>0.0115</x:v>
      </x:c>
      <x:c r="I290" s="6" t="str">
        <x:v>106120422184</x:v>
      </x:c>
      <x:c r="J290" s="6" t="str">
        <x:v>https://cd.lianjia.com/chengjiao/106120422184.html</x:v>
      </x:c>
    </x:row>
    <x:row r="291" ht="22" customHeight="1">
      <x:c r="A291" s="6" t="str">
        <x:v>玉林</x:v>
      </x:c>
      <x:c r="B291" s="6" t="str">
        <x:v>华宇蓉国府</x:v>
      </x:c>
      <x:c r="C291" s="6" t="str">
        <x:v>2024.11.10</x:v>
      </x:c>
      <x:c r="D291" s="6" t="n">
        <x:v>91</x:v>
      </x:c>
      <x:c r="E291" s="6" t="n">
        <x:v>45.53</x:v>
      </x:c>
      <x:c r="F291" s="6" t="n">
        <x:v>19987</x:v>
      </x:c>
      <x:c r="G291" s="6" t="n">
        <x:v>92</x:v>
      </x:c>
      <x:c r="H291" s="8" t="n">
        <x:v>0.0109</x:v>
      </x:c>
      <x:c r="I291" s="6" t="str">
        <x:v>106120340559</x:v>
      </x:c>
      <x:c r="J291" s="6" t="str">
        <x:v>https://cd.lianjia.com/chengjiao/106120340559.html</x:v>
      </x:c>
    </x:row>
    <x:row r="292" ht="22" customHeight="1">
      <x:c r="A292" s="6" t="str">
        <x:v>西南财大</x:v>
      </x:c>
      <x:c r="B292" s="6" t="str">
        <x:v>水木光华</x:v>
      </x:c>
      <x:c r="C292" s="6" t="str">
        <x:v>2024.11.10</x:v>
      </x:c>
      <x:c r="D292" s="6" t="n">
        <x:v>55.3</x:v>
      </x:c>
      <x:c r="E292" s="6" t="n">
        <x:v>51.3</x:v>
      </x:c>
      <x:c r="F292" s="6" t="n">
        <x:v>10780</x:v>
      </x:c>
      <x:c r="G292" s="6" t="n">
        <x:v>56</x:v>
      </x:c>
      <x:c r="H292" s="8" t="n">
        <x:v>0.0125</x:v>
      </x:c>
      <x:c r="I292" s="6" t="str">
        <x:v>106120683395</x:v>
      </x:c>
      <x:c r="J292" s="6" t="str">
        <x:v>https://cd.lianjia.com/chengjiao/106120683395.html</x:v>
      </x:c>
    </x:row>
    <x:row r="293" ht="22" customHeight="1">
      <x:c r="A293" s="6" t="str">
        <x:v>华西</x:v>
      </x:c>
      <x:c r="B293" s="6" t="str">
        <x:v>天竺丽苑</x:v>
      </x:c>
      <x:c r="C293" s="6" t="str">
        <x:v>2024.11.03</x:v>
      </x:c>
      <x:c r="D293" s="6" t="n">
        <x:v>74</x:v>
      </x:c>
      <x:c r="E293" s="6" t="n">
        <x:v>49.9</x:v>
      </x:c>
      <x:c r="F293" s="6" t="n">
        <x:v>14830</x:v>
      </x:c>
      <x:c r="G293" s="6" t="n">
        <x:v>80</x:v>
      </x:c>
      <x:c r="H293" s="8" t="n">
        <x:v>0.075</x:v>
      </x:c>
      <x:c r="I293" s="6" t="str">
        <x:v>106113288689</x:v>
      </x:c>
      <x:c r="J293" s="6" t="str">
        <x:v>https://cd.lianjia.com/chengjiao/106113288689.html</x:v>
      </x:c>
    </x:row>
    <x:row r="294" ht="22" customHeight="1">
      <x:c r="A294" s="6" t="str">
        <x:v>西南财大</x:v>
      </x:c>
      <x:c r="B294" s="6" t="str">
        <x:v>水木光华</x:v>
      </x:c>
      <x:c r="C294" s="6" t="str">
        <x:v>2024.10.27</x:v>
      </x:c>
      <x:c r="D294" s="6" t="n">
        <x:v>49.5</x:v>
      </x:c>
      <x:c r="E294" s="6" t="n">
        <x:v>45.91</x:v>
      </x:c>
      <x:c r="F294" s="6" t="n">
        <x:v>10782</x:v>
      </x:c>
      <x:c r="G294" s="6" t="n">
        <x:v>49.5</x:v>
      </x:c>
      <x:c r="H294" s="8" t="n">
        <x:v>0</x:v>
      </x:c>
      <x:c r="I294" s="6" t="str">
        <x:v>106120534288</x:v>
      </x:c>
      <x:c r="J294" s="6" t="str">
        <x:v>https://cd.lianjia.com/chengjiao/106120534288.html</x:v>
      </x:c>
    </x:row>
    <x:row r="295" ht="22" customHeight="1">
      <x:c r="A295" s="6" t="str">
        <x:v>玉林</x:v>
      </x:c>
      <x:c r="B295" s="6" t="str">
        <x:v>都市金岸</x:v>
      </x:c>
      <x:c r="C295" s="6" t="str">
        <x:v>2024.10.16</x:v>
      </x:c>
      <x:c r="D295" s="6" t="n">
        <x:v>76</x:v>
      </x:c>
      <x:c r="E295" s="6" t="n">
        <x:v>55.2</x:v>
      </x:c>
      <x:c r="F295" s="6" t="n">
        <x:v>13769</x:v>
      </x:c>
      <x:c r="G295" s="6" t="n">
        <x:v>80</x:v>
      </x:c>
      <x:c r="H295" s="8" t="n">
        <x:v>0.05</x:v>
      </x:c>
      <x:c r="I295" s="6" t="str">
        <x:v>106109826256</x:v>
      </x:c>
      <x:c r="J295" s="6" t="str">
        <x:v>https://cd.lianjia.com/chengjiao/106109826256.html</x:v>
      </x:c>
    </x:row>
    <x:row r="296" ht="22" customHeight="1">
      <x:c r="A296" s="6" t="str">
        <x:v>川音</x:v>
      </x:c>
      <x:c r="B296" s="6" t="str">
        <x:v>时代100</x:v>
      </x:c>
      <x:c r="C296" s="6" t="str">
        <x:v>2024.10.07</x:v>
      </x:c>
      <x:c r="D296" s="6" t="n">
        <x:v>52</x:v>
      </x:c>
      <x:c r="E296" s="6" t="n">
        <x:v>42.11</x:v>
      </x:c>
      <x:c r="F296" s="6" t="n">
        <x:v>12349</x:v>
      </x:c>
      <x:c r="G296" s="6" t="n">
        <x:v>53.5</x:v>
      </x:c>
      <x:c r="H296" s="8" t="n">
        <x:v>0.027999999999999997</x:v>
      </x:c>
      <x:c r="I296" s="6" t="str">
        <x:v>106111748547</x:v>
      </x:c>
      <x:c r="J296" s="6" t="str">
        <x:v>https://cd.lianjia.com/chengjiao/106111748547.html</x:v>
      </x:c>
    </x:row>
    <x:row r="297" ht="22" customHeight="1">
      <x:c r="A297" s="6" t="str">
        <x:v>川音</x:v>
      </x:c>
      <x:c r="B297" s="6" t="str">
        <x:v>林荫嘉园</x:v>
      </x:c>
      <x:c r="C297" s="6" t="str">
        <x:v>2024.09.24</x:v>
      </x:c>
      <x:c r="D297" s="6" t="n">
        <x:v>70</x:v>
      </x:c>
      <x:c r="E297" s="6" t="n">
        <x:v>47.26</x:v>
      </x:c>
      <x:c r="F297" s="6" t="n">
        <x:v>14812</x:v>
      </x:c>
      <x:c r="G297" s="6" t="n">
        <x:v>73</x:v>
      </x:c>
      <x:c r="H297" s="8" t="n">
        <x:v>0.041100000000000005</x:v>
      </x:c>
      <x:c r="I297" s="6" t="str">
        <x:v>106120006719</x:v>
      </x:c>
      <x:c r="J297" s="6" t="str">
        <x:v>https://cd.lianjia.com/chengjiao/106120006719.html</x:v>
      </x:c>
    </x:row>
    <x:row r="298" ht="22" customHeight="1">
      <x:c r="A298" s="6" t="str">
        <x:v>西南财大</x:v>
      </x:c>
      <x:c r="B298" s="6" t="str">
        <x:v>水木光华</x:v>
      </x:c>
      <x:c r="C298" s="6" t="str">
        <x:v>2024.09.20</x:v>
      </x:c>
      <x:c r="D298" s="6" t="n">
        <x:v>49.5</x:v>
      </x:c>
      <x:c r="E298" s="6" t="n">
        <x:v>49.45</x:v>
      </x:c>
      <x:c r="F298" s="6" t="n">
        <x:v>10011</x:v>
      </x:c>
      <x:c r="G298" s="6" t="n">
        <x:v>50</x:v>
      </x:c>
      <x:c r="H298" s="8" t="n">
        <x:v>0.01</x:v>
      </x:c>
      <x:c r="I298" s="6" t="str">
        <x:v>106119672138</x:v>
      </x:c>
      <x:c r="J298" s="6" t="str">
        <x:v>https://cd.lianjia.com/chengjiao/106119672138.html</x:v>
      </x:c>
    </x:row>
    <x:row r="299" ht="22" customHeight="1">
      <x:c r="A299" s="6" t="str">
        <x:v>西南财大</x:v>
      </x:c>
      <x:c r="B299" s="6" t="str">
        <x:v>水木光华</x:v>
      </x:c>
      <x:c r="C299" s="6" t="str">
        <x:v>2024.09.04</x:v>
      </x:c>
      <x:c r="D299" s="6" t="n">
        <x:v>49.5</x:v>
      </x:c>
      <x:c r="E299" s="6" t="n">
        <x:v>45.91</x:v>
      </x:c>
      <x:c r="F299" s="6" t="n">
        <x:v>10782</x:v>
      </x:c>
      <x:c r="G299" s="6" t="n">
        <x:v>49.5</x:v>
      </x:c>
      <x:c r="H299" s="8" t="n">
        <x:v>0</x:v>
      </x:c>
      <x:c r="I299" s="6" t="str">
        <x:v>106119424083</x:v>
      </x:c>
      <x:c r="J299" s="6" t="str">
        <x:v>https://cd.lianjia.com/chengjiao/106119424083.html</x:v>
      </x:c>
    </x:row>
    <x:row r="300" ht="22" customHeight="1">
      <x:c r="A300" s="6" t="str">
        <x:v>玉林</x:v>
      </x:c>
      <x:c r="B300" s="6" t="str">
        <x:v>华宇蓉国府</x:v>
      </x:c>
      <x:c r="C300" s="6" t="str">
        <x:v>2024.08.30</x:v>
      </x:c>
      <x:c r="D300" s="6" t="n">
        <x:v>90</x:v>
      </x:c>
      <x:c r="E300" s="6" t="n">
        <x:v>47.94</x:v>
      </x:c>
      <x:c r="F300" s="6" t="n">
        <x:v>18774</x:v>
      </x:c>
      <x:c r="G300" s="6" t="n">
        <x:v>98</x:v>
      </x:c>
      <x:c r="H300" s="8" t="n">
        <x:v>0.0816</x:v>
      </x:c>
      <x:c r="I300" s="6" t="str">
        <x:v>106119051938</x:v>
      </x:c>
      <x:c r="J300" s="6" t="str">
        <x:v>https://cd.lianjia.com/chengjiao/106119051938.html</x:v>
      </x:c>
    </x:row>
    <x:row r="301" ht="22" customHeight="1">
      <x:c r="A301" s="6" t="str">
        <x:v>西南财大</x:v>
      </x:c>
      <x:c r="B301" s="6" t="str">
        <x:v>水木光华</x:v>
      </x:c>
      <x:c r="C301" s="6" t="str">
        <x:v>2024.08.24</x:v>
      </x:c>
      <x:c r="D301" s="6" t="n">
        <x:v>49.3</x:v>
      </x:c>
      <x:c r="E301" s="6" t="n">
        <x:v>45.91</x:v>
      </x:c>
      <x:c r="F301" s="6" t="n">
        <x:v>10739</x:v>
      </x:c>
      <x:c r="G301" s="6" t="n">
        <x:v>49.3</x:v>
      </x:c>
      <x:c r="H301" s="8" t="n">
        <x:v>0</x:v>
      </x:c>
      <x:c r="I301" s="6" t="str">
        <x:v>106117441695</x:v>
      </x:c>
      <x:c r="J301" s="6" t="str">
        <x:v>https://cd.lianjia.com/chengjiao/106117441695.html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8" hidden="0" customWidth="1"/>
    <x:col min="4" max="4" width="25" hidden="0" customWidth="1"/>
    <x:col min="5" max="5" width="26" hidden="0" customWidth="1"/>
  </x:cols>
  <x:sheetData>
    <x:row r="2">
      <x:c r="A2" s="1" t="str">
        <x:v>历史成交的季度变化</x:v>
      </x:c>
    </x:row>
    <x:row r="3">
      <x:c r="A3" s="2" t="str">
        <x:v>为展示样本随时间变化的概况；季度中位数未控制小区/面积/户型组合变化，不能直接当作房价指数。</x:v>
      </x:c>
    </x:row>
    <x:row r="6" ht="30" customHeight="1">
      <x:c r="A6" s="7" t="str">
        <x:v>商圈</x:v>
      </x:c>
      <x:c r="B6" s="7" t="str">
        <x:v>季度</x:v>
      </x:c>
      <x:c r="C6" s="7" t="str">
        <x:v>成交数</x:v>
      </x:c>
      <x:c r="D6" s="7" t="str">
        <x:v>成交单价中位数</x:v>
      </x:c>
      <x:c r="E6" s="7" t="str">
        <x:v>议价折让中位数</x:v>
      </x:c>
    </x:row>
    <x:row r="7" ht="22" customHeight="1">
      <x:c r="A7" s="6" t="str">
        <x:v>华西</x:v>
      </x:c>
      <x:c r="B7" s="6" t="str">
        <x:v>2024Q4</x:v>
      </x:c>
      <x:c r="C7" s="6" t="n">
        <x:v>10</x:v>
      </x:c>
      <x:c r="D7" s="6" t="n">
        <x:v>13648.5</x:v>
      </x:c>
      <x:c r="E7" s="8" t="n">
        <x:v>0.0659</x:v>
      </x:c>
    </x:row>
    <x:row r="8" ht="22" customHeight="1">
      <x:c r="A8" s="6" t="str">
        <x:v>华西</x:v>
      </x:c>
      <x:c r="B8" s="6" t="str">
        <x:v>2025Q1</x:v>
      </x:c>
      <x:c r="C8" s="6" t="n">
        <x:v>9</x:v>
      </x:c>
      <x:c r="D8" s="6" t="n">
        <x:v>14750</x:v>
      </x:c>
      <x:c r="E8" s="8" t="n">
        <x:v>0.0621</x:v>
      </x:c>
    </x:row>
    <x:row r="9" ht="22" customHeight="1">
      <x:c r="A9" s="6" t="str">
        <x:v>华西</x:v>
      </x:c>
      <x:c r="B9" s="6" t="str">
        <x:v>2025Q2</x:v>
      </x:c>
      <x:c r="C9" s="6" t="n">
        <x:v>9</x:v>
      </x:c>
      <x:c r="D9" s="6" t="n">
        <x:v>15023</x:v>
      </x:c>
      <x:c r="E9" s="8" t="n">
        <x:v>0.0179</x:v>
      </x:c>
    </x:row>
    <x:row r="10" ht="22" customHeight="1">
      <x:c r="A10" s="6" t="str">
        <x:v>华西</x:v>
      </x:c>
      <x:c r="B10" s="6" t="str">
        <x:v>2025Q3</x:v>
      </x:c>
      <x:c r="C10" s="6" t="n">
        <x:v>10</x:v>
      </x:c>
      <x:c r="D10" s="6" t="n">
        <x:v>13540.5</x:v>
      </x:c>
      <x:c r="E10" s="8" t="n">
        <x:v>0.018349999999999998</x:v>
      </x:c>
    </x:row>
    <x:row r="11" ht="22" customHeight="1">
      <x:c r="A11" s="6" t="str">
        <x:v>华西</x:v>
      </x:c>
      <x:c r="B11" s="6" t="str">
        <x:v>2025Q4</x:v>
      </x:c>
      <x:c r="C11" s="6" t="n">
        <x:v>11</x:v>
      </x:c>
      <x:c r="D11" s="6" t="n">
        <x:v>14237</x:v>
      </x:c>
      <x:c r="E11" s="8" t="n">
        <x:v>0.0541</x:v>
      </x:c>
    </x:row>
    <x:row r="12" ht="22" customHeight="1">
      <x:c r="A12" s="6" t="str">
        <x:v>华西</x:v>
      </x:c>
      <x:c r="B12" s="6" t="str">
        <x:v>2026Q1</x:v>
      </x:c>
      <x:c r="C12" s="6" t="n">
        <x:v>1</x:v>
      </x:c>
      <x:c r="D12" s="6" t="n">
        <x:v>14865</x:v>
      </x:c>
      <x:c r="E12" s="8" t="n">
        <x:v>0.057800000000000004</x:v>
      </x:c>
    </x:row>
    <x:row r="13" ht="22" customHeight="1">
      <x:c r="A13" s="6" t="str">
        <x:v>华西</x:v>
      </x:c>
      <x:c r="B13" s="6" t="str">
        <x:v>2026Q2</x:v>
      </x:c>
      <x:c r="C13" s="6" t="n">
        <x:v>3</x:v>
      </x:c>
      <x:c r="D13" s="6" t="n">
        <x:v>14339</x:v>
      </x:c>
      <x:c r="E13" s="8" t="n">
        <x:v>0.08929999999999999</x:v>
      </x:c>
    </x:row>
    <x:row r="14" ht="22" customHeight="1">
      <x:c r="A14" s="6" t="str">
        <x:v>华西</x:v>
      </x:c>
      <x:c r="B14" s="6" t="str">
        <x:v>2026Q3</x:v>
      </x:c>
      <x:c r="C14" s="6" t="n">
        <x:v>14</x:v>
      </x:c>
      <x:c r="D14" s="6" t="n">
        <x:v>13663</x:v>
      </x:c>
      <x:c r="E14" s="8" t="n">
        <x:v>0.061200000000000004</x:v>
      </x:c>
    </x:row>
    <x:row r="15" ht="22" customHeight="1">
      <x:c r="A15" s="6" t="str">
        <x:v>合江亭</x:v>
      </x:c>
      <x:c r="B15" s="6" t="str">
        <x:v>2024Q4</x:v>
      </x:c>
      <x:c r="C15" s="6" t="n">
        <x:v>17</x:v>
      </x:c>
      <x:c r="D15" s="6" t="n">
        <x:v>19401</x:v>
      </x:c>
      <x:c r="E15" s="8" t="n">
        <x:v>0.018000000000000002</x:v>
      </x:c>
    </x:row>
    <x:row r="16" ht="22" customHeight="1">
      <x:c r="A16" s="6" t="str">
        <x:v>合江亭</x:v>
      </x:c>
      <x:c r="B16" s="6" t="str">
        <x:v>2025Q1</x:v>
      </x:c>
      <x:c r="C16" s="6" t="n">
        <x:v>26</x:v>
      </x:c>
      <x:c r="D16" s="6" t="n">
        <x:v>24917.5</x:v>
      </x:c>
      <x:c r="E16" s="8" t="n">
        <x:v>0.0271</x:v>
      </x:c>
    </x:row>
    <x:row r="17" ht="22" customHeight="1">
      <x:c r="A17" s="6" t="str">
        <x:v>合江亭</x:v>
      </x:c>
      <x:c r="B17" s="6" t="str">
        <x:v>2025Q2</x:v>
      </x:c>
      <x:c r="C17" s="6" t="n">
        <x:v>21</x:v>
      </x:c>
      <x:c r="D17" s="6" t="n">
        <x:v>21785</x:v>
      </x:c>
      <x:c r="E17" s="8" t="n">
        <x:v>0.0388</x:v>
      </x:c>
    </x:row>
    <x:row r="18" ht="22" customHeight="1">
      <x:c r="A18" s="6" t="str">
        <x:v>合江亭</x:v>
      </x:c>
      <x:c r="B18" s="6" t="str">
        <x:v>2025Q3</x:v>
      </x:c>
      <x:c r="C18" s="6" t="n">
        <x:v>33</x:v>
      </x:c>
      <x:c r="D18" s="6" t="n">
        <x:v>22567</x:v>
      </x:c>
      <x:c r="E18" s="8" t="n">
        <x:v>0.0286</x:v>
      </x:c>
    </x:row>
    <x:row r="19" ht="22" customHeight="1">
      <x:c r="A19" s="6" t="str">
        <x:v>合江亭</x:v>
      </x:c>
      <x:c r="B19" s="6" t="str">
        <x:v>2025Q4</x:v>
      </x:c>
      <x:c r="C19" s="6" t="n">
        <x:v>25</x:v>
      </x:c>
      <x:c r="D19" s="6" t="n">
        <x:v>18643</x:v>
      </x:c>
      <x:c r="E19" s="8" t="n">
        <x:v>0.0353</x:v>
      </x:c>
    </x:row>
    <x:row r="20" ht="22" customHeight="1">
      <x:c r="A20" s="6" t="str">
        <x:v>合江亭</x:v>
      </x:c>
      <x:c r="B20" s="6" t="str">
        <x:v>2026Q1</x:v>
      </x:c>
      <x:c r="C20" s="6" t="n">
        <x:v>8</x:v>
      </x:c>
      <x:c r="D20" s="6" t="n">
        <x:v>22680</x:v>
      </x:c>
      <x:c r="E20" s="8" t="n">
        <x:v>0.0463</x:v>
      </x:c>
    </x:row>
    <x:row r="21" ht="22" customHeight="1">
      <x:c r="A21" s="6" t="str">
        <x:v>合江亭</x:v>
      </x:c>
      <x:c r="B21" s="6" t="str">
        <x:v>2026Q2</x:v>
      </x:c>
      <x:c r="C21" s="6" t="n">
        <x:v>14</x:v>
      </x:c>
      <x:c r="D21" s="6" t="n">
        <x:v>18251</x:v>
      </x:c>
      <x:c r="E21" s="8" t="n">
        <x:v>0.06115</x:v>
      </x:c>
    </x:row>
    <x:row r="22" ht="22" customHeight="1">
      <x:c r="A22" s="6" t="str">
        <x:v>合江亭</x:v>
      </x:c>
      <x:c r="B22" s="6" t="str">
        <x:v>2026Q3</x:v>
      </x:c>
      <x:c r="C22" s="6" t="n">
        <x:v>8</x:v>
      </x:c>
      <x:c r="D22" s="6" t="n">
        <x:v>20298.5</x:v>
      </x:c>
      <x:c r="E22" s="8" t="n">
        <x:v>0.06225</x:v>
      </x:c>
    </x:row>
    <x:row r="23" ht="22" customHeight="1">
      <x:c r="A23" s="6" t="str">
        <x:v>川大</x:v>
      </x:c>
      <x:c r="B23" s="6" t="str">
        <x:v>2024Q4</x:v>
      </x:c>
      <x:c r="C23" s="6" t="n">
        <x:v>5</x:v>
      </x:c>
      <x:c r="D23" s="6" t="n">
        <x:v>12018</x:v>
      </x:c>
      <x:c r="E23" s="8" t="n">
        <x:v>0.0116</x:v>
      </x:c>
    </x:row>
    <x:row r="24" ht="22" customHeight="1">
      <x:c r="A24" s="6" t="str">
        <x:v>川大</x:v>
      </x:c>
      <x:c r="B24" s="6" t="str">
        <x:v>2025Q1</x:v>
      </x:c>
      <x:c r="C24" s="6" t="n">
        <x:v>11</x:v>
      </x:c>
      <x:c r="D24" s="6" t="n">
        <x:v>13648</x:v>
      </x:c>
      <x:c r="E24" s="8" t="n">
        <x:v>0.05</x:v>
      </x:c>
    </x:row>
    <x:row r="25" ht="22" customHeight="1">
      <x:c r="A25" s="6" t="str">
        <x:v>川大</x:v>
      </x:c>
      <x:c r="B25" s="6" t="str">
        <x:v>2025Q2</x:v>
      </x:c>
      <x:c r="C25" s="6" t="n">
        <x:v>6</x:v>
      </x:c>
      <x:c r="D25" s="6" t="n">
        <x:v>14998</x:v>
      </x:c>
      <x:c r="E25" s="8" t="n">
        <x:v>0.0113</x:v>
      </x:c>
    </x:row>
    <x:row r="26" ht="22" customHeight="1">
      <x:c r="A26" s="6" t="str">
        <x:v>川大</x:v>
      </x:c>
      <x:c r="B26" s="6" t="str">
        <x:v>2025Q3</x:v>
      </x:c>
      <x:c r="C26" s="6" t="n">
        <x:v>5</x:v>
      </x:c>
      <x:c r="D26" s="6" t="n">
        <x:v>11037</x:v>
      </x:c>
      <x:c r="E26" s="8" t="n">
        <x:v>0.034300000000000004</x:v>
      </x:c>
    </x:row>
    <x:row r="27" ht="22" customHeight="1">
      <x:c r="A27" s="6" t="str">
        <x:v>川大</x:v>
      </x:c>
      <x:c r="B27" s="6" t="str">
        <x:v>2025Q4</x:v>
      </x:c>
      <x:c r="C27" s="6" t="n">
        <x:v>10</x:v>
      </x:c>
      <x:c r="D27" s="6" t="n">
        <x:v>12632.5</x:v>
      </x:c>
      <x:c r="E27" s="8" t="n">
        <x:v>0.040549999999999996</x:v>
      </x:c>
    </x:row>
    <x:row r="28" ht="22" customHeight="1">
      <x:c r="A28" s="6" t="str">
        <x:v>川大</x:v>
      </x:c>
      <x:c r="B28" s="6" t="str">
        <x:v>2026Q1</x:v>
      </x:c>
      <x:c r="C28" s="6" t="n">
        <x:v>5</x:v>
      </x:c>
      <x:c r="D28" s="6" t="n">
        <x:v>11766</x:v>
      </x:c>
      <x:c r="E28" s="8" t="n">
        <x:v>0.0581</x:v>
      </x:c>
    </x:row>
    <x:row r="29" ht="22" customHeight="1">
      <x:c r="A29" s="6" t="str">
        <x:v>川大</x:v>
      </x:c>
      <x:c r="B29" s="6" t="str">
        <x:v>2026Q2</x:v>
      </x:c>
      <x:c r="C29" s="6" t="n">
        <x:v>5</x:v>
      </x:c>
      <x:c r="D29" s="6" t="n">
        <x:v>14892</x:v>
      </x:c>
      <x:c r="E29" s="8" t="n">
        <x:v>0.09300000000000001</x:v>
      </x:c>
    </x:row>
    <x:row r="30" ht="22" customHeight="1">
      <x:c r="A30" s="6" t="str">
        <x:v>川大</x:v>
      </x:c>
      <x:c r="B30" s="6" t="str">
        <x:v>2026Q3</x:v>
      </x:c>
      <x:c r="C30" s="6" t="n">
        <x:v>12</x:v>
      </x:c>
      <x:c r="D30" s="6" t="n">
        <x:v>12080.5</x:v>
      </x:c>
      <x:c r="E30" s="8" t="n">
        <x:v>0.0632</x:v>
      </x:c>
    </x:row>
    <x:row r="31" ht="22" customHeight="1">
      <x:c r="A31" s="6" t="str">
        <x:v>川音</x:v>
      </x:c>
      <x:c r="B31" s="6" t="str">
        <x:v>2024Q3</x:v>
      </x:c>
      <x:c r="C31" s="6" t="n">
        <x:v>6</x:v>
      </x:c>
      <x:c r="D31" s="6" t="n">
        <x:v>15469</x:v>
      </x:c>
      <x:c r="E31" s="8" t="n">
        <x:v>0.033049999999999996</x:v>
      </x:c>
    </x:row>
    <x:row r="32" ht="22" customHeight="1">
      <x:c r="A32" s="6" t="str">
        <x:v>川音</x:v>
      </x:c>
      <x:c r="B32" s="6" t="str">
        <x:v>2024Q4</x:v>
      </x:c>
      <x:c r="C32" s="6" t="n">
        <x:v>19</x:v>
      </x:c>
      <x:c r="D32" s="6" t="n">
        <x:v>13850</x:v>
      </x:c>
      <x:c r="E32" s="8" t="n">
        <x:v>0.0286</x:v>
      </x:c>
    </x:row>
    <x:row r="33" ht="22" customHeight="1">
      <x:c r="A33" s="6" t="str">
        <x:v>川音</x:v>
      </x:c>
      <x:c r="B33" s="6" t="str">
        <x:v>2025Q1</x:v>
      </x:c>
      <x:c r="C33" s="6" t="n">
        <x:v>6</x:v>
      </x:c>
      <x:c r="D33" s="6" t="n">
        <x:v>13422.5</x:v>
      </x:c>
      <x:c r="E33" s="8" t="n">
        <x:v>0.04455</x:v>
      </x:c>
    </x:row>
    <x:row r="34" ht="22" customHeight="1">
      <x:c r="A34" s="6" t="str">
        <x:v>川音</x:v>
      </x:c>
      <x:c r="B34" s="6" t="str">
        <x:v>2025Q2</x:v>
      </x:c>
      <x:c r="C34" s="6" t="n">
        <x:v>6</x:v>
      </x:c>
      <x:c r="D34" s="6" t="n">
        <x:v>18052.5</x:v>
      </x:c>
      <x:c r="E34" s="8" t="n">
        <x:v>0.04365</x:v>
      </x:c>
    </x:row>
    <x:row r="35" ht="22" customHeight="1">
      <x:c r="A35" s="6" t="str">
        <x:v>川音</x:v>
      </x:c>
      <x:c r="B35" s="6" t="str">
        <x:v>2025Q3</x:v>
      </x:c>
      <x:c r="C35" s="6" t="n">
        <x:v>18</x:v>
      </x:c>
      <x:c r="D35" s="6" t="n">
        <x:v>14293</x:v>
      </x:c>
      <x:c r="E35" s="8" t="n">
        <x:v>0.0518</x:v>
      </x:c>
    </x:row>
    <x:row r="36" ht="22" customHeight="1">
      <x:c r="A36" s="6" t="str">
        <x:v>川音</x:v>
      </x:c>
      <x:c r="B36" s="6" t="str">
        <x:v>2025Q4</x:v>
      </x:c>
      <x:c r="C36" s="6" t="n">
        <x:v>9</x:v>
      </x:c>
      <x:c r="D36" s="6" t="n">
        <x:v>14202</x:v>
      </x:c>
      <x:c r="E36" s="8" t="n">
        <x:v>0.052199999999999996</x:v>
      </x:c>
    </x:row>
    <x:row r="37" ht="22" customHeight="1">
      <x:c r="A37" s="6" t="str">
        <x:v>川音</x:v>
      </x:c>
      <x:c r="B37" s="6" t="str">
        <x:v>2026Q1</x:v>
      </x:c>
      <x:c r="C37" s="6" t="n">
        <x:v>7</x:v>
      </x:c>
      <x:c r="D37" s="6" t="n">
        <x:v>14467</x:v>
      </x:c>
      <x:c r="E37" s="8" t="n">
        <x:v>0.081</x:v>
      </x:c>
    </x:row>
    <x:row r="38" ht="22" customHeight="1">
      <x:c r="A38" s="6" t="str">
        <x:v>川音</x:v>
      </x:c>
      <x:c r="B38" s="6" t="str">
        <x:v>2026Q2</x:v>
      </x:c>
      <x:c r="C38" s="6" t="n">
        <x:v>11</x:v>
      </x:c>
      <x:c r="D38" s="6" t="n">
        <x:v>13416</x:v>
      </x:c>
      <x:c r="E38" s="8" t="n">
        <x:v>0.0661</x:v>
      </x:c>
    </x:row>
    <x:row r="39" ht="22" customHeight="1">
      <x:c r="A39" s="6" t="str">
        <x:v>川音</x:v>
      </x:c>
      <x:c r="B39" s="6" t="str">
        <x:v>2026Q3</x:v>
      </x:c>
      <x:c r="C39" s="6" t="n">
        <x:v>8</x:v>
      </x:c>
      <x:c r="D39" s="6" t="n">
        <x:v>12000.5</x:v>
      </x:c>
      <x:c r="E39" s="8" t="n">
        <x:v>0.06455</x:v>
      </x:c>
    </x:row>
    <x:row r="40" ht="22" customHeight="1">
      <x:c r="A40" s="6" t="str">
        <x:v>棕北</x:v>
      </x:c>
      <x:c r="B40" s="6" t="str">
        <x:v>2024Q4</x:v>
      </x:c>
      <x:c r="C40" s="6" t="n">
        <x:v>10</x:v>
      </x:c>
      <x:c r="D40" s="6" t="n">
        <x:v>10823.5</x:v>
      </x:c>
      <x:c r="E40" s="8" t="n">
        <x:v>0.040350000000000004</x:v>
      </x:c>
    </x:row>
    <x:row r="41" ht="22" customHeight="1">
      <x:c r="A41" s="6" t="str">
        <x:v>棕北</x:v>
      </x:c>
      <x:c r="B41" s="6" t="str">
        <x:v>2025Q1</x:v>
      </x:c>
      <x:c r="C41" s="6" t="n">
        <x:v>10</x:v>
      </x:c>
      <x:c r="D41" s="6" t="n">
        <x:v>13623</x:v>
      </x:c>
      <x:c r="E41" s="8" t="n">
        <x:v>0.0417</x:v>
      </x:c>
    </x:row>
    <x:row r="42" ht="22" customHeight="1">
      <x:c r="A42" s="6" t="str">
        <x:v>棕北</x:v>
      </x:c>
      <x:c r="B42" s="6" t="str">
        <x:v>2025Q2</x:v>
      </x:c>
      <x:c r="C42" s="6" t="n">
        <x:v>6</x:v>
      </x:c>
      <x:c r="D42" s="6" t="n">
        <x:v>11660</x:v>
      </x:c>
      <x:c r="E42" s="8" t="n">
        <x:v>0.0596</x:v>
      </x:c>
    </x:row>
    <x:row r="43" ht="22" customHeight="1">
      <x:c r="A43" s="6" t="str">
        <x:v>棕北</x:v>
      </x:c>
      <x:c r="B43" s="6" t="str">
        <x:v>2025Q3</x:v>
      </x:c>
      <x:c r="C43" s="6" t="n">
        <x:v>12</x:v>
      </x:c>
      <x:c r="D43" s="6" t="n">
        <x:v>9859</x:v>
      </x:c>
      <x:c r="E43" s="8" t="n">
        <x:v>0.04939999999999999</x:v>
      </x:c>
    </x:row>
    <x:row r="44" ht="22" customHeight="1">
      <x:c r="A44" s="6" t="str">
        <x:v>棕北</x:v>
      </x:c>
      <x:c r="B44" s="6" t="str">
        <x:v>2025Q4</x:v>
      </x:c>
      <x:c r="C44" s="6" t="n">
        <x:v>11</x:v>
      </x:c>
      <x:c r="D44" s="6" t="n">
        <x:v>10912</x:v>
      </x:c>
      <x:c r="E44" s="8" t="n">
        <x:v>0.0552</x:v>
      </x:c>
    </x:row>
    <x:row r="45" ht="22" customHeight="1">
      <x:c r="A45" s="6" t="str">
        <x:v>棕北</x:v>
      </x:c>
      <x:c r="B45" s="6" t="str">
        <x:v>2026Q1</x:v>
      </x:c>
      <x:c r="C45" s="6" t="n">
        <x:v>6</x:v>
      </x:c>
      <x:c r="D45" s="6" t="n">
        <x:v>9823</x:v>
      </x:c>
      <x:c r="E45" s="8" t="n">
        <x:v>0.04855</x:v>
      </x:c>
    </x:row>
    <x:row r="46" ht="22" customHeight="1">
      <x:c r="A46" s="6" t="str">
        <x:v>棕北</x:v>
      </x:c>
      <x:c r="B46" s="6" t="str">
        <x:v>2026Q2</x:v>
      </x:c>
      <x:c r="C46" s="6" t="n">
        <x:v>1</x:v>
      </x:c>
      <x:c r="D46" s="6" t="n">
        <x:v>8316</x:v>
      </x:c>
      <x:c r="E46" s="8" t="n">
        <x:v>0.0809</x:v>
      </x:c>
    </x:row>
    <x:row r="47" ht="22" customHeight="1">
      <x:c r="A47" s="6" t="str">
        <x:v>棕北</x:v>
      </x:c>
      <x:c r="B47" s="6" t="str">
        <x:v>2026Q3</x:v>
      </x:c>
      <x:c r="C47" s="6" t="n">
        <x:v>6</x:v>
      </x:c>
      <x:c r="D47" s="6" t="n">
        <x:v>9292</x:v>
      </x:c>
      <x:c r="E47" s="8" t="n">
        <x:v>0.043949999999999996</x:v>
      </x:c>
    </x:row>
    <x:row r="48" ht="22" customHeight="1">
      <x:c r="A48" s="6" t="str">
        <x:v>玉林</x:v>
      </x:c>
      <x:c r="B48" s="6" t="str">
        <x:v>2024Q3</x:v>
      </x:c>
      <x:c r="C48" s="6" t="n">
        <x:v>1</x:v>
      </x:c>
      <x:c r="D48" s="6" t="n">
        <x:v>18774</x:v>
      </x:c>
      <x:c r="E48" s="8" t="n">
        <x:v>0.0816</x:v>
      </x:c>
    </x:row>
    <x:row r="49" ht="22" customHeight="1">
      <x:c r="A49" s="6" t="str">
        <x:v>玉林</x:v>
      </x:c>
      <x:c r="B49" s="6" t="str">
        <x:v>2024Q4</x:v>
      </x:c>
      <x:c r="C49" s="6" t="n">
        <x:v>9</x:v>
      </x:c>
      <x:c r="D49" s="6" t="n">
        <x:v>19987</x:v>
      </x:c>
      <x:c r="E49" s="8" t="n">
        <x:v>0.0416</x:v>
      </x:c>
    </x:row>
    <x:row r="50" ht="22" customHeight="1">
      <x:c r="A50" s="6" t="str">
        <x:v>玉林</x:v>
      </x:c>
      <x:c r="B50" s="6" t="str">
        <x:v>2025Q1</x:v>
      </x:c>
      <x:c r="C50" s="6" t="n">
        <x:v>3</x:v>
      </x:c>
      <x:c r="D50" s="6" t="n">
        <x:v>19921</x:v>
      </x:c>
      <x:c r="E50" s="8" t="n">
        <x:v>0.0388</x:v>
      </x:c>
    </x:row>
    <x:row r="51" ht="22" customHeight="1">
      <x:c r="A51" s="6" t="str">
        <x:v>玉林</x:v>
      </x:c>
      <x:c r="B51" s="6" t="str">
        <x:v>2025Q2</x:v>
      </x:c>
      <x:c r="C51" s="6" t="n">
        <x:v>5</x:v>
      </x:c>
      <x:c r="D51" s="6" t="n">
        <x:v>15399</x:v>
      </x:c>
      <x:c r="E51" s="8" t="n">
        <x:v>0.0417</x:v>
      </x:c>
    </x:row>
    <x:row r="52" ht="22" customHeight="1">
      <x:c r="A52" s="6" t="str">
        <x:v>玉林</x:v>
      </x:c>
      <x:c r="B52" s="6" t="str">
        <x:v>2025Q3</x:v>
      </x:c>
      <x:c r="C52" s="6" t="n">
        <x:v>5</x:v>
      </x:c>
      <x:c r="D52" s="6" t="n">
        <x:v>15188</x:v>
      </x:c>
      <x:c r="E52" s="8" t="n">
        <x:v>0.0808</x:v>
      </x:c>
    </x:row>
    <x:row r="53" ht="22" customHeight="1">
      <x:c r="A53" s="6" t="str">
        <x:v>玉林</x:v>
      </x:c>
      <x:c r="B53" s="6" t="str">
        <x:v>2025Q4</x:v>
      </x:c>
      <x:c r="C53" s="6" t="n">
        <x:v>2</x:v>
      </x:c>
      <x:c r="D53" s="6" t="n">
        <x:v>17883.5</x:v>
      </x:c>
      <x:c r="E53" s="8" t="n">
        <x:v>0.03705</x:v>
      </x:c>
    </x:row>
    <x:row r="54" ht="22" customHeight="1">
      <x:c r="A54" s="6" t="str">
        <x:v>玉林</x:v>
      </x:c>
      <x:c r="B54" s="6" t="str">
        <x:v>2026Q1</x:v>
      </x:c>
      <x:c r="C54" s="6" t="n">
        <x:v>2</x:v>
      </x:c>
      <x:c r="D54" s="6" t="n">
        <x:v>13082</x:v>
      </x:c>
      <x:c r="E54" s="8" t="n">
        <x:v>0.027549999999999998</x:v>
      </x:c>
    </x:row>
    <x:row r="55" ht="22" customHeight="1">
      <x:c r="A55" s="6" t="str">
        <x:v>玉林</x:v>
      </x:c>
      <x:c r="B55" s="6" t="str">
        <x:v>2026Q2</x:v>
      </x:c>
      <x:c r="C55" s="6" t="n">
        <x:v>1</x:v>
      </x:c>
      <x:c r="D55" s="6" t="n">
        <x:v>13069</x:v>
      </x:c>
      <x:c r="E55" s="8" t="n">
        <x:v>0.042699999999999995</x:v>
      </x:c>
    </x:row>
    <x:row r="56" ht="22" customHeight="1">
      <x:c r="A56" s="6" t="str">
        <x:v>盐市口</x:v>
      </x:c>
      <x:c r="B56" s="6" t="str">
        <x:v>2024Q4</x:v>
      </x:c>
      <x:c r="C56" s="6" t="n">
        <x:v>5</x:v>
      </x:c>
      <x:c r="D56" s="6" t="n">
        <x:v>31344</x:v>
      </x:c>
      <x:c r="E56" s="8" t="n">
        <x:v>0.0048</x:v>
      </x:c>
    </x:row>
    <x:row r="57" ht="22" customHeight="1">
      <x:c r="A57" s="6" t="str">
        <x:v>盐市口</x:v>
      </x:c>
      <x:c r="B57" s="6" t="str">
        <x:v>2025Q1</x:v>
      </x:c>
      <x:c r="C57" s="6" t="n">
        <x:v>34</x:v>
      </x:c>
      <x:c r="D57" s="6" t="n">
        <x:v>23864</x:v>
      </x:c>
      <x:c r="E57" s="8" t="n">
        <x:v>0.0417</x:v>
      </x:c>
    </x:row>
    <x:row r="58" ht="22" customHeight="1">
      <x:c r="A58" s="6" t="str">
        <x:v>盐市口</x:v>
      </x:c>
      <x:c r="B58" s="6" t="str">
        <x:v>2025Q2</x:v>
      </x:c>
      <x:c r="C58" s="6" t="n">
        <x:v>34</x:v>
      </x:c>
      <x:c r="D58" s="6" t="n">
        <x:v>23166</x:v>
      </x:c>
      <x:c r="E58" s="8" t="n">
        <x:v>0.034749999999999996</x:v>
      </x:c>
    </x:row>
    <x:row r="59" ht="22" customHeight="1">
      <x:c r="A59" s="6" t="str">
        <x:v>盐市口</x:v>
      </x:c>
      <x:c r="B59" s="6" t="str">
        <x:v>2025Q3</x:v>
      </x:c>
      <x:c r="C59" s="6" t="n">
        <x:v>40</x:v>
      </x:c>
      <x:c r="D59" s="6" t="n">
        <x:v>22393.5</x:v>
      </x:c>
      <x:c r="E59" s="8" t="n">
        <x:v>0.04665</x:v>
      </x:c>
    </x:row>
    <x:row r="60" ht="22" customHeight="1">
      <x:c r="A60" s="6" t="str">
        <x:v>盐市口</x:v>
      </x:c>
      <x:c r="B60" s="6" t="str">
        <x:v>2025Q4</x:v>
      </x:c>
      <x:c r="C60" s="6" t="n">
        <x:v>28</x:v>
      </x:c>
      <x:c r="D60" s="6" t="n">
        <x:v>21994.5</x:v>
      </x:c>
      <x:c r="E60" s="8" t="n">
        <x:v>0.0507</x:v>
      </x:c>
    </x:row>
    <x:row r="61" ht="22" customHeight="1">
      <x:c r="A61" s="6" t="str">
        <x:v>盐市口</x:v>
      </x:c>
      <x:c r="B61" s="6" t="str">
        <x:v>2026Q1</x:v>
      </x:c>
      <x:c r="C61" s="6" t="n">
        <x:v>22</x:v>
      </x:c>
      <x:c r="D61" s="6" t="n">
        <x:v>21095.5</x:v>
      </x:c>
      <x:c r="E61" s="8" t="n">
        <x:v>0.0574</x:v>
      </x:c>
    </x:row>
    <x:row r="62" ht="22" customHeight="1">
      <x:c r="A62" s="6" t="str">
        <x:v>盐市口</x:v>
      </x:c>
      <x:c r="B62" s="6" t="str">
        <x:v>2026Q2</x:v>
      </x:c>
      <x:c r="C62" s="6" t="n">
        <x:v>29</x:v>
      </x:c>
      <x:c r="D62" s="6" t="n">
        <x:v>18014</x:v>
      </x:c>
      <x:c r="E62" s="8" t="n">
        <x:v>0.0584</x:v>
      </x:c>
    </x:row>
    <x:row r="63" ht="22" customHeight="1">
      <x:c r="A63" s="6" t="str">
        <x:v>盐市口</x:v>
      </x:c>
      <x:c r="B63" s="6" t="str">
        <x:v>2026Q3</x:v>
      </x:c>
      <x:c r="C63" s="6" t="n">
        <x:v>23</x:v>
      </x:c>
      <x:c r="D63" s="6" t="n">
        <x:v>18661</x:v>
      </x:c>
      <x:c r="E63" s="8" t="n">
        <x:v>0.0632</x:v>
      </x:c>
    </x:row>
    <x:row r="64" ht="22" customHeight="1">
      <x:c r="A64" s="6" t="str">
        <x:v>西南财大</x:v>
      </x:c>
      <x:c r="B64" s="6" t="str">
        <x:v>2024Q3</x:v>
      </x:c>
      <x:c r="C64" s="6" t="n">
        <x:v>8</x:v>
      </x:c>
      <x:c r="D64" s="6" t="n">
        <x:v>12283.5</x:v>
      </x:c>
      <x:c r="E64" s="8" t="n">
        <x:v>0.005</x:v>
      </x:c>
    </x:row>
    <x:row r="65" ht="22" customHeight="1">
      <x:c r="A65" s="6" t="str">
        <x:v>西南财大</x:v>
      </x:c>
      <x:c r="B65" s="6" t="str">
        <x:v>2024Q4</x:v>
      </x:c>
      <x:c r="C65" s="6" t="n">
        <x:v>16</x:v>
      </x:c>
      <x:c r="D65" s="6" t="n">
        <x:v>12610</x:v>
      </x:c>
      <x:c r="E65" s="8" t="n">
        <x:v>0.0273</x:v>
      </x:c>
    </x:row>
    <x:row r="66" ht="22" customHeight="1">
      <x:c r="A66" s="6" t="str">
        <x:v>西南财大</x:v>
      </x:c>
      <x:c r="B66" s="6" t="str">
        <x:v>2025Q1</x:v>
      </x:c>
      <x:c r="C66" s="6" t="n">
        <x:v>23</x:v>
      </x:c>
      <x:c r="D66" s="6" t="n">
        <x:v>12041</x:v>
      </x:c>
      <x:c r="E66" s="8" t="n">
        <x:v>0.0226</x:v>
      </x:c>
    </x:row>
    <x:row r="67" ht="22" customHeight="1">
      <x:c r="A67" s="6" t="str">
        <x:v>西南财大</x:v>
      </x:c>
      <x:c r="B67" s="6" t="str">
        <x:v>2025Q2</x:v>
      </x:c>
      <x:c r="C67" s="6" t="n">
        <x:v>13</x:v>
      </x:c>
      <x:c r="D67" s="6" t="n">
        <x:v>10603</x:v>
      </x:c>
      <x:c r="E67" s="8" t="n">
        <x:v>0.035699999999999996</x:v>
      </x:c>
    </x:row>
    <x:row r="68" ht="22" customHeight="1">
      <x:c r="A68" s="6" t="str">
        <x:v>西南财大</x:v>
      </x:c>
      <x:c r="B68" s="6" t="str">
        <x:v>2025Q3</x:v>
      </x:c>
      <x:c r="C68" s="6" t="n">
        <x:v>19</x:v>
      </x:c>
      <x:c r="D68" s="6" t="n">
        <x:v>11592</x:v>
      </x:c>
      <x:c r="E68" s="8" t="n">
        <x:v>0.031200000000000002</x:v>
      </x:c>
    </x:row>
    <x:row r="69" ht="22" customHeight="1">
      <x:c r="A69" s="6" t="str">
        <x:v>西南财大</x:v>
      </x:c>
      <x:c r="B69" s="6" t="str">
        <x:v>2025Q4</x:v>
      </x:c>
      <x:c r="C69" s="6" t="n">
        <x:v>13</x:v>
      </x:c>
      <x:c r="D69" s="6" t="n">
        <x:v>12355</x:v>
      </x:c>
      <x:c r="E69" s="8" t="n">
        <x:v>0.0231</x:v>
      </x:c>
    </x:row>
    <x:row r="70" ht="22" customHeight="1">
      <x:c r="A70" s="6" t="str">
        <x:v>西南财大</x:v>
      </x:c>
      <x:c r="B70" s="6" t="str">
        <x:v>2026Q1</x:v>
      </x:c>
      <x:c r="C70" s="6" t="n">
        <x:v>1</x:v>
      </x:c>
      <x:c r="D70" s="6" t="n">
        <x:v>14292</x:v>
      </x:c>
      <x:c r="E70" s="8" t="n">
        <x:v>0.032799999999999996</x:v>
      </x:c>
    </x:row>
    <x:row r="71" ht="22" customHeight="1">
      <x:c r="A71" s="6" t="str">
        <x:v>西南财大</x:v>
      </x:c>
      <x:c r="B71" s="6" t="str">
        <x:v>2026Q2</x:v>
      </x:c>
      <x:c r="C71" s="6" t="n">
        <x:v>6</x:v>
      </x:c>
      <x:c r="D71" s="6" t="n">
        <x:v>12389</x:v>
      </x:c>
      <x:c r="E71" s="8" t="n">
        <x:v>0.045700000000000005</x:v>
      </x:c>
    </x:row>
    <x:row r="72" ht="22" customHeight="1">
      <x:c r="A72" s="6" t="str">
        <x:v>西南财大</x:v>
      </x:c>
      <x:c r="B72" s="6" t="str">
        <x:v>2026Q3</x:v>
      </x:c>
      <x:c r="C72" s="6" t="n">
        <x:v>7</x:v>
      </x:c>
      <x:c r="D72" s="6" t="n">
        <x:v>12050</x:v>
      </x:c>
      <x:c r="E72" s="8" t="n">
        <x:v>0.071</x:v>
      </x:c>
    </x:row>
  </x:sheetData>
  <x:pageMargins left="0.7" right="0.7" top="0.75" bottom="0.75" header="0.3" footer="0.3"/>
</x:worksheet>
</file>