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 activeTab="5"/>
  </bookViews>
  <sheets>
    <sheet name="商圈对比" sheetId="1" r:id="rId1"/>
    <sheet name="税费参数" sheetId="2" r:id="rId2"/>
    <sheet name="小区汇总" sheetId="3" r:id="rId3"/>
    <sheet name="户型汇总" sheetId="4" r:id="rId4"/>
    <sheet name="出售逐套" sheetId="5" r:id="rId5"/>
    <sheet name="租金配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<sst xmlns="http://schemas.openxmlformats.org/spreadsheetml/2006/main" count="21976" uniqueCount="2109">
  <si>
    <t>八个商圈小户型10个月成本调整后回报率</t>
  </si>
  <si>
    <t>仅精装/简装出售、整租；25–60㎡；先逐套计算，再对有效出售房源取中位数</t>
  </si>
  <si>
    <t>商圈</t>
  </si>
  <si>
    <t>符合条件出售数</t>
  </si>
  <si>
    <t>匹配出售数</t>
  </si>
  <si>
    <t>匹配覆盖率</t>
  </si>
  <si>
    <t>出租房源数</t>
  </si>
  <si>
    <t>税费调整后回报率</t>
  </si>
  <si>
    <t>原10个月毛回报率</t>
  </si>
  <si>
    <t>川音</t>
  </si>
  <si>
    <t>棕北</t>
  </si>
  <si>
    <t>西南财大</t>
  </si>
  <si>
    <t>川大</t>
  </si>
  <si>
    <t>华西</t>
  </si>
  <si>
    <t>玉林</t>
  </si>
  <si>
    <t>合江亭</t>
  </si>
  <si>
    <t>盐市口</t>
  </si>
  <si>
    <t>无可比出租房源的出售房源保留在“出售逐套”，回报率为空，不作为0%参与中位数。</t>
  </si>
  <si>
    <t>每个出售房源的回报率＝该房源所有合格出租配对的回报率中位数；再汇总到户型、小区、商圈。</t>
  </si>
  <si>
    <t>回报率已计买入3.25%及卖出2.25%/120个月摊销，可在“税费参数”调整；未扣物业费、修缮及出租税费。</t>
  </si>
  <si>
    <t>投资回报率—可调整税费参数</t>
  </si>
  <si>
    <t>项目</t>
  </si>
  <si>
    <t>参数值</t>
  </si>
  <si>
    <t>买入契税</t>
  </si>
  <si>
    <t>买入个税</t>
  </si>
  <si>
    <t>买入中介费</t>
  </si>
  <si>
    <t>卖出个税</t>
  </si>
  <si>
    <t>卖出中介费</t>
  </si>
  <si>
    <t>卖出成本摊销月数</t>
  </si>
  <si>
    <t>年计租月数</t>
  </si>
  <si>
    <t>计算口径：年计租月数 ×（月租金 − 房价×(卖出个税＋卖出中介费)÷摊销月数）÷（房价×(1＋买入契税＋买入个税＋买入中介费)）</t>
  </si>
  <si>
    <t>卖出税费按房价计提；每月扣除1/120，不是一次性扣除。所有价格均为挂牌价。</t>
  </si>
  <si>
    <t>未计物业费、维修、额外税费、房屋空置损失及价格涨跌；10个月已体现简化空置假设。</t>
  </si>
  <si>
    <t>104个小区的成本调整后回报率</t>
  </si>
  <si>
    <t>匹配不到租金的小区仍予保留；小区回报率为其有效出售房源回报率的中位数</t>
  </si>
  <si>
    <t>小区</t>
  </si>
  <si>
    <t>精简装出售数</t>
  </si>
  <si>
    <t>有租金匹配数</t>
  </si>
  <si>
    <t>覆盖率</t>
  </si>
  <si>
    <t>原毛回报率</t>
  </si>
  <si>
    <t>艺墅花乡</t>
  </si>
  <si>
    <t>金茂礼都</t>
  </si>
  <si>
    <t>天乐嘉苑</t>
  </si>
  <si>
    <t>天竺丽苑</t>
  </si>
  <si>
    <t>黉门公馆</t>
  </si>
  <si>
    <t>凯蒂阳光</t>
  </si>
  <si>
    <t>城南世家</t>
  </si>
  <si>
    <t>傲仕门</t>
  </si>
  <si>
    <t>米兰风度花园</t>
  </si>
  <si>
    <t>通祠路14号</t>
  </si>
  <si>
    <t>丽景天成</t>
  </si>
  <si>
    <t>人民南路三段16号</t>
  </si>
  <si>
    <t>铜锣湾</t>
  </si>
  <si>
    <t>锦和名邸</t>
  </si>
  <si>
    <t>龙瑞苑</t>
  </si>
  <si>
    <t>流星花园</t>
  </si>
  <si>
    <t>SOHO我的寓所</t>
  </si>
  <si>
    <t>总府花园</t>
  </si>
  <si>
    <t>喜年广场</t>
  </si>
  <si>
    <t>蓉上坊一期</t>
  </si>
  <si>
    <t>上东吉座</t>
  </si>
  <si>
    <t>银唐国际</t>
  </si>
  <si>
    <t>锦上花</t>
  </si>
  <si>
    <t>光辉岁月</t>
  </si>
  <si>
    <t>星城银座</t>
  </si>
  <si>
    <t>蓝光郁金香花园广场</t>
  </si>
  <si>
    <t>锦江印象</t>
  </si>
  <si>
    <t>美丽合江</t>
  </si>
  <si>
    <t>国际商务大厦</t>
  </si>
  <si>
    <t>三圣街21号</t>
  </si>
  <si>
    <t>水岸银座</t>
  </si>
  <si>
    <t>蓝光时代华章</t>
  </si>
  <si>
    <t>好望角</t>
  </si>
  <si>
    <t>蓝色加勒比广场</t>
  </si>
  <si>
    <t>樱花假日</t>
  </si>
  <si>
    <t>中海格林威治城小户</t>
  </si>
  <si>
    <t>棕榈花园</t>
  </si>
  <si>
    <t>和信派都</t>
  </si>
  <si>
    <t>纯真年代</t>
  </si>
  <si>
    <t>新时空公寓</t>
  </si>
  <si>
    <t>海德花苑</t>
  </si>
  <si>
    <t>青年家园</t>
  </si>
  <si>
    <t>锦宏骏苑南区</t>
  </si>
  <si>
    <t>凯悦新城</t>
  </si>
  <si>
    <t>时代100</t>
  </si>
  <si>
    <t>林荫嘉园</t>
  </si>
  <si>
    <t>临江路7号</t>
  </si>
  <si>
    <t>正黄上岭</t>
  </si>
  <si>
    <t>凯莱国际寓所</t>
  </si>
  <si>
    <t>摩卡筑</t>
  </si>
  <si>
    <t>colour彼岸</t>
  </si>
  <si>
    <t>和谐公寓</t>
  </si>
  <si>
    <t>大华世都</t>
  </si>
  <si>
    <t>廊桥乐章</t>
  </si>
  <si>
    <t>新南路84号</t>
  </si>
  <si>
    <t>牡丹名苑</t>
  </si>
  <si>
    <t>红星苑</t>
  </si>
  <si>
    <t>美丽人生</t>
  </si>
  <si>
    <t>锦宏骏苑北区</t>
  </si>
  <si>
    <t>锦江新园</t>
  </si>
  <si>
    <t>花样年华梦想家</t>
  </si>
  <si>
    <t>时代数码广场</t>
  </si>
  <si>
    <t>新棕北</t>
  </si>
  <si>
    <t>棕南公寓</t>
  </si>
  <si>
    <t>SOHO沸城</t>
  </si>
  <si>
    <t>首航欣程</t>
  </si>
  <si>
    <t>棕北国际</t>
  </si>
  <si>
    <t>都市金岸</t>
  </si>
  <si>
    <t>华宇蓉国府</t>
  </si>
  <si>
    <t>祥福苑(武侯)</t>
  </si>
  <si>
    <t>大发百度城</t>
  </si>
  <si>
    <t>兴隆街23号</t>
  </si>
  <si>
    <t>缤舍</t>
  </si>
  <si>
    <t>科甲大厦</t>
  </si>
  <si>
    <t>新和春禧时代</t>
  </si>
  <si>
    <t>经典坐标</t>
  </si>
  <si>
    <t>萧邦</t>
  </si>
  <si>
    <t>都仕闲庭</t>
  </si>
  <si>
    <t>正成财富ID</t>
  </si>
  <si>
    <t>现代之窗</t>
  </si>
  <si>
    <t>弘邦领邸</t>
  </si>
  <si>
    <t>都市驿站</t>
  </si>
  <si>
    <t>财富中心</t>
  </si>
  <si>
    <t>城市理想</t>
  </si>
  <si>
    <t>阳光365</t>
  </si>
  <si>
    <t>世代锦江商务楼</t>
  </si>
  <si>
    <t>美华大厦</t>
  </si>
  <si>
    <t>京都大厦</t>
  </si>
  <si>
    <t>大地城市脉搏</t>
  </si>
  <si>
    <t>梓潼桥西街18号</t>
  </si>
  <si>
    <t>第一城</t>
  </si>
  <si>
    <t>紫薇银座</t>
  </si>
  <si>
    <t>自由天地</t>
  </si>
  <si>
    <t>银杏地带</t>
  </si>
  <si>
    <t>雕墅</t>
  </si>
  <si>
    <t>金沙时代城</t>
  </si>
  <si>
    <t>仁和时代春天广场</t>
  </si>
  <si>
    <t>水木光华</t>
  </si>
  <si>
    <t>中华家园东区</t>
  </si>
  <si>
    <t>西财骏苑</t>
  </si>
  <si>
    <t>大陆西城秀筑</t>
  </si>
  <si>
    <t>光华馨地</t>
  </si>
  <si>
    <t>学府春</t>
  </si>
  <si>
    <t>金沙时代生活广场</t>
  </si>
  <si>
    <t>各小区各面积户型成本调整后回报率</t>
  </si>
  <si>
    <t>同商圈+小区+面积段+室厅数，出租面积相差≤15%；每套出售房源权重相同</t>
  </si>
  <si>
    <t>面积段</t>
  </si>
  <si>
    <t>室厅数</t>
  </si>
  <si>
    <t>出售数</t>
  </si>
  <si>
    <t>可匹配出售数</t>
  </si>
  <si>
    <t>出租候选数</t>
  </si>
  <si>
    <t>数据状态</t>
  </si>
  <si>
    <t>40–60㎡</t>
  </si>
  <si>
    <t>1室1厅</t>
  </si>
  <si>
    <t>可参考</t>
  </si>
  <si>
    <t>2室1厅</t>
  </si>
  <si>
    <t>无匹配</t>
  </si>
  <si>
    <t>60–90㎡</t>
  </si>
  <si>
    <t>低样本</t>
  </si>
  <si>
    <t>≤40㎡</t>
  </si>
  <si>
    <t>1室0厅</t>
  </si>
  <si>
    <t>1室2厅</t>
  </si>
  <si>
    <t>2室2厅</t>
  </si>
  <si>
    <t>3室1厅</t>
  </si>
  <si>
    <t>2室0厅</t>
  </si>
  <si>
    <t>3室2厅</t>
  </si>
  <si>
    <t>90–120㎡</t>
  </si>
  <si>
    <t>全部701套精装或简装出售房源</t>
  </si>
  <si>
    <t>逐套成本调整后回报率取所有出租配对的中位数；无法匹配时留空</t>
  </si>
  <si>
    <t>房型</t>
  </si>
  <si>
    <t>房源编号</t>
  </si>
  <si>
    <t>装修</t>
  </si>
  <si>
    <t>面积㎡</t>
  </si>
  <si>
    <t>售价万</t>
  </si>
  <si>
    <t>匹配出租数</t>
  </si>
  <si>
    <t>调整后回报率</t>
  </si>
  <si>
    <t>链接</t>
  </si>
  <si>
    <t>106129412042.0</t>
  </si>
  <si>
    <t>精装</t>
  </si>
  <si>
    <t>https://cd.lianjia.com/ershoufang/106129412042.html</t>
  </si>
  <si>
    <t>106129483566.0</t>
  </si>
  <si>
    <t>简装</t>
  </si>
  <si>
    <t>https://cd.lianjia.com/ershoufang/106129483566.html</t>
  </si>
  <si>
    <t>106118664527.0</t>
  </si>
  <si>
    <t>https://cd.lianjia.com/ershoufang/106118664527.html</t>
  </si>
  <si>
    <t>106127557823.0</t>
  </si>
  <si>
    <t>https://cd.lianjia.com/ershoufang/106127557823.html</t>
  </si>
  <si>
    <t>106114386047.0</t>
  </si>
  <si>
    <t>https://cd.lianjia.com/ershoufang/106114386047.html</t>
  </si>
  <si>
    <t>106117140666.0</t>
  </si>
  <si>
    <t>https://cd.lianjia.com/ershoufang/106117140666.html</t>
  </si>
  <si>
    <t>106123825538.0</t>
  </si>
  <si>
    <t>https://cd.lianjia.com/ershoufang/106123825538.html</t>
  </si>
  <si>
    <t>106128883747.0</t>
  </si>
  <si>
    <t>https://cd.lianjia.com/ershoufang/106128883747.html</t>
  </si>
  <si>
    <t>106128956197.0</t>
  </si>
  <si>
    <t>https://cd.lianjia.com/ershoufang/106128956197.html</t>
  </si>
  <si>
    <t>106127607383.0</t>
  </si>
  <si>
    <t>https://cd.lianjia.com/ershoufang/106127607383.html</t>
  </si>
  <si>
    <t>106121807884.0</t>
  </si>
  <si>
    <t>https://cd.lianjia.com/ershoufang/106121807884.html</t>
  </si>
  <si>
    <t>106123379786.0</t>
  </si>
  <si>
    <t>https://cd.lianjia.com/ershoufang/106123379786.html</t>
  </si>
  <si>
    <t>106123405462.0</t>
  </si>
  <si>
    <t>https://cd.lianjia.com/ershoufang/106123405462.html</t>
  </si>
  <si>
    <t>106127993289.0</t>
  </si>
  <si>
    <t>https://cd.lianjia.com/ershoufang/106127993289.html</t>
  </si>
  <si>
    <t>106129068792.0</t>
  </si>
  <si>
    <t>https://cd.lianjia.com/ershoufang/106129068792.html</t>
  </si>
  <si>
    <t>106127114539.0</t>
  </si>
  <si>
    <t>https://cd.lianjia.com/ershoufang/106127114539.html</t>
  </si>
  <si>
    <t>106129150378.0</t>
  </si>
  <si>
    <t>https://cd.lianjia.com/ershoufang/106129150378.html</t>
  </si>
  <si>
    <t>106129574000.0</t>
  </si>
  <si>
    <t>https://cd.lianjia.com/ershoufang/106129574000.html</t>
  </si>
  <si>
    <t>106124158582.0</t>
  </si>
  <si>
    <t>https://cd.lianjia.com/ershoufang/106124158582.html</t>
  </si>
  <si>
    <t>106127339364.0</t>
  </si>
  <si>
    <t>https://cd.lianjia.com/ershoufang/106127339364.html</t>
  </si>
  <si>
    <t>106127189136.0</t>
  </si>
  <si>
    <t>https://cd.lianjia.com/ershoufang/106127189136.html</t>
  </si>
  <si>
    <t>106128046504.0</t>
  </si>
  <si>
    <t>https://cd.lianjia.com/ershoufang/106128046504.html</t>
  </si>
  <si>
    <t>106115572764.0</t>
  </si>
  <si>
    <t>https://cd.lianjia.com/ershoufang/106115572764.html</t>
  </si>
  <si>
    <t>106115608951.0</t>
  </si>
  <si>
    <t>https://cd.lianjia.com/ershoufang/106115608951.html</t>
  </si>
  <si>
    <t>106124681209.0</t>
  </si>
  <si>
    <t>https://cd.lianjia.com/ershoufang/106124681209.html</t>
  </si>
  <si>
    <t>106124773262.0</t>
  </si>
  <si>
    <t>https://cd.lianjia.com/ershoufang/106124773262.html</t>
  </si>
  <si>
    <t>106124773286.0</t>
  </si>
  <si>
    <t>https://cd.lianjia.com/ershoufang/106124773286.html</t>
  </si>
  <si>
    <t>106126498573.0</t>
  </si>
  <si>
    <t>https://cd.lianjia.com/ershoufang/106126498573.html</t>
  </si>
  <si>
    <t>106123148784.0</t>
  </si>
  <si>
    <t>https://cd.lianjia.com/ershoufang/106123148784.html</t>
  </si>
  <si>
    <t>106116981602.0</t>
  </si>
  <si>
    <t>https://cd.lianjia.com/ershoufang/106116981602.html</t>
  </si>
  <si>
    <t>106118801081.0</t>
  </si>
  <si>
    <t>https://cd.lianjia.com/ershoufang/106118801081.html</t>
  </si>
  <si>
    <t>106128828442.0</t>
  </si>
  <si>
    <t>https://cd.lianjia.com/ershoufang/106128828442.html</t>
  </si>
  <si>
    <t>106128171374.0</t>
  </si>
  <si>
    <t>https://cd.lianjia.com/ershoufang/106128171374.html</t>
  </si>
  <si>
    <t>106120376840.0</t>
  </si>
  <si>
    <t>https://cd.lianjia.com/ershoufang/106120376840.html</t>
  </si>
  <si>
    <t>106129590974.0</t>
  </si>
  <si>
    <t>https://cd.lianjia.com/ershoufang/106129590974.html</t>
  </si>
  <si>
    <t>106129626353.0</t>
  </si>
  <si>
    <t>https://cd.lianjia.com/ershoufang/106129626353.html</t>
  </si>
  <si>
    <t>106123772639.0</t>
  </si>
  <si>
    <t>https://cd.lianjia.com/ershoufang/106123772639.html</t>
  </si>
  <si>
    <t>106125667483.0</t>
  </si>
  <si>
    <t>https://cd.lianjia.com/ershoufang/106125667483.html</t>
  </si>
  <si>
    <t>106125923205.0</t>
  </si>
  <si>
    <t>https://cd.lianjia.com/ershoufang/106125923205.html</t>
  </si>
  <si>
    <t>106127877602.0</t>
  </si>
  <si>
    <t>https://cd.lianjia.com/ershoufang/106127877602.html</t>
  </si>
  <si>
    <t>106123690105.0</t>
  </si>
  <si>
    <t>https://cd.lianjia.com/ershoufang/106123690105.html</t>
  </si>
  <si>
    <t>106128591031.0</t>
  </si>
  <si>
    <t>https://cd.lianjia.com/ershoufang/106128591031.html</t>
  </si>
  <si>
    <t>106129666723.0</t>
  </si>
  <si>
    <t>https://cd.lianjia.com/ershoufang/106129666723.html</t>
  </si>
  <si>
    <t>106128845713.0</t>
  </si>
  <si>
    <t>https://cd.lianjia.com/ershoufang/106128845713.html</t>
  </si>
  <si>
    <t>106121997017.0</t>
  </si>
  <si>
    <t>https://cd.lianjia.com/ershoufang/106121997017.html</t>
  </si>
  <si>
    <t>106125480592.0</t>
  </si>
  <si>
    <t>https://cd.lianjia.com/ershoufang/106125480592.html</t>
  </si>
  <si>
    <t>106123996551.0</t>
  </si>
  <si>
    <t>https://cd.lianjia.com/ershoufang/106123996551.html</t>
  </si>
  <si>
    <t>106118513855.0</t>
  </si>
  <si>
    <t>https://cd.lianjia.com/ershoufang/106118513855.html</t>
  </si>
  <si>
    <t>106122115277.0</t>
  </si>
  <si>
    <t>https://cd.lianjia.com/ershoufang/106122115277.html</t>
  </si>
  <si>
    <t>106125247948.0</t>
  </si>
  <si>
    <t>https://cd.lianjia.com/ershoufang/106125247948.html</t>
  </si>
  <si>
    <t>106127907978.0</t>
  </si>
  <si>
    <t>https://cd.lianjia.com/ershoufang/106127907978.html</t>
  </si>
  <si>
    <t>106117846657.0</t>
  </si>
  <si>
    <t>https://cd.lianjia.com/ershoufang/106117846657.html</t>
  </si>
  <si>
    <t>106120793853.0</t>
  </si>
  <si>
    <t>https://cd.lianjia.com/ershoufang/106120793853.html</t>
  </si>
  <si>
    <t>106123066465.0</t>
  </si>
  <si>
    <t>https://cd.lianjia.com/ershoufang/106123066465.html</t>
  </si>
  <si>
    <t>106125395931.0</t>
  </si>
  <si>
    <t>https://cd.lianjia.com/ershoufang/106125395931.html</t>
  </si>
  <si>
    <t>106129410929.0</t>
  </si>
  <si>
    <t>https://cd.lianjia.com/ershoufang/106129410929.html</t>
  </si>
  <si>
    <t>106114939316.0</t>
  </si>
  <si>
    <t>https://cd.lianjia.com/ershoufang/106114939316.html</t>
  </si>
  <si>
    <t>106124080499.0</t>
  </si>
  <si>
    <t>https://cd.lianjia.com/ershoufang/106124080499.html</t>
  </si>
  <si>
    <t>106124795179.0</t>
  </si>
  <si>
    <t>https://cd.lianjia.com/ershoufang/106124795179.html</t>
  </si>
  <si>
    <t>106126426079.0</t>
  </si>
  <si>
    <t>https://cd.lianjia.com/ershoufang/106126426079.html</t>
  </si>
  <si>
    <t>106127039198.0</t>
  </si>
  <si>
    <t>https://cd.lianjia.com/ershoufang/106127039198.html</t>
  </si>
  <si>
    <t>106127475947.0</t>
  </si>
  <si>
    <t>https://cd.lianjia.com/ershoufang/106127475947.html</t>
  </si>
  <si>
    <t>106127808775.0</t>
  </si>
  <si>
    <t>https://cd.lianjia.com/ershoufang/106127808775.html</t>
  </si>
  <si>
    <t>106127851126.0</t>
  </si>
  <si>
    <t>https://cd.lianjia.com/ershoufang/106127851126.html</t>
  </si>
  <si>
    <t>106127876380.0</t>
  </si>
  <si>
    <t>https://cd.lianjia.com/ershoufang/106127876380.html</t>
  </si>
  <si>
    <t>106128104483.0</t>
  </si>
  <si>
    <t>https://cd.lianjia.com/ershoufang/106128104483.html</t>
  </si>
  <si>
    <t>106128363014.0</t>
  </si>
  <si>
    <t>https://cd.lianjia.com/ershoufang/106128363014.html</t>
  </si>
  <si>
    <t>106128593594.0</t>
  </si>
  <si>
    <t>https://cd.lianjia.com/ershoufang/106128593594.html</t>
  </si>
  <si>
    <t>106129248033.0</t>
  </si>
  <si>
    <t>https://cd.lianjia.com/ershoufang/106129248033.html</t>
  </si>
  <si>
    <t>106129248063.0</t>
  </si>
  <si>
    <t>https://cd.lianjia.com/ershoufang/106129248063.html</t>
  </si>
  <si>
    <t>106129332186.0</t>
  </si>
  <si>
    <t>https://cd.lianjia.com/ershoufang/106129332186.html</t>
  </si>
  <si>
    <t>106129694247.0</t>
  </si>
  <si>
    <t>https://cd.lianjia.com/ershoufang/106129694247.html</t>
  </si>
  <si>
    <t>106124226047.0</t>
  </si>
  <si>
    <t>https://cd.lianjia.com/ershoufang/106124226047.html</t>
  </si>
  <si>
    <t>106124518344.0</t>
  </si>
  <si>
    <t>https://cd.lianjia.com/ershoufang/106124518344.html</t>
  </si>
  <si>
    <t>106124598987.0</t>
  </si>
  <si>
    <t>https://cd.lianjia.com/ershoufang/106124598987.html</t>
  </si>
  <si>
    <t>106124700408.0</t>
  </si>
  <si>
    <t>https://cd.lianjia.com/ershoufang/106124700408.html</t>
  </si>
  <si>
    <t>106125735818.0</t>
  </si>
  <si>
    <t>https://cd.lianjia.com/ershoufang/106125735818.html</t>
  </si>
  <si>
    <t>106127193850.0</t>
  </si>
  <si>
    <t>https://cd.lianjia.com/ershoufang/106127193850.html</t>
  </si>
  <si>
    <t>106127476091.0</t>
  </si>
  <si>
    <t>https://cd.lianjia.com/ershoufang/106127476091.html</t>
  </si>
  <si>
    <t>106128196190.0</t>
  </si>
  <si>
    <t>https://cd.lianjia.com/ershoufang/106128196190.html</t>
  </si>
  <si>
    <t>106128416793.0</t>
  </si>
  <si>
    <t>https://cd.lianjia.com/ershoufang/106128416793.html</t>
  </si>
  <si>
    <t>106129651912.0</t>
  </si>
  <si>
    <t>https://cd.lianjia.com/ershoufang/106129651912.html</t>
  </si>
  <si>
    <t>106129659913.0</t>
  </si>
  <si>
    <t>https://cd.lianjia.com/ershoufang/106129659913.html</t>
  </si>
  <si>
    <t>106129739034.0</t>
  </si>
  <si>
    <t>https://cd.lianjia.com/ershoufang/106129739034.html</t>
  </si>
  <si>
    <t>nan</t>
  </si>
  <si>
    <t>https://cd.lianjia.com/ershoufang/106125090492.html</t>
  </si>
  <si>
    <t>106125252557.0</t>
  </si>
  <si>
    <t>https://cd.lianjia.com/ershoufang/106125252557.html</t>
  </si>
  <si>
    <t>106125252645.0</t>
  </si>
  <si>
    <t>https://cd.lianjia.com/ershoufang/106125252645.html</t>
  </si>
  <si>
    <t>106127954865.0</t>
  </si>
  <si>
    <t>https://cd.lianjia.com/ershoufang/106127954865.html</t>
  </si>
  <si>
    <t>106127954891.0</t>
  </si>
  <si>
    <t>https://cd.lianjia.com/ershoufang/106127954891.html</t>
  </si>
  <si>
    <t>106128517937.0</t>
  </si>
  <si>
    <t>https://cd.lianjia.com/ershoufang/106128517937.html</t>
  </si>
  <si>
    <t>106128532608.0</t>
  </si>
  <si>
    <t>https://cd.lianjia.com/ershoufang/106128532608.html</t>
  </si>
  <si>
    <t>106128098689.0</t>
  </si>
  <si>
    <t>https://cd.lianjia.com/ershoufang/106128098689.html</t>
  </si>
  <si>
    <t>106124507363.0</t>
  </si>
  <si>
    <t>https://cd.lianjia.com/ershoufang/106124507363.html</t>
  </si>
  <si>
    <t>106129096024.0</t>
  </si>
  <si>
    <t>https://cd.lianjia.com/ershoufang/106129096024.html</t>
  </si>
  <si>
    <t>106128825041.0</t>
  </si>
  <si>
    <t>https://cd.lianjia.com/ershoufang/106128825041.html</t>
  </si>
  <si>
    <t>106128494446.0</t>
  </si>
  <si>
    <t>https://cd.lianjia.com/ershoufang/106128494446.html</t>
  </si>
  <si>
    <t>106128890609.0</t>
  </si>
  <si>
    <t>https://cd.lianjia.com/ershoufang/106128890609.html</t>
  </si>
  <si>
    <t>106123250451.0</t>
  </si>
  <si>
    <t>https://cd.lianjia.com/ershoufang/106123250451.html</t>
  </si>
  <si>
    <t>106126519346.0</t>
  </si>
  <si>
    <t>https://cd.lianjia.com/ershoufang/106126519346.html</t>
  </si>
  <si>
    <t>106126734948.0</t>
  </si>
  <si>
    <t>https://cd.lianjia.com/ershoufang/106126734948.html</t>
  </si>
  <si>
    <t>106127796651.0</t>
  </si>
  <si>
    <t>https://cd.lianjia.com/ershoufang/106127796651.html</t>
  </si>
  <si>
    <t>106127908876.0</t>
  </si>
  <si>
    <t>https://cd.lianjia.com/ershoufang/106127908876.html</t>
  </si>
  <si>
    <t>106128674544.0</t>
  </si>
  <si>
    <t>https://cd.lianjia.com/ershoufang/106128674544.html</t>
  </si>
  <si>
    <t>106127370771.0</t>
  </si>
  <si>
    <t>https://cd.lianjia.com/ershoufang/106127370771.html</t>
  </si>
  <si>
    <t>106127747705.0</t>
  </si>
  <si>
    <t>https://cd.lianjia.com/ershoufang/106127747705.html</t>
  </si>
  <si>
    <t>106129760119.0</t>
  </si>
  <si>
    <t>https://cd.lianjia.com/ershoufang/106129760119.html</t>
  </si>
  <si>
    <t>106123706021.0</t>
  </si>
  <si>
    <t>https://cd.lianjia.com/ershoufang/106123706021.html</t>
  </si>
  <si>
    <t>106124125947.0</t>
  </si>
  <si>
    <t>https://cd.lianjia.com/ershoufang/106124125947.html</t>
  </si>
  <si>
    <t>106124648745.0</t>
  </si>
  <si>
    <t>https://cd.lianjia.com/ershoufang/106124648745.html</t>
  </si>
  <si>
    <t>106126639330.0</t>
  </si>
  <si>
    <t>https://cd.lianjia.com/ershoufang/106126639330.html</t>
  </si>
  <si>
    <t>106122002979.0</t>
  </si>
  <si>
    <t>https://cd.lianjia.com/ershoufang/106122002979.html</t>
  </si>
  <si>
    <t>106129144054.0</t>
  </si>
  <si>
    <t>https://cd.lianjia.com/ershoufang/106129144054.html</t>
  </si>
  <si>
    <t>106120630753.0</t>
  </si>
  <si>
    <t>https://cd.lianjia.com/ershoufang/106120630753.html</t>
  </si>
  <si>
    <t>106127310499.0</t>
  </si>
  <si>
    <t>https://cd.lianjia.com/ershoufang/106127310499.html</t>
  </si>
  <si>
    <t>106128391674.0</t>
  </si>
  <si>
    <t>https://cd.lianjia.com/ershoufang/106128391674.html</t>
  </si>
  <si>
    <t>106128906524.0</t>
  </si>
  <si>
    <t>https://cd.lianjia.com/ershoufang/106128906524.html</t>
  </si>
  <si>
    <t>106128997130.0</t>
  </si>
  <si>
    <t>https://cd.lianjia.com/ershoufang/106128997130.html</t>
  </si>
  <si>
    <t>106121741137.0</t>
  </si>
  <si>
    <t>https://cd.lianjia.com/ershoufang/106121741137.html</t>
  </si>
  <si>
    <t>106124622252.0</t>
  </si>
  <si>
    <t>https://cd.lianjia.com/ershoufang/106124622252.html</t>
  </si>
  <si>
    <t>106126937892.0</t>
  </si>
  <si>
    <t>https://cd.lianjia.com/ershoufang/106126937892.html</t>
  </si>
  <si>
    <t>106128255240.0</t>
  </si>
  <si>
    <t>https://cd.lianjia.com/ershoufang/106128255240.html</t>
  </si>
  <si>
    <t>106121935834.0</t>
  </si>
  <si>
    <t>https://cd.lianjia.com/ershoufang/106121935834.html</t>
  </si>
  <si>
    <t>106122620307.0</t>
  </si>
  <si>
    <t>https://cd.lianjia.com/ershoufang/106122620307.html</t>
  </si>
  <si>
    <t>106123153160.0</t>
  </si>
  <si>
    <t>https://cd.lianjia.com/ershoufang/106123153160.html</t>
  </si>
  <si>
    <t>106124596789.0</t>
  </si>
  <si>
    <t>https://cd.lianjia.com/ershoufang/106124596789.html</t>
  </si>
  <si>
    <t>106125313797.0</t>
  </si>
  <si>
    <t>https://cd.lianjia.com/ershoufang/106125313797.html</t>
  </si>
  <si>
    <t>106127085366.0</t>
  </si>
  <si>
    <t>https://cd.lianjia.com/ershoufang/106127085366.html</t>
  </si>
  <si>
    <t>106127500225.0</t>
  </si>
  <si>
    <t>https://cd.lianjia.com/ershoufang/106127500225.html</t>
  </si>
  <si>
    <t>106128383291.0</t>
  </si>
  <si>
    <t>https://cd.lianjia.com/ershoufang/106128383291.html</t>
  </si>
  <si>
    <t>106128560983.0</t>
  </si>
  <si>
    <t>https://cd.lianjia.com/ershoufang/106128560983.html</t>
  </si>
  <si>
    <t>106129134845.0</t>
  </si>
  <si>
    <t>https://cd.lianjia.com/ershoufang/106129134845.html</t>
  </si>
  <si>
    <t>106129364642.0</t>
  </si>
  <si>
    <t>https://cd.lianjia.com/ershoufang/106129364642.html</t>
  </si>
  <si>
    <t>106129397106.0</t>
  </si>
  <si>
    <t>https://cd.lianjia.com/ershoufang/106129397106.html</t>
  </si>
  <si>
    <t>106129568583.0</t>
  </si>
  <si>
    <t>https://cd.lianjia.com/ershoufang/106129568583.html</t>
  </si>
  <si>
    <t>106129607704.0</t>
  </si>
  <si>
    <t>https://cd.lianjia.com/ershoufang/106129607704.html</t>
  </si>
  <si>
    <t>106129681163.0</t>
  </si>
  <si>
    <t>https://cd.lianjia.com/ershoufang/106129681163.html</t>
  </si>
  <si>
    <t>106129686965.0</t>
  </si>
  <si>
    <t>https://cd.lianjia.com/ershoufang/106129686965.html</t>
  </si>
  <si>
    <t>106124944064.0</t>
  </si>
  <si>
    <t>https://cd.lianjia.com/ershoufang/106124944064.html</t>
  </si>
  <si>
    <t>106126685085.0</t>
  </si>
  <si>
    <t>https://cd.lianjia.com/ershoufang/106126685085.html</t>
  </si>
  <si>
    <t>106109037715.0</t>
  </si>
  <si>
    <t>https://cd.lianjia.com/ershoufang/106109037715.html</t>
  </si>
  <si>
    <t>106127223868.0</t>
  </si>
  <si>
    <t>https://cd.lianjia.com/ershoufang/106127223868.html</t>
  </si>
  <si>
    <t>106129594044.0</t>
  </si>
  <si>
    <t>https://cd.lianjia.com/ershoufang/106129594044.html</t>
  </si>
  <si>
    <t>106115578352.0</t>
  </si>
  <si>
    <t>https://cd.lianjia.com/ershoufang/106115578352.html</t>
  </si>
  <si>
    <t>106119524660.0</t>
  </si>
  <si>
    <t>https://cd.lianjia.com/ershoufang/106119524660.html</t>
  </si>
  <si>
    <t>106120003453.0</t>
  </si>
  <si>
    <t>https://cd.lianjia.com/ershoufang/106120003453.html</t>
  </si>
  <si>
    <t>106120944553.0</t>
  </si>
  <si>
    <t>https://cd.lianjia.com/ershoufang/106120944553.html</t>
  </si>
  <si>
    <t>106122927097.0</t>
  </si>
  <si>
    <t>https://cd.lianjia.com/ershoufang/106122927097.html</t>
  </si>
  <si>
    <t>106124416682.0</t>
  </si>
  <si>
    <t>https://cd.lianjia.com/ershoufang/106124416682.html</t>
  </si>
  <si>
    <t>106127372141.0</t>
  </si>
  <si>
    <t>https://cd.lianjia.com/ershoufang/106127372141.html</t>
  </si>
  <si>
    <t>106129248317.0</t>
  </si>
  <si>
    <t>https://cd.lianjia.com/ershoufang/106129248317.html</t>
  </si>
  <si>
    <t>106129090372.0</t>
  </si>
  <si>
    <t>https://cd.lianjia.com/ershoufang/106129090372.html</t>
  </si>
  <si>
    <t>106125610952.0</t>
  </si>
  <si>
    <t>https://cd.lianjia.com/ershoufang/106125610952.html</t>
  </si>
  <si>
    <t>106128067403.0</t>
  </si>
  <si>
    <t>https://cd.lianjia.com/ershoufang/106128067403.html</t>
  </si>
  <si>
    <t>106129544302.0</t>
  </si>
  <si>
    <t>https://cd.lianjia.com/ershoufang/106129544302.html</t>
  </si>
  <si>
    <t>106129690226.0</t>
  </si>
  <si>
    <t>https://cd.lianjia.com/ershoufang/106129690226.html</t>
  </si>
  <si>
    <t>106113857531.0</t>
  </si>
  <si>
    <t>https://cd.lianjia.com/ershoufang/106113857531.html</t>
  </si>
  <si>
    <t>106127952151.0</t>
  </si>
  <si>
    <t>https://cd.lianjia.com/ershoufang/106127952151.html</t>
  </si>
  <si>
    <t>106117024840.0</t>
  </si>
  <si>
    <t>https://cd.lianjia.com/ershoufang/106117024840.html</t>
  </si>
  <si>
    <t>106121249684.0</t>
  </si>
  <si>
    <t>https://cd.lianjia.com/ershoufang/106121249684.html</t>
  </si>
  <si>
    <t>106121959272.0</t>
  </si>
  <si>
    <t>https://cd.lianjia.com/ershoufang/106121959272.html</t>
  </si>
  <si>
    <t>106122056714.0</t>
  </si>
  <si>
    <t>https://cd.lianjia.com/ershoufang/106122056714.html</t>
  </si>
  <si>
    <t>106122572949.0</t>
  </si>
  <si>
    <t>https://cd.lianjia.com/ershoufang/106122572949.html</t>
  </si>
  <si>
    <t>106124424308.0</t>
  </si>
  <si>
    <t>https://cd.lianjia.com/ershoufang/106124424308.html</t>
  </si>
  <si>
    <t>106125886304.0</t>
  </si>
  <si>
    <t>https://cd.lianjia.com/ershoufang/106125886304.html</t>
  </si>
  <si>
    <t>106126034712.0</t>
  </si>
  <si>
    <t>https://cd.lianjia.com/ershoufang/106126034712.html</t>
  </si>
  <si>
    <t>106126903785.0</t>
  </si>
  <si>
    <t>https://cd.lianjia.com/ershoufang/106126903785.html</t>
  </si>
  <si>
    <t>106127025537.0</t>
  </si>
  <si>
    <t>https://cd.lianjia.com/ershoufang/106127025537.html</t>
  </si>
  <si>
    <t>106127409353.0</t>
  </si>
  <si>
    <t>https://cd.lianjia.com/ershoufang/106127409353.html</t>
  </si>
  <si>
    <t>106127811131.0</t>
  </si>
  <si>
    <t>https://cd.lianjia.com/ershoufang/106127811131.html</t>
  </si>
  <si>
    <t>106128078721.0</t>
  </si>
  <si>
    <t>https://cd.lianjia.com/ershoufang/106128078721.html</t>
  </si>
  <si>
    <t>106129085227.0</t>
  </si>
  <si>
    <t>https://cd.lianjia.com/ershoufang/106129085227.html</t>
  </si>
  <si>
    <t>106129708832.0</t>
  </si>
  <si>
    <t>https://cd.lianjia.com/ershoufang/106129708832.html</t>
  </si>
  <si>
    <t>106129777220.0</t>
  </si>
  <si>
    <t>https://cd.lianjia.com/ershoufang/106129777220.html</t>
  </si>
  <si>
    <t>106120840871.0</t>
  </si>
  <si>
    <t>https://cd.lianjia.com/ershoufang/106120840871.html</t>
  </si>
  <si>
    <t>106126036865.0</t>
  </si>
  <si>
    <t>https://cd.lianjia.com/ershoufang/106126036865.html</t>
  </si>
  <si>
    <t>106128314999.0</t>
  </si>
  <si>
    <t>https://cd.lianjia.com/ershoufang/106128314999.html</t>
  </si>
  <si>
    <t>106128618247.0</t>
  </si>
  <si>
    <t>https://cd.lianjia.com/ershoufang/106128618247.html</t>
  </si>
  <si>
    <t>106128706545.0</t>
  </si>
  <si>
    <t>https://cd.lianjia.com/ershoufang/106128706545.html</t>
  </si>
  <si>
    <t>106128719385.0</t>
  </si>
  <si>
    <t>https://cd.lianjia.com/ershoufang/106128719385.html</t>
  </si>
  <si>
    <t>106117376425.0</t>
  </si>
  <si>
    <t>https://cd.lianjia.com/ershoufang/106117376425.html</t>
  </si>
  <si>
    <t>106123800752.0</t>
  </si>
  <si>
    <t>https://cd.lianjia.com/ershoufang/106123800752.html</t>
  </si>
  <si>
    <t>106121939543.0</t>
  </si>
  <si>
    <t>https://cd.lianjia.com/ershoufang/106121939543.html</t>
  </si>
  <si>
    <t>106125324803.0</t>
  </si>
  <si>
    <t>https://cd.lianjia.com/ershoufang/106125324803.html</t>
  </si>
  <si>
    <t>106125537640.0</t>
  </si>
  <si>
    <t>https://cd.lianjia.com/ershoufang/106125537640.html</t>
  </si>
  <si>
    <t>106126744533.0</t>
  </si>
  <si>
    <t>https://cd.lianjia.com/ershoufang/106126744533.html</t>
  </si>
  <si>
    <t>106129219894.0</t>
  </si>
  <si>
    <t>https://cd.lianjia.com/ershoufang/106129219894.html</t>
  </si>
  <si>
    <t>106129693440.0</t>
  </si>
  <si>
    <t>https://cd.lianjia.com/ershoufang/106129693440.html</t>
  </si>
  <si>
    <t>106118177785.0</t>
  </si>
  <si>
    <t>https://cd.lianjia.com/ershoufang/106118177785.html</t>
  </si>
  <si>
    <t>106126549345.0</t>
  </si>
  <si>
    <t>https://cd.lianjia.com/ershoufang/106126549345.html</t>
  </si>
  <si>
    <t>106126444381.0</t>
  </si>
  <si>
    <t>https://cd.lianjia.com/ershoufang/106126444381.html</t>
  </si>
  <si>
    <t>106128499048.0</t>
  </si>
  <si>
    <t>https://cd.lianjia.com/ershoufang/106128499048.html</t>
  </si>
  <si>
    <t>106119050378.0</t>
  </si>
  <si>
    <t>https://cd.lianjia.com/ershoufang/106119050378.html</t>
  </si>
  <si>
    <t>106119514566.0</t>
  </si>
  <si>
    <t>https://cd.lianjia.com/ershoufang/106119514566.html</t>
  </si>
  <si>
    <t>106123368376.0</t>
  </si>
  <si>
    <t>https://cd.lianjia.com/ershoufang/106123368376.html</t>
  </si>
  <si>
    <t>106127225802.0</t>
  </si>
  <si>
    <t>https://cd.lianjia.com/ershoufang/106127225802.html</t>
  </si>
  <si>
    <t>106127327864.0</t>
  </si>
  <si>
    <t>https://cd.lianjia.com/ershoufang/106127327864.html</t>
  </si>
  <si>
    <t>106127349739.0</t>
  </si>
  <si>
    <t>https://cd.lianjia.com/ershoufang/106127349739.html</t>
  </si>
  <si>
    <t>106127353695.0</t>
  </si>
  <si>
    <t>https://cd.lianjia.com/ershoufang/106127353695.html</t>
  </si>
  <si>
    <t>106127692134.0</t>
  </si>
  <si>
    <t>https://cd.lianjia.com/ershoufang/106127692134.html</t>
  </si>
  <si>
    <t>106127700903.0</t>
  </si>
  <si>
    <t>https://cd.lianjia.com/ershoufang/106127700903.html</t>
  </si>
  <si>
    <t>106127708451.0</t>
  </si>
  <si>
    <t>https://cd.lianjia.com/ershoufang/106127708451.html</t>
  </si>
  <si>
    <t>106128595751.0</t>
  </si>
  <si>
    <t>https://cd.lianjia.com/ershoufang/106128595751.html</t>
  </si>
  <si>
    <t>106128693130.0</t>
  </si>
  <si>
    <t>https://cd.lianjia.com/ershoufang/106128693130.html</t>
  </si>
  <si>
    <t>106129461186.0</t>
  </si>
  <si>
    <t>https://cd.lianjia.com/ershoufang/106129461186.html</t>
  </si>
  <si>
    <t>106128397706.0</t>
  </si>
  <si>
    <t>https://cd.lianjia.com/ershoufang/106128397706.html</t>
  </si>
  <si>
    <t>106128664638.0</t>
  </si>
  <si>
    <t>https://cd.lianjia.com/ershoufang/106128664638.html</t>
  </si>
  <si>
    <t>106127248280.0</t>
  </si>
  <si>
    <t>https://cd.lianjia.com/ershoufang/106127248280.html</t>
  </si>
  <si>
    <t>106111484715.0</t>
  </si>
  <si>
    <t>https://cd.lianjia.com/ershoufang/106111484715.html</t>
  </si>
  <si>
    <t>106115611668.0</t>
  </si>
  <si>
    <t>https://cd.lianjia.com/ershoufang/106115611668.html</t>
  </si>
  <si>
    <t>106121562330.0</t>
  </si>
  <si>
    <t>https://cd.lianjia.com/ershoufang/106121562330.html</t>
  </si>
  <si>
    <t>106122195452.0</t>
  </si>
  <si>
    <t>https://cd.lianjia.com/ershoufang/106122195452.html</t>
  </si>
  <si>
    <t>106125790610.0</t>
  </si>
  <si>
    <t>https://cd.lianjia.com/ershoufang/106125790610.html</t>
  </si>
  <si>
    <t>106125835916.0</t>
  </si>
  <si>
    <t>https://cd.lianjia.com/ershoufang/106125835916.html</t>
  </si>
  <si>
    <t>106126044932.0</t>
  </si>
  <si>
    <t>https://cd.lianjia.com/ershoufang/106126044932.html</t>
  </si>
  <si>
    <t>106126157432.0</t>
  </si>
  <si>
    <t>https://cd.lianjia.com/ershoufang/106126157432.html</t>
  </si>
  <si>
    <t>106126559339.0</t>
  </si>
  <si>
    <t>https://cd.lianjia.com/ershoufang/106126559339.html</t>
  </si>
  <si>
    <t>106127037012.0</t>
  </si>
  <si>
    <t>https://cd.lianjia.com/ershoufang/106127037012.html</t>
  </si>
  <si>
    <t>106127541257.0</t>
  </si>
  <si>
    <t>https://cd.lianjia.com/ershoufang/106127541257.html</t>
  </si>
  <si>
    <t>106128424434.0</t>
  </si>
  <si>
    <t>https://cd.lianjia.com/ershoufang/106128424434.html</t>
  </si>
  <si>
    <t>106128499062.0</t>
  </si>
  <si>
    <t>https://cd.lianjia.com/ershoufang/106128499062.html</t>
  </si>
  <si>
    <t>106128993688.0</t>
  </si>
  <si>
    <t>https://cd.lianjia.com/ershoufang/106128993688.html</t>
  </si>
  <si>
    <t>106129785664.0</t>
  </si>
  <si>
    <t>https://cd.lianjia.com/ershoufang/106129785664.html</t>
  </si>
  <si>
    <t>106128664613.0</t>
  </si>
  <si>
    <t>https://cd.lianjia.com/ershoufang/106128664613.html</t>
  </si>
  <si>
    <t>106129551882.0</t>
  </si>
  <si>
    <t>https://cd.lianjia.com/ershoufang/106129551882.html</t>
  </si>
  <si>
    <t>106125277936.0</t>
  </si>
  <si>
    <t>https://cd.lianjia.com/ershoufang/106125277936.html</t>
  </si>
  <si>
    <t>106125535058.0</t>
  </si>
  <si>
    <t>https://cd.lianjia.com/ershoufang/106125535058.html</t>
  </si>
  <si>
    <t>106127627026.0</t>
  </si>
  <si>
    <t>https://cd.lianjia.com/ershoufang/106127627026.html</t>
  </si>
  <si>
    <t>106128601671.0</t>
  </si>
  <si>
    <t>https://cd.lianjia.com/ershoufang/106128601671.html</t>
  </si>
  <si>
    <t>106116069751.0</t>
  </si>
  <si>
    <t>https://cd.lianjia.com/ershoufang/106116069751.html</t>
  </si>
  <si>
    <t>106119083725.0</t>
  </si>
  <si>
    <t>https://cd.lianjia.com/ershoufang/106119083725.html</t>
  </si>
  <si>
    <t>106120391071.0</t>
  </si>
  <si>
    <t>https://cd.lianjia.com/ershoufang/106120391071.html</t>
  </si>
  <si>
    <t>106121829033.0</t>
  </si>
  <si>
    <t>https://cd.lianjia.com/ershoufang/106121829033.html</t>
  </si>
  <si>
    <t>106122735713.0</t>
  </si>
  <si>
    <t>https://cd.lianjia.com/ershoufang/106122735713.html</t>
  </si>
  <si>
    <t>106124620643.0</t>
  </si>
  <si>
    <t>https://cd.lianjia.com/ershoufang/106124620643.html</t>
  </si>
  <si>
    <t>106127172217.0</t>
  </si>
  <si>
    <t>https://cd.lianjia.com/ershoufang/106127172217.html</t>
  </si>
  <si>
    <t>106128213694.0</t>
  </si>
  <si>
    <t>https://cd.lianjia.com/ershoufang/106128213694.html</t>
  </si>
  <si>
    <t>106113332878.0</t>
  </si>
  <si>
    <t>https://cd.lianjia.com/ershoufang/106113332878.html</t>
  </si>
  <si>
    <t>106124924125.0</t>
  </si>
  <si>
    <t>https://cd.lianjia.com/ershoufang/106124924125.html</t>
  </si>
  <si>
    <t>106125891893.0</t>
  </si>
  <si>
    <t>https://cd.lianjia.com/ershoufang/106125891893.html</t>
  </si>
  <si>
    <t>106128960499.0</t>
  </si>
  <si>
    <t>https://cd.lianjia.com/ershoufang/106128960499.html</t>
  </si>
  <si>
    <t>106126842554.0</t>
  </si>
  <si>
    <t>https://cd.lianjia.com/ershoufang/106126842554.html</t>
  </si>
  <si>
    <t>106127231711.0</t>
  </si>
  <si>
    <t>https://cd.lianjia.com/ershoufang/106127231711.html</t>
  </si>
  <si>
    <t>106128370693.0</t>
  </si>
  <si>
    <t>https://cd.lianjia.com/ershoufang/106128370693.html</t>
  </si>
  <si>
    <t>106128760622.0</t>
  </si>
  <si>
    <t>https://cd.lianjia.com/ershoufang/106128760622.html</t>
  </si>
  <si>
    <t>106129748001.0</t>
  </si>
  <si>
    <t>https://cd.lianjia.com/ershoufang/106129748001.html</t>
  </si>
  <si>
    <t>106125624828.0</t>
  </si>
  <si>
    <t>https://cd.lianjia.com/ershoufang/106125624828.html</t>
  </si>
  <si>
    <t>106127359810.0</t>
  </si>
  <si>
    <t>https://cd.lianjia.com/ershoufang/106127359810.html</t>
  </si>
  <si>
    <t>106124805416.0</t>
  </si>
  <si>
    <t>https://cd.lianjia.com/ershoufang/106124805416.html</t>
  </si>
  <si>
    <t>106124802271.0</t>
  </si>
  <si>
    <t>https://cd.lianjia.com/ershoufang/106124802271.html</t>
  </si>
  <si>
    <t>106127920157.0</t>
  </si>
  <si>
    <t>https://cd.lianjia.com/ershoufang/106127920157.html</t>
  </si>
  <si>
    <t>106127096344.0</t>
  </si>
  <si>
    <t>https://cd.lianjia.com/ershoufang/106127096344.html</t>
  </si>
  <si>
    <t>106124043372.0</t>
  </si>
  <si>
    <t>https://cd.lianjia.com/ershoufang/106124043372.html</t>
  </si>
  <si>
    <t>106124044904.0</t>
  </si>
  <si>
    <t>https://cd.lianjia.com/ershoufang/106124044904.html</t>
  </si>
  <si>
    <t>106129340854.0</t>
  </si>
  <si>
    <t>https://cd.lianjia.com/ershoufang/106129340854.html</t>
  </si>
  <si>
    <t>106129389896.0</t>
  </si>
  <si>
    <t>https://cd.lianjia.com/ershoufang/106129389896.html</t>
  </si>
  <si>
    <t>106120532293.0</t>
  </si>
  <si>
    <t>https://cd.lianjia.com/ershoufang/106120532293.html</t>
  </si>
  <si>
    <t>106129294270.0</t>
  </si>
  <si>
    <t>https://cd.lianjia.com/ershoufang/106129294270.html</t>
  </si>
  <si>
    <t>106118711969.0</t>
  </si>
  <si>
    <t>https://cd.lianjia.com/ershoufang/106118711969.html</t>
  </si>
  <si>
    <t>106121430608.0</t>
  </si>
  <si>
    <t>https://cd.lianjia.com/ershoufang/106121430608.html</t>
  </si>
  <si>
    <t>106122290651.0</t>
  </si>
  <si>
    <t>https://cd.lianjia.com/ershoufang/106122290651.html</t>
  </si>
  <si>
    <t>106122815108.0</t>
  </si>
  <si>
    <t>https://cd.lianjia.com/ershoufang/106122815108.html</t>
  </si>
  <si>
    <t>106124711130.0</t>
  </si>
  <si>
    <t>https://cd.lianjia.com/ershoufang/106124711130.html</t>
  </si>
  <si>
    <t>106128209866.0</t>
  </si>
  <si>
    <t>https://cd.lianjia.com/ershoufang/106128209866.html</t>
  </si>
  <si>
    <t>106128426074.0</t>
  </si>
  <si>
    <t>https://cd.lianjia.com/ershoufang/106128426074.html</t>
  </si>
  <si>
    <t>106124079687.0</t>
  </si>
  <si>
    <t>https://cd.lianjia.com/ershoufang/106124079687.html</t>
  </si>
  <si>
    <t>106126423481.0</t>
  </si>
  <si>
    <t>https://cd.lianjia.com/ershoufang/106126423481.html</t>
  </si>
  <si>
    <t>106129252223.0</t>
  </si>
  <si>
    <t>https://cd.lianjia.com/ershoufang/106129252223.html</t>
  </si>
  <si>
    <t>106123818064.0</t>
  </si>
  <si>
    <t>https://cd.lianjia.com/ershoufang/106123818064.html</t>
  </si>
  <si>
    <t>106126959789.0</t>
  </si>
  <si>
    <t>https://cd.lianjia.com/ershoufang/106126959789.html</t>
  </si>
  <si>
    <t>106129691155.0</t>
  </si>
  <si>
    <t>https://cd.lianjia.com/ershoufang/106129691155.html</t>
  </si>
  <si>
    <t>106120805119.0</t>
  </si>
  <si>
    <t>https://cd.lianjia.com/ershoufang/106120805119.html</t>
  </si>
  <si>
    <t>106125245379.0</t>
  </si>
  <si>
    <t>https://cd.lianjia.com/ershoufang/106125245379.html</t>
  </si>
  <si>
    <t>106106817681.0</t>
  </si>
  <si>
    <t>https://cd.lianjia.com/ershoufang/106106817681.html</t>
  </si>
  <si>
    <t>106116146246.0</t>
  </si>
  <si>
    <t>https://cd.lianjia.com/ershoufang/106116146246.html</t>
  </si>
  <si>
    <t>106119707392.0</t>
  </si>
  <si>
    <t>https://cd.lianjia.com/ershoufang/106119707392.html</t>
  </si>
  <si>
    <t>106125469615.0</t>
  </si>
  <si>
    <t>https://cd.lianjia.com/ershoufang/106125469615.html</t>
  </si>
  <si>
    <t>106125627226.0</t>
  </si>
  <si>
    <t>https://cd.lianjia.com/ershoufang/106125627226.html</t>
  </si>
  <si>
    <t>106127220439.0</t>
  </si>
  <si>
    <t>https://cd.lianjia.com/ershoufang/106127220439.html</t>
  </si>
  <si>
    <t>106123604631.0</t>
  </si>
  <si>
    <t>https://cd.lianjia.com/ershoufang/106123604631.html</t>
  </si>
  <si>
    <t>106128669538.0</t>
  </si>
  <si>
    <t>https://cd.lianjia.com/ershoufang/106128669538.html</t>
  </si>
  <si>
    <t>106127249991.0</t>
  </si>
  <si>
    <t>https://cd.lianjia.com/ershoufang/106127249991.html</t>
  </si>
  <si>
    <t>106127330211.0</t>
  </si>
  <si>
    <t>https://cd.lianjia.com/ershoufang/106127330211.html</t>
  </si>
  <si>
    <t>106127383196.0</t>
  </si>
  <si>
    <t>https://cd.lianjia.com/ershoufang/106127383196.html</t>
  </si>
  <si>
    <t>106117668687.0</t>
  </si>
  <si>
    <t>https://cd.lianjia.com/ershoufang/106117668687.html</t>
  </si>
  <si>
    <t>106127942183.0</t>
  </si>
  <si>
    <t>https://cd.lianjia.com/ershoufang/106127942183.html</t>
  </si>
  <si>
    <t>106129630579.0</t>
  </si>
  <si>
    <t>https://cd.lianjia.com/ershoufang/106129630579.html</t>
  </si>
  <si>
    <t>106126008768.0</t>
  </si>
  <si>
    <t>https://cd.lianjia.com/ershoufang/106126008768.html</t>
  </si>
  <si>
    <t>106126491924.0</t>
  </si>
  <si>
    <t>https://cd.lianjia.com/ershoufang/106126491924.html</t>
  </si>
  <si>
    <t>106127515499.0</t>
  </si>
  <si>
    <t>https://cd.lianjia.com/ershoufang/106127515499.html</t>
  </si>
  <si>
    <t>106129290491.0</t>
  </si>
  <si>
    <t>https://cd.lianjia.com/ershoufang/106129290491.html</t>
  </si>
  <si>
    <t>106126112332.0</t>
  </si>
  <si>
    <t>https://cd.lianjia.com/ershoufang/106126112332.html</t>
  </si>
  <si>
    <t>106127836243.0</t>
  </si>
  <si>
    <t>https://cd.lianjia.com/ershoufang/106127836243.html</t>
  </si>
  <si>
    <t>106128077853.0</t>
  </si>
  <si>
    <t>https://cd.lianjia.com/ershoufang/106128077853.html</t>
  </si>
  <si>
    <t>106117983295.0</t>
  </si>
  <si>
    <t>https://cd.lianjia.com/ershoufang/106117983295.html</t>
  </si>
  <si>
    <t>106119525614.0</t>
  </si>
  <si>
    <t>https://cd.lianjia.com/ershoufang/106119525614.html</t>
  </si>
  <si>
    <t>106126051174.0</t>
  </si>
  <si>
    <t>https://cd.lianjia.com/ershoufang/106126051174.html</t>
  </si>
  <si>
    <t>106127336415.0</t>
  </si>
  <si>
    <t>https://cd.lianjia.com/ershoufang/106127336415.html</t>
  </si>
  <si>
    <t>106127351359.0</t>
  </si>
  <si>
    <t>https://cd.lianjia.com/ershoufang/106127351359.html</t>
  </si>
  <si>
    <t>106127955213.0</t>
  </si>
  <si>
    <t>https://cd.lianjia.com/ershoufang/106127955213.html</t>
  </si>
  <si>
    <t>106129579397.0</t>
  </si>
  <si>
    <t>https://cd.lianjia.com/ershoufang/106129579397.html</t>
  </si>
  <si>
    <t>106122835656.0</t>
  </si>
  <si>
    <t>https://cd.lianjia.com/ershoufang/106122835656.html</t>
  </si>
  <si>
    <t>106125986292.0</t>
  </si>
  <si>
    <t>https://cd.lianjia.com/ershoufang/106125986292.html</t>
  </si>
  <si>
    <t>106126596437.0</t>
  </si>
  <si>
    <t>https://cd.lianjia.com/ershoufang/106126596437.html</t>
  </si>
  <si>
    <t>106128105195.0</t>
  </si>
  <si>
    <t>https://cd.lianjia.com/ershoufang/106128105195.html</t>
  </si>
  <si>
    <t>106128241532.0</t>
  </si>
  <si>
    <t>https://cd.lianjia.com/ershoufang/106128241532.html</t>
  </si>
  <si>
    <t>106122593745.0</t>
  </si>
  <si>
    <t>https://cd.lianjia.com/ershoufang/106122593745.html</t>
  </si>
  <si>
    <t>106129315377.0</t>
  </si>
  <si>
    <t>https://cd.lianjia.com/ershoufang/106129315377.html</t>
  </si>
  <si>
    <t>106116379228.0</t>
  </si>
  <si>
    <t>https://cd.lianjia.com/ershoufang/106116379228.html</t>
  </si>
  <si>
    <t>106128535208.0</t>
  </si>
  <si>
    <t>https://cd.lianjia.com/ershoufang/106128535208.html</t>
  </si>
  <si>
    <t>106127417742.0</t>
  </si>
  <si>
    <t>https://cd.lianjia.com/ershoufang/106127417742.html</t>
  </si>
  <si>
    <t>106119436691.0</t>
  </si>
  <si>
    <t>https://cd.lianjia.com/ershoufang/106119436691.html</t>
  </si>
  <si>
    <t>106125412997.0</t>
  </si>
  <si>
    <t>https://cd.lianjia.com/ershoufang/106125412997.html</t>
  </si>
  <si>
    <t>106118734500.0</t>
  </si>
  <si>
    <t>https://cd.lianjia.com/ershoufang/106118734500.html</t>
  </si>
  <si>
    <t>106124089453.0</t>
  </si>
  <si>
    <t>https://cd.lianjia.com/ershoufang/106124089453.html</t>
  </si>
  <si>
    <t>106127336612.0</t>
  </si>
  <si>
    <t>https://cd.lianjia.com/ershoufang/106127336612.html</t>
  </si>
  <si>
    <t>106128889372.0</t>
  </si>
  <si>
    <t>https://cd.lianjia.com/ershoufang/106128889372.html</t>
  </si>
  <si>
    <t>106128895360.0</t>
  </si>
  <si>
    <t>https://cd.lianjia.com/ershoufang/106128895360.html</t>
  </si>
  <si>
    <t>106128841061.0</t>
  </si>
  <si>
    <t>https://cd.lianjia.com/ershoufang/106128841061.html</t>
  </si>
  <si>
    <t>106124708254.0</t>
  </si>
  <si>
    <t>https://cd.lianjia.com/ershoufang/106124708254.html</t>
  </si>
  <si>
    <t>106129086523.0</t>
  </si>
  <si>
    <t>https://cd.lianjia.com/ershoufang/106129086523.html</t>
  </si>
  <si>
    <t>106129583514.0</t>
  </si>
  <si>
    <t>https://cd.lianjia.com/ershoufang/106129583514.html</t>
  </si>
  <si>
    <t>106124676347.0</t>
  </si>
  <si>
    <t>https://cd.lianjia.com/ershoufang/106124676347.html</t>
  </si>
  <si>
    <t>106113209560.0</t>
  </si>
  <si>
    <t>https://cd.lianjia.com/ershoufang/106113209560.html</t>
  </si>
  <si>
    <t>106125165037.0</t>
  </si>
  <si>
    <t>https://cd.lianjia.com/ershoufang/106125165037.html</t>
  </si>
  <si>
    <t>106121607725.0</t>
  </si>
  <si>
    <t>https://cd.lianjia.com/ershoufang/106121607725.html</t>
  </si>
  <si>
    <t>106122033634.0</t>
  </si>
  <si>
    <t>https://cd.lianjia.com/ershoufang/106122033634.html</t>
  </si>
  <si>
    <t>106127233441.0</t>
  </si>
  <si>
    <t>https://cd.lianjia.com/ershoufang/106127233441.html</t>
  </si>
  <si>
    <t>106127349612.0</t>
  </si>
  <si>
    <t>https://cd.lianjia.com/ershoufang/106127349612.html</t>
  </si>
  <si>
    <t>106127974566.0</t>
  </si>
  <si>
    <t>https://cd.lianjia.com/ershoufang/106127974566.html</t>
  </si>
  <si>
    <t>106128884643.0</t>
  </si>
  <si>
    <t>https://cd.lianjia.com/ershoufang/106128884643.html</t>
  </si>
  <si>
    <t>106117902450.0</t>
  </si>
  <si>
    <t>https://cd.lianjia.com/ershoufang/106117902450.html</t>
  </si>
  <si>
    <t>106125340075.0</t>
  </si>
  <si>
    <t>https://cd.lianjia.com/ershoufang/106125340075.html</t>
  </si>
  <si>
    <t>106125591056.0</t>
  </si>
  <si>
    <t>https://cd.lianjia.com/ershoufang/106125591056.html</t>
  </si>
  <si>
    <t>106125621691.0</t>
  </si>
  <si>
    <t>https://cd.lianjia.com/ershoufang/106125621691.html</t>
  </si>
  <si>
    <t>106128426440.0</t>
  </si>
  <si>
    <t>https://cd.lianjia.com/ershoufang/106128426440.html</t>
  </si>
  <si>
    <t>106128642265.0</t>
  </si>
  <si>
    <t>https://cd.lianjia.com/ershoufang/106128642265.html</t>
  </si>
  <si>
    <t>106129564440.0</t>
  </si>
  <si>
    <t>https://cd.lianjia.com/ershoufang/106129564440.html</t>
  </si>
  <si>
    <t>106128450619.0</t>
  </si>
  <si>
    <t>https://cd.lianjia.com/ershoufang/106128450619.html</t>
  </si>
  <si>
    <t>106128167603.0</t>
  </si>
  <si>
    <t>https://cd.lianjia.com/ershoufang/106128167603.html</t>
  </si>
  <si>
    <t>106128407959.0</t>
  </si>
  <si>
    <t>https://cd.lianjia.com/ershoufang/106128407959.html</t>
  </si>
  <si>
    <t>106129458290.0</t>
  </si>
  <si>
    <t>https://cd.lianjia.com/ershoufang/106129458290.html</t>
  </si>
  <si>
    <t>106127537825.0</t>
  </si>
  <si>
    <t>https://cd.lianjia.com/ershoufang/106127537825.html</t>
  </si>
  <si>
    <t>106127402774.0</t>
  </si>
  <si>
    <t>https://cd.lianjia.com/ershoufang/106127402774.html</t>
  </si>
  <si>
    <t>106127172466.0</t>
  </si>
  <si>
    <t>https://cd.lianjia.com/ershoufang/106127172466.html</t>
  </si>
  <si>
    <t>106129339322.0</t>
  </si>
  <si>
    <t>https://cd.lianjia.com/ershoufang/106129339322.html</t>
  </si>
  <si>
    <t>106115439402.0</t>
  </si>
  <si>
    <t>https://cd.lianjia.com/ershoufang/106115439402.html</t>
  </si>
  <si>
    <t>106129698474.0</t>
  </si>
  <si>
    <t>https://cd.lianjia.com/ershoufang/106129698474.html</t>
  </si>
  <si>
    <t>106127402839.0</t>
  </si>
  <si>
    <t>https://cd.lianjia.com/ershoufang/106127402839.html</t>
  </si>
  <si>
    <t>106114356907.0</t>
  </si>
  <si>
    <t>https://cd.lianjia.com/ershoufang/106114356907.html</t>
  </si>
  <si>
    <t>106129471420.0</t>
  </si>
  <si>
    <t>https://cd.lianjia.com/ershoufang/106129471420.html</t>
  </si>
  <si>
    <t>106124034024.0</t>
  </si>
  <si>
    <t>https://cd.lianjia.com/ershoufang/106124034024.html</t>
  </si>
  <si>
    <t>106128612788.0</t>
  </si>
  <si>
    <t>https://cd.lianjia.com/ershoufang/106128612788.html</t>
  </si>
  <si>
    <t>106129687043.0</t>
  </si>
  <si>
    <t>https://cd.lianjia.com/ershoufang/106129687043.html</t>
  </si>
  <si>
    <t>106129229713.0</t>
  </si>
  <si>
    <t>https://cd.lianjia.com/ershoufang/106129229713.html</t>
  </si>
  <si>
    <t>106127771870.0</t>
  </si>
  <si>
    <t>https://cd.lianjia.com/ershoufang/106127771870.html</t>
  </si>
  <si>
    <t>106107026741.0</t>
  </si>
  <si>
    <t>https://cd.lianjia.com/ershoufang/106107026741.html</t>
  </si>
  <si>
    <t>106116382964.0</t>
  </si>
  <si>
    <t>https://cd.lianjia.com/ershoufang/106116382964.html</t>
  </si>
  <si>
    <t>106106757295.0</t>
  </si>
  <si>
    <t>https://cd.lianjia.com/ershoufang/106106757295.html</t>
  </si>
  <si>
    <t>106111328562.0</t>
  </si>
  <si>
    <t>https://cd.lianjia.com/ershoufang/106111328562.html</t>
  </si>
  <si>
    <t>106127503946.0</t>
  </si>
  <si>
    <t>https://cd.lianjia.com/ershoufang/106127503946.html</t>
  </si>
  <si>
    <t>106128084864.0</t>
  </si>
  <si>
    <t>https://cd.lianjia.com/ershoufang/106128084864.html</t>
  </si>
  <si>
    <t>106127333047.0</t>
  </si>
  <si>
    <t>https://cd.lianjia.com/ershoufang/106127333047.html</t>
  </si>
  <si>
    <t>106123689320.0</t>
  </si>
  <si>
    <t>https://cd.lianjia.com/ershoufang/106123689320.html</t>
  </si>
  <si>
    <t>106120421572.0</t>
  </si>
  <si>
    <t>https://cd.lianjia.com/ershoufang/106120421572.html</t>
  </si>
  <si>
    <t>106127690637.0</t>
  </si>
  <si>
    <t>https://cd.lianjia.com/ershoufang/106127690637.html</t>
  </si>
  <si>
    <t>106129663644.0</t>
  </si>
  <si>
    <t>https://cd.lianjia.com/ershoufang/106129663644.html</t>
  </si>
  <si>
    <t>106129663672.0</t>
  </si>
  <si>
    <t>https://cd.lianjia.com/ershoufang/106129663672.html</t>
  </si>
  <si>
    <t>106123235409.0</t>
  </si>
  <si>
    <t>https://cd.lianjia.com/ershoufang/106123235409.html</t>
  </si>
  <si>
    <t>106123407350.0</t>
  </si>
  <si>
    <t>https://cd.lianjia.com/ershoufang/106123407350.html</t>
  </si>
  <si>
    <t>106123415515.0</t>
  </si>
  <si>
    <t>https://cd.lianjia.com/ershoufang/106123415515.html</t>
  </si>
  <si>
    <t>106124619755.0</t>
  </si>
  <si>
    <t>https://cd.lianjia.com/ershoufang/106124619755.html</t>
  </si>
  <si>
    <t>106126702077.0</t>
  </si>
  <si>
    <t>https://cd.lianjia.com/ershoufang/106126702077.html</t>
  </si>
  <si>
    <t>106128854140.0</t>
  </si>
  <si>
    <t>https://cd.lianjia.com/ershoufang/106128854140.html</t>
  </si>
  <si>
    <t>106123318504.0</t>
  </si>
  <si>
    <t>https://cd.lianjia.com/ershoufang/106123318504.html</t>
  </si>
  <si>
    <t>106123325296.0</t>
  </si>
  <si>
    <t>https://cd.lianjia.com/ershoufang/106123325296.html</t>
  </si>
  <si>
    <t>106124139172.0</t>
  </si>
  <si>
    <t>https://cd.lianjia.com/ershoufang/106124139172.html</t>
  </si>
  <si>
    <t>106124732346.0</t>
  </si>
  <si>
    <t>https://cd.lianjia.com/ershoufang/106124732346.html</t>
  </si>
  <si>
    <t>106125979905.0</t>
  </si>
  <si>
    <t>https://cd.lianjia.com/ershoufang/106125979905.html</t>
  </si>
  <si>
    <t>106125997775.0</t>
  </si>
  <si>
    <t>https://cd.lianjia.com/ershoufang/106125997775.html</t>
  </si>
  <si>
    <t>106128667235.0</t>
  </si>
  <si>
    <t>https://cd.lianjia.com/ershoufang/106128667235.html</t>
  </si>
  <si>
    <t>106121927747.0</t>
  </si>
  <si>
    <t>https://cd.lianjia.com/ershoufang/106121927747.html</t>
  </si>
  <si>
    <t>106123739150.0</t>
  </si>
  <si>
    <t>https://cd.lianjia.com/ershoufang/106123739150.html</t>
  </si>
  <si>
    <t>106123191841.0</t>
  </si>
  <si>
    <t>https://cd.lianjia.com/ershoufang/106123191841.html</t>
  </si>
  <si>
    <t>106123899552.0</t>
  </si>
  <si>
    <t>https://cd.lianjia.com/ershoufang/106123899552.html</t>
  </si>
  <si>
    <t>106124696364.0</t>
  </si>
  <si>
    <t>https://cd.lianjia.com/ershoufang/106124696364.html</t>
  </si>
  <si>
    <t>106114888500.0</t>
  </si>
  <si>
    <t>https://cd.lianjia.com/ershoufang/106114888500.html</t>
  </si>
  <si>
    <t>106116047393.0</t>
  </si>
  <si>
    <t>https://cd.lianjia.com/ershoufang/106116047393.html</t>
  </si>
  <si>
    <t>106118636598.0</t>
  </si>
  <si>
    <t>https://cd.lianjia.com/ershoufang/106118636598.html</t>
  </si>
  <si>
    <t>106127364805.0</t>
  </si>
  <si>
    <t>https://cd.lianjia.com/ershoufang/106127364805.html</t>
  </si>
  <si>
    <t>106109282831.0</t>
  </si>
  <si>
    <t>https://cd.lianjia.com/ershoufang/106109282831.html</t>
  </si>
  <si>
    <t>106124122063.0</t>
  </si>
  <si>
    <t>https://cd.lianjia.com/ershoufang/106124122063.html</t>
  </si>
  <si>
    <t>106125188209.0</t>
  </si>
  <si>
    <t>https://cd.lianjia.com/ershoufang/106125188209.html</t>
  </si>
  <si>
    <t>106127095457.0</t>
  </si>
  <si>
    <t>https://cd.lianjia.com/ershoufang/106127095457.html</t>
  </si>
  <si>
    <t>106127341705.0</t>
  </si>
  <si>
    <t>https://cd.lianjia.com/ershoufang/106127341705.html</t>
  </si>
  <si>
    <t>106127863001.0</t>
  </si>
  <si>
    <t>https://cd.lianjia.com/ershoufang/106127863001.html</t>
  </si>
  <si>
    <t>106128811975.0</t>
  </si>
  <si>
    <t>https://cd.lianjia.com/ershoufang/106128811975.html</t>
  </si>
  <si>
    <t>106117642439.0</t>
  </si>
  <si>
    <t>https://cd.lianjia.com/ershoufang/106117642439.html</t>
  </si>
  <si>
    <t>106127780821.0</t>
  </si>
  <si>
    <t>https://cd.lianjia.com/ershoufang/106127780821.html</t>
  </si>
  <si>
    <t>106119718824.0</t>
  </si>
  <si>
    <t>https://cd.lianjia.com/ershoufang/106119718824.html</t>
  </si>
  <si>
    <t>106104257423.0</t>
  </si>
  <si>
    <t>https://cd.lianjia.com/ershoufang/106104257423.html</t>
  </si>
  <si>
    <t>106109733088.0</t>
  </si>
  <si>
    <t>https://cd.lianjia.com/ershoufang/106109733088.html</t>
  </si>
  <si>
    <t>106124565523.0</t>
  </si>
  <si>
    <t>https://cd.lianjia.com/ershoufang/106124565523.html</t>
  </si>
  <si>
    <t>106123526257.0</t>
  </si>
  <si>
    <t>https://cd.lianjia.com/ershoufang/106123526257.html</t>
  </si>
  <si>
    <t>106123006874.0</t>
  </si>
  <si>
    <t>https://cd.lianjia.com/ershoufang/106123006874.html</t>
  </si>
  <si>
    <t>106123456521.0</t>
  </si>
  <si>
    <t>https://cd.lianjia.com/ershoufang/106123456521.html</t>
  </si>
  <si>
    <t>106123810468.0</t>
  </si>
  <si>
    <t>https://cd.lianjia.com/ershoufang/106123810468.html</t>
  </si>
  <si>
    <t>106124849365.0</t>
  </si>
  <si>
    <t>https://cd.lianjia.com/ershoufang/106124849365.html</t>
  </si>
  <si>
    <t>106125983947.0</t>
  </si>
  <si>
    <t>https://cd.lianjia.com/ershoufang/106125983947.html</t>
  </si>
  <si>
    <t>106126922942.0</t>
  </si>
  <si>
    <t>https://cd.lianjia.com/ershoufang/106126922942.html</t>
  </si>
  <si>
    <t>106126989263.0</t>
  </si>
  <si>
    <t>https://cd.lianjia.com/ershoufang/106126989263.html</t>
  </si>
  <si>
    <t>106127022557.0</t>
  </si>
  <si>
    <t>https://cd.lianjia.com/ershoufang/106127022557.html</t>
  </si>
  <si>
    <t>106127106792.0</t>
  </si>
  <si>
    <t>https://cd.lianjia.com/ershoufang/106127106792.html</t>
  </si>
  <si>
    <t>106127191267.0</t>
  </si>
  <si>
    <t>https://cd.lianjia.com/ershoufang/106127191267.html</t>
  </si>
  <si>
    <t>106127191291.0</t>
  </si>
  <si>
    <t>https://cd.lianjia.com/ershoufang/106127191291.html</t>
  </si>
  <si>
    <t>106127217518.0</t>
  </si>
  <si>
    <t>https://cd.lianjia.com/ershoufang/106127217518.html</t>
  </si>
  <si>
    <t>106127395163.0</t>
  </si>
  <si>
    <t>https://cd.lianjia.com/ershoufang/106127395163.html</t>
  </si>
  <si>
    <t>106127720160.0</t>
  </si>
  <si>
    <t>https://cd.lianjia.com/ershoufang/106127720160.html</t>
  </si>
  <si>
    <t>106127751184.0</t>
  </si>
  <si>
    <t>https://cd.lianjia.com/ershoufang/106127751184.html</t>
  </si>
  <si>
    <t>106128227554.0</t>
  </si>
  <si>
    <t>https://cd.lianjia.com/ershoufang/106128227554.html</t>
  </si>
  <si>
    <t>106128581794.0</t>
  </si>
  <si>
    <t>https://cd.lianjia.com/ershoufang/106128581794.html</t>
  </si>
  <si>
    <t>106129262924.0</t>
  </si>
  <si>
    <t>https://cd.lianjia.com/ershoufang/106129262924.html</t>
  </si>
  <si>
    <t>106129578150.0</t>
  </si>
  <si>
    <t>https://cd.lianjia.com/ershoufang/106129578150.html</t>
  </si>
  <si>
    <t>106128334708.0</t>
  </si>
  <si>
    <t>https://cd.lianjia.com/ershoufang/106128334708.html</t>
  </si>
  <si>
    <t>106125622203.0</t>
  </si>
  <si>
    <t>https://cd.lianjia.com/ershoufang/106125622203.html</t>
  </si>
  <si>
    <t>106129136715.0</t>
  </si>
  <si>
    <t>https://cd.lianjia.com/ershoufang/106129136715.html</t>
  </si>
  <si>
    <t>106114316709.0</t>
  </si>
  <si>
    <t>https://cd.lianjia.com/ershoufang/106114316709.html</t>
  </si>
  <si>
    <t>106126241016.0</t>
  </si>
  <si>
    <t>https://cd.lianjia.com/ershoufang/106126241016.html</t>
  </si>
  <si>
    <t>106129807733.0</t>
  </si>
  <si>
    <t>https://cd.lianjia.com/ershoufang/106129807733.html</t>
  </si>
  <si>
    <t>106123192947.0</t>
  </si>
  <si>
    <t>https://cd.lianjia.com/ershoufang/106123192947.html</t>
  </si>
  <si>
    <t>106129634231.0</t>
  </si>
  <si>
    <t>https://cd.lianjia.com/ershoufang/106129634231.html</t>
  </si>
  <si>
    <t>106109539849.0</t>
  </si>
  <si>
    <t>https://cd.lianjia.com/ershoufang/106109539849.html</t>
  </si>
  <si>
    <t>106119008878.0</t>
  </si>
  <si>
    <t>https://cd.lianjia.com/ershoufang/106119008878.html</t>
  </si>
  <si>
    <t>106122624244.0</t>
  </si>
  <si>
    <t>https://cd.lianjia.com/ershoufang/106122624244.html</t>
  </si>
  <si>
    <t>106124512770.0</t>
  </si>
  <si>
    <t>https://cd.lianjia.com/ershoufang/106124512770.html</t>
  </si>
  <si>
    <t>106128324848.0</t>
  </si>
  <si>
    <t>https://cd.lianjia.com/ershoufang/106128324848.html</t>
  </si>
  <si>
    <t>106128551433.0</t>
  </si>
  <si>
    <t>https://cd.lianjia.com/ershoufang/106128551433.html</t>
  </si>
  <si>
    <t>106129384192.0</t>
  </si>
  <si>
    <t>https://cd.lianjia.com/ershoufang/106129384192.html</t>
  </si>
  <si>
    <t>106129487923.0</t>
  </si>
  <si>
    <t>https://cd.lianjia.com/ershoufang/106129487923.html</t>
  </si>
  <si>
    <t>106119961836.0</t>
  </si>
  <si>
    <t>https://cd.lianjia.com/ershoufang/106119961836.html</t>
  </si>
  <si>
    <t>106124525044.0</t>
  </si>
  <si>
    <t>https://cd.lianjia.com/ershoufang/106124525044.html</t>
  </si>
  <si>
    <t>106124553883.0</t>
  </si>
  <si>
    <t>https://cd.lianjia.com/ershoufang/106124553883.html</t>
  </si>
  <si>
    <t>106127127739.0</t>
  </si>
  <si>
    <t>https://cd.lianjia.com/ershoufang/106127127739.html</t>
  </si>
  <si>
    <t>106128309306.0</t>
  </si>
  <si>
    <t>https://cd.lianjia.com/ershoufang/106128309306.html</t>
  </si>
  <si>
    <t>106128606653.0</t>
  </si>
  <si>
    <t>https://cd.lianjia.com/ershoufang/106128606653.html</t>
  </si>
  <si>
    <t>106122007078.0</t>
  </si>
  <si>
    <t>https://cd.lianjia.com/ershoufang/106122007078.html</t>
  </si>
  <si>
    <t>106123784283.0</t>
  </si>
  <si>
    <t>https://cd.lianjia.com/ershoufang/106123784283.html</t>
  </si>
  <si>
    <t>106125133257.0</t>
  </si>
  <si>
    <t>https://cd.lianjia.com/ershoufang/106125133257.html</t>
  </si>
  <si>
    <t>106125188490.0</t>
  </si>
  <si>
    <t>https://cd.lianjia.com/ershoufang/106125188490.html</t>
  </si>
  <si>
    <t>106125473380.0</t>
  </si>
  <si>
    <t>https://cd.lianjia.com/ershoufang/106125473380.html</t>
  </si>
  <si>
    <t>106128393445.0</t>
  </si>
  <si>
    <t>https://cd.lianjia.com/ershoufang/106128393445.html</t>
  </si>
  <si>
    <t>106125914809.0</t>
  </si>
  <si>
    <t>https://cd.lianjia.com/ershoufang/106125914809.html</t>
  </si>
  <si>
    <t>106125081054.0</t>
  </si>
  <si>
    <t>https://cd.lianjia.com/ershoufang/106125081054.html</t>
  </si>
  <si>
    <t>106126722789.0</t>
  </si>
  <si>
    <t>https://cd.lianjia.com/ershoufang/106126722789.html</t>
  </si>
  <si>
    <t>106126778245.0</t>
  </si>
  <si>
    <t>https://cd.lianjia.com/ershoufang/106126778245.html</t>
  </si>
  <si>
    <t>106129649728.0</t>
  </si>
  <si>
    <t>https://cd.lianjia.com/ershoufang/106129649728.html</t>
  </si>
  <si>
    <t>106121929437.0</t>
  </si>
  <si>
    <t>https://cd.lianjia.com/ershoufang/106121929437.html</t>
  </si>
  <si>
    <t>106128786258.0</t>
  </si>
  <si>
    <t>https://cd.lianjia.com/ershoufang/106128786258.html</t>
  </si>
  <si>
    <t>106117614549.0</t>
  </si>
  <si>
    <t>https://cd.lianjia.com/ershoufang/106117614549.html</t>
  </si>
  <si>
    <t>106124182824.0</t>
  </si>
  <si>
    <t>https://cd.lianjia.com/ershoufang/106124182824.html</t>
  </si>
  <si>
    <t>106126053744.0</t>
  </si>
  <si>
    <t>https://cd.lianjia.com/ershoufang/106126053744.html</t>
  </si>
  <si>
    <t>106128517610.0</t>
  </si>
  <si>
    <t>https://cd.lianjia.com/ershoufang/106128517610.html</t>
  </si>
  <si>
    <t>106129043060.0</t>
  </si>
  <si>
    <t>https://cd.lianjia.com/ershoufang/106129043060.html</t>
  </si>
  <si>
    <t>106119573681.0</t>
  </si>
  <si>
    <t>https://cd.lianjia.com/ershoufang/106119573681.html</t>
  </si>
  <si>
    <t>106125927551.0</t>
  </si>
  <si>
    <t>https://cd.lianjia.com/ershoufang/106125927551.html</t>
  </si>
  <si>
    <t>106123226268.0</t>
  </si>
  <si>
    <t>https://cd.lianjia.com/ershoufang/106123226268.html</t>
  </si>
  <si>
    <t>106124690295.0</t>
  </si>
  <si>
    <t>https://cd.lianjia.com/ershoufang/106124690295.html</t>
  </si>
  <si>
    <t>106113397448.0</t>
  </si>
  <si>
    <t>https://cd.lianjia.com/ershoufang/106113397448.html</t>
  </si>
  <si>
    <t>106123420475.0</t>
  </si>
  <si>
    <t>https://cd.lianjia.com/ershoufang/106123420475.html</t>
  </si>
  <si>
    <t>106129633979.0</t>
  </si>
  <si>
    <t>https://cd.lianjia.com/ershoufang/106129633979.html</t>
  </si>
  <si>
    <t>106121797204.0</t>
  </si>
  <si>
    <t>https://cd.lianjia.com/ershoufang/106121797204.html</t>
  </si>
  <si>
    <t>106123101988.0</t>
  </si>
  <si>
    <t>https://cd.lianjia.com/ershoufang/106123101988.html</t>
  </si>
  <si>
    <t>106128219492.0</t>
  </si>
  <si>
    <t>https://cd.lianjia.com/ershoufang/106128219492.html</t>
  </si>
  <si>
    <t>106127293542.0</t>
  </si>
  <si>
    <t>https://cd.lianjia.com/ershoufang/106127293542.html</t>
  </si>
  <si>
    <t>106124838637.0</t>
  </si>
  <si>
    <t>https://cd.lianjia.com/ershoufang/106124838637.html</t>
  </si>
  <si>
    <t>106125780641.0</t>
  </si>
  <si>
    <t>https://cd.lianjia.com/ershoufang/106125780641.html</t>
  </si>
  <si>
    <t>106126742941.0</t>
  </si>
  <si>
    <t>https://cd.lianjia.com/ershoufang/106126742941.html</t>
  </si>
  <si>
    <t>106127656077.0</t>
  </si>
  <si>
    <t>https://cd.lianjia.com/ershoufang/106127656077.html</t>
  </si>
  <si>
    <t>106129270692.0</t>
  </si>
  <si>
    <t>https://cd.lianjia.com/ershoufang/106129270692.html</t>
  </si>
  <si>
    <t>106129343101.0</t>
  </si>
  <si>
    <t>https://cd.lianjia.com/ershoufang/106129343101.html</t>
  </si>
  <si>
    <t>106116682194.0</t>
  </si>
  <si>
    <t>https://cd.lianjia.com/ershoufang/106116682194.html</t>
  </si>
  <si>
    <t>106121992606.0</t>
  </si>
  <si>
    <t>https://cd.lianjia.com/ershoufang/106121992606.html</t>
  </si>
  <si>
    <t>106123703992.0</t>
  </si>
  <si>
    <t>https://cd.lianjia.com/ershoufang/106123703992.html</t>
  </si>
  <si>
    <t>106124565602.0</t>
  </si>
  <si>
    <t>https://cd.lianjia.com/ershoufang/106124565602.html</t>
  </si>
  <si>
    <t>106126378433.0</t>
  </si>
  <si>
    <t>https://cd.lianjia.com/ershoufang/106126378433.html</t>
  </si>
  <si>
    <t>106127579975.0</t>
  </si>
  <si>
    <t>https://cd.lianjia.com/ershoufang/106127579975.html</t>
  </si>
  <si>
    <t>106128580983.0</t>
  </si>
  <si>
    <t>https://cd.lianjia.com/ershoufang/106128580983.html</t>
  </si>
  <si>
    <t>106128650341.0</t>
  </si>
  <si>
    <t>https://cd.lianjia.com/ershoufang/106128650341.html</t>
  </si>
  <si>
    <t>106128885065.0</t>
  </si>
  <si>
    <t>https://cd.lianjia.com/ershoufang/106128885065.html</t>
  </si>
  <si>
    <t>106129034680.0</t>
  </si>
  <si>
    <t>https://cd.lianjia.com/ershoufang/106129034680.html</t>
  </si>
  <si>
    <t>106129425290.0</t>
  </si>
  <si>
    <t>https://cd.lianjia.com/ershoufang/106129425290.html</t>
  </si>
  <si>
    <t>106123066794.0</t>
  </si>
  <si>
    <t>https://cd.lianjia.com/ershoufang/106123066794.html</t>
  </si>
  <si>
    <t>106127212765.0</t>
  </si>
  <si>
    <t>https://cd.lianjia.com/ershoufang/106127212765.html</t>
  </si>
  <si>
    <t>106129065196.0</t>
  </si>
  <si>
    <t>https://cd.lianjia.com/ershoufang/106129065196.html</t>
  </si>
  <si>
    <t>106129273372.0</t>
  </si>
  <si>
    <t>https://cd.lianjia.com/ershoufang/106129273372.html</t>
  </si>
  <si>
    <t>106127641376.0</t>
  </si>
  <si>
    <t>https://cd.lianjia.com/ershoufang/106127641376.html</t>
  </si>
  <si>
    <t>106129125830.0</t>
  </si>
  <si>
    <t>https://cd.lianjia.com/ershoufang/106129125830.html</t>
  </si>
  <si>
    <t>106126375770.0</t>
  </si>
  <si>
    <t>https://cd.lianjia.com/ershoufang/106126375770.html</t>
  </si>
  <si>
    <t>106123824770.0</t>
  </si>
  <si>
    <t>https://cd.lianjia.com/ershoufang/106123824770.html</t>
  </si>
  <si>
    <t>106125263485.0</t>
  </si>
  <si>
    <t>https://cd.lianjia.com/ershoufang/106125263485.html</t>
  </si>
  <si>
    <t>106125549651.0</t>
  </si>
  <si>
    <t>https://cd.lianjia.com/ershoufang/106125549651.html</t>
  </si>
  <si>
    <t>106126375780.0</t>
  </si>
  <si>
    <t>https://cd.lianjia.com/ershoufang/106126375780.html</t>
  </si>
  <si>
    <t>106126377836.0</t>
  </si>
  <si>
    <t>https://cd.lianjia.com/ershoufang/106126377836.html</t>
  </si>
  <si>
    <t>106127594259.0</t>
  </si>
  <si>
    <t>https://cd.lianjia.com/ershoufang/106127594259.html</t>
  </si>
  <si>
    <t>106128374891.0</t>
  </si>
  <si>
    <t>https://cd.lianjia.com/ershoufang/106128374891.html</t>
  </si>
  <si>
    <t>106128726875.0</t>
  </si>
  <si>
    <t>https://cd.lianjia.com/ershoufang/106128726875.html</t>
  </si>
  <si>
    <t>106128998772.0</t>
  </si>
  <si>
    <t>https://cd.lianjia.com/ershoufang/106128998772.html</t>
  </si>
  <si>
    <t>106124480572.0</t>
  </si>
  <si>
    <t>https://cd.lianjia.com/ershoufang/106124480572.html</t>
  </si>
  <si>
    <t>106128029138.0</t>
  </si>
  <si>
    <t>https://cd.lianjia.com/ershoufang/106128029138.html</t>
  </si>
  <si>
    <t>106113187625.0</t>
  </si>
  <si>
    <t>https://cd.lianjia.com/ershoufang/106113187625.html</t>
  </si>
  <si>
    <t>106126081551.0</t>
  </si>
  <si>
    <t>https://cd.lianjia.com/ershoufang/106126081551.html</t>
  </si>
  <si>
    <t>106126625899.0</t>
  </si>
  <si>
    <t>https://cd.lianjia.com/ershoufang/106126625899.html</t>
  </si>
  <si>
    <t>106129486603.0</t>
  </si>
  <si>
    <t>https://cd.lianjia.com/ershoufang/106129486603.html</t>
  </si>
  <si>
    <t>106128273326.0</t>
  </si>
  <si>
    <t>https://cd.lianjia.com/ershoufang/106128273326.html</t>
  </si>
  <si>
    <t>106124545000.0</t>
  </si>
  <si>
    <t>https://cd.lianjia.com/ershoufang/106124545000.html</t>
  </si>
  <si>
    <t>106121098161.0</t>
  </si>
  <si>
    <t>https://cd.lianjia.com/ershoufang/106121098161.html</t>
  </si>
  <si>
    <t>106122732758.0</t>
  </si>
  <si>
    <t>https://cd.lianjia.com/ershoufang/106122732758.html</t>
  </si>
  <si>
    <t>106129388371.0</t>
  </si>
  <si>
    <t>https://cd.lianjia.com/ershoufang/106129388371.html</t>
  </si>
  <si>
    <t>106122943547.0</t>
  </si>
  <si>
    <t>https://cd.lianjia.com/ershoufang/106122943547.html</t>
  </si>
  <si>
    <t>106111701599.0</t>
  </si>
  <si>
    <t>https://cd.lianjia.com/ershoufang/106111701599.html</t>
  </si>
  <si>
    <t>106123145444.0</t>
  </si>
  <si>
    <t>https://cd.lianjia.com/ershoufang/106123145444.html</t>
  </si>
  <si>
    <t>106123145529.0</t>
  </si>
  <si>
    <t>https://cd.lianjia.com/ershoufang/106123145529.html</t>
  </si>
  <si>
    <t>106123269403.0</t>
  </si>
  <si>
    <t>https://cd.lianjia.com/ershoufang/106123269403.html</t>
  </si>
  <si>
    <t>106128249759.0</t>
  </si>
  <si>
    <t>https://cd.lianjia.com/ershoufang/106128249759.html</t>
  </si>
  <si>
    <t>106128275255.0</t>
  </si>
  <si>
    <t>https://cd.lianjia.com/ershoufang/106128275255.html</t>
  </si>
  <si>
    <t>106121136184.0</t>
  </si>
  <si>
    <t>https://cd.lianjia.com/ershoufang/106121136184.html</t>
  </si>
  <si>
    <t>106128372113.0</t>
  </si>
  <si>
    <t>https://cd.lianjia.com/ershoufang/106128372113.html</t>
  </si>
  <si>
    <t>106128503476.0</t>
  </si>
  <si>
    <t>https://cd.lianjia.com/ershoufang/106128503476.html</t>
  </si>
  <si>
    <t>106129458952.0</t>
  </si>
  <si>
    <t>https://cd.lianjia.com/ershoufang/106129458952.html</t>
  </si>
  <si>
    <t>106116645635.0</t>
  </si>
  <si>
    <t>https://cd.lianjia.com/ershoufang/106116645635.html</t>
  </si>
  <si>
    <t>106126454551.0</t>
  </si>
  <si>
    <t>https://cd.lianjia.com/ershoufang/106126454551.html</t>
  </si>
  <si>
    <t>106127710193.0</t>
  </si>
  <si>
    <t>https://cd.lianjia.com/ershoufang/106127710193.html</t>
  </si>
  <si>
    <t>106127964042.0</t>
  </si>
  <si>
    <t>https://cd.lianjia.com/ershoufang/106127964042.html</t>
  </si>
  <si>
    <t>106128938413.0</t>
  </si>
  <si>
    <t>https://cd.lianjia.com/ershoufang/106128938413.html</t>
  </si>
  <si>
    <t>106126977680.0</t>
  </si>
  <si>
    <t>https://cd.lianjia.com/ershoufang/106126977680.html</t>
  </si>
  <si>
    <t>106128923604.0</t>
  </si>
  <si>
    <t>https://cd.lianjia.com/ershoufang/106128923604.html</t>
  </si>
  <si>
    <t>106128955088.0</t>
  </si>
  <si>
    <t>https://cd.lianjia.com/ershoufang/106128955088.html</t>
  </si>
  <si>
    <t>106128385572.0</t>
  </si>
  <si>
    <t>https://cd.lianjia.com/ershoufang/106128385572.html</t>
  </si>
  <si>
    <t>106125704650.0</t>
  </si>
  <si>
    <t>https://cd.lianjia.com/ershoufang/106125704650.html</t>
  </si>
  <si>
    <t>106123491638.0</t>
  </si>
  <si>
    <t>https://cd.lianjia.com/ershoufang/106123491638.html</t>
  </si>
  <si>
    <t>106128114021.0</t>
  </si>
  <si>
    <t>https://cd.lianjia.com/ershoufang/106128114021.html</t>
  </si>
  <si>
    <t>106116558642.0</t>
  </si>
  <si>
    <t>https://cd.lianjia.com/ershoufang/106116558642.html</t>
  </si>
  <si>
    <t>106116615438.0</t>
  </si>
  <si>
    <t>https://cd.lianjia.com/ershoufang/106116615438.html</t>
  </si>
  <si>
    <t>106117849946.0</t>
  </si>
  <si>
    <t>https://cd.lianjia.com/ershoufang/106117849946.html</t>
  </si>
  <si>
    <t>106117349024.0</t>
  </si>
  <si>
    <t>https://cd.lianjia.com/ershoufang/106117349024.html</t>
  </si>
  <si>
    <t>106119036703.0</t>
  </si>
  <si>
    <t>https://cd.lianjia.com/ershoufang/106119036703.html</t>
  </si>
  <si>
    <t>106125112308.0</t>
  </si>
  <si>
    <t>https://cd.lianjia.com/ershoufang/106125112308.html</t>
  </si>
  <si>
    <t>106126079339.0</t>
  </si>
  <si>
    <t>https://cd.lianjia.com/ershoufang/106126079339.html</t>
  </si>
  <si>
    <t>106129705244.0</t>
  </si>
  <si>
    <t>https://cd.lianjia.com/ershoufang/106129705244.html</t>
  </si>
  <si>
    <t>106109878387.0</t>
  </si>
  <si>
    <t>https://cd.lianjia.com/ershoufang/106109878387.html</t>
  </si>
  <si>
    <t>106122282219.0</t>
  </si>
  <si>
    <t>https://cd.lianjia.com/ershoufang/106122282219.html</t>
  </si>
  <si>
    <t>106124996212.0</t>
  </si>
  <si>
    <t>https://cd.lianjia.com/ershoufang/106124996212.html</t>
  </si>
  <si>
    <t>106127094887.0</t>
  </si>
  <si>
    <t>https://cd.lianjia.com/ershoufang/106127094887.html</t>
  </si>
  <si>
    <t>106127373286.0</t>
  </si>
  <si>
    <t>https://cd.lianjia.com/ershoufang/106127373286.html</t>
  </si>
  <si>
    <t>106128615824.0</t>
  </si>
  <si>
    <t>https://cd.lianjia.com/ershoufang/106128615824.html</t>
  </si>
  <si>
    <t>106129202495.0</t>
  </si>
  <si>
    <t>https://cd.lianjia.com/ershoufang/106129202495.html</t>
  </si>
  <si>
    <t>106127954854.0</t>
  </si>
  <si>
    <t>https://cd.lianjia.com/ershoufang/106127954854.html</t>
  </si>
  <si>
    <t>106129128976.0</t>
  </si>
  <si>
    <t>https://cd.lianjia.com/ershoufang/106129128976.html</t>
  </si>
  <si>
    <t>106129400221.0</t>
  </si>
  <si>
    <t>https://cd.lianjia.com/ershoufang/106129400221.html</t>
  </si>
  <si>
    <t>106120738453.0</t>
  </si>
  <si>
    <t>https://cd.lianjia.com/ershoufang/106120738453.html</t>
  </si>
  <si>
    <t>106124759461.0</t>
  </si>
  <si>
    <t>https://cd.lianjia.com/ershoufang/106124759461.html</t>
  </si>
  <si>
    <t>106125110249.0</t>
  </si>
  <si>
    <t>https://cd.lianjia.com/ershoufang/106125110249.html</t>
  </si>
  <si>
    <t>106125284192.0</t>
  </si>
  <si>
    <t>https://cd.lianjia.com/ershoufang/106125284192.html</t>
  </si>
  <si>
    <t>106125429321.0</t>
  </si>
  <si>
    <t>https://cd.lianjia.com/ershoufang/106125429321.html</t>
  </si>
  <si>
    <t>106125482837.0</t>
  </si>
  <si>
    <t>https://cd.lianjia.com/ershoufang/106125482837.html</t>
  </si>
  <si>
    <t>106125926493.0</t>
  </si>
  <si>
    <t>https://cd.lianjia.com/ershoufang/106125926493.html</t>
  </si>
  <si>
    <t>106126469607.0</t>
  </si>
  <si>
    <t>https://cd.lianjia.com/ershoufang/106126469607.html</t>
  </si>
  <si>
    <t>106126627815.0</t>
  </si>
  <si>
    <t>https://cd.lianjia.com/ershoufang/106126627815.html</t>
  </si>
  <si>
    <t>106127279224.0</t>
  </si>
  <si>
    <t>https://cd.lianjia.com/ershoufang/106127279224.html</t>
  </si>
  <si>
    <t>106127643163.0</t>
  </si>
  <si>
    <t>https://cd.lianjia.com/ershoufang/106127643163.html</t>
  </si>
  <si>
    <t>106127663753.0</t>
  </si>
  <si>
    <t>https://cd.lianjia.com/ershoufang/106127663753.html</t>
  </si>
  <si>
    <t>106127690596.0</t>
  </si>
  <si>
    <t>https://cd.lianjia.com/ershoufang/106127690596.html</t>
  </si>
  <si>
    <t>106127807726.0</t>
  </si>
  <si>
    <t>https://cd.lianjia.com/ershoufang/106127807726.html</t>
  </si>
  <si>
    <t>106127853791.0</t>
  </si>
  <si>
    <t>https://cd.lianjia.com/ershoufang/106127853791.html</t>
  </si>
  <si>
    <t>106127952491.0</t>
  </si>
  <si>
    <t>https://cd.lianjia.com/ershoufang/106127952491.html</t>
  </si>
  <si>
    <t>106128277594.0</t>
  </si>
  <si>
    <t>https://cd.lianjia.com/ershoufang/106128277594.html</t>
  </si>
  <si>
    <t>106128429485.0</t>
  </si>
  <si>
    <t>https://cd.lianjia.com/ershoufang/106128429485.html</t>
  </si>
  <si>
    <t>106128923784.0</t>
  </si>
  <si>
    <t>https://cd.lianjia.com/ershoufang/106128923784.html</t>
  </si>
  <si>
    <t>106129200125.0</t>
  </si>
  <si>
    <t>https://cd.lianjia.com/ershoufang/106129200125.html</t>
  </si>
  <si>
    <t>106129433631.0</t>
  </si>
  <si>
    <t>https://cd.lianjia.com/ershoufang/106129433631.html</t>
  </si>
  <si>
    <t>106129436764.0</t>
  </si>
  <si>
    <t>https://cd.lianjia.com/ershoufang/106129436764.html</t>
  </si>
  <si>
    <t>106129453510.0</t>
  </si>
  <si>
    <t>https://cd.lianjia.com/ershoufang/106129453510.html</t>
  </si>
  <si>
    <t>106129709598.0</t>
  </si>
  <si>
    <t>https://cd.lianjia.com/ershoufang/106129709598.html</t>
  </si>
  <si>
    <t>106129718826.0</t>
  </si>
  <si>
    <t>https://cd.lianjia.com/ershoufang/106129718826.html</t>
  </si>
  <si>
    <t>106124740001.0</t>
  </si>
  <si>
    <t>https://cd.lianjia.com/ershoufang/106124740001.html</t>
  </si>
  <si>
    <t>106125959109.0</t>
  </si>
  <si>
    <t>https://cd.lianjia.com/ershoufang/106125959109.html</t>
  </si>
  <si>
    <t>106129202667.0</t>
  </si>
  <si>
    <t>https://cd.lianjia.com/ershoufang/106129202667.html</t>
  </si>
  <si>
    <t>106119386983.0</t>
  </si>
  <si>
    <t>https://cd.lianjia.com/ershoufang/106119386983.html</t>
  </si>
  <si>
    <t>106121418722.0</t>
  </si>
  <si>
    <t>https://cd.lianjia.com/ershoufang/106121418722.html</t>
  </si>
  <si>
    <t>106121511719.0</t>
  </si>
  <si>
    <t>https://cd.lianjia.com/ershoufang/106121511719.html</t>
  </si>
  <si>
    <t>106122279734.0</t>
  </si>
  <si>
    <t>https://cd.lianjia.com/ershoufang/106122279734.html</t>
  </si>
  <si>
    <t>106124967631.0</t>
  </si>
  <si>
    <t>https://cd.lianjia.com/ershoufang/106124967631.html</t>
  </si>
  <si>
    <t>106125677866.0</t>
  </si>
  <si>
    <t>https://cd.lianjia.com/ershoufang/106125677866.html</t>
  </si>
  <si>
    <t>106125706788.0</t>
  </si>
  <si>
    <t>https://cd.lianjia.com/ershoufang/106125706788.html</t>
  </si>
  <si>
    <t>106125998563.0</t>
  </si>
  <si>
    <t>https://cd.lianjia.com/ershoufang/106125998563.html</t>
  </si>
  <si>
    <t>106126199258.0</t>
  </si>
  <si>
    <t>https://cd.lianjia.com/ershoufang/106126199258.html</t>
  </si>
  <si>
    <t>106126666122.0</t>
  </si>
  <si>
    <t>https://cd.lianjia.com/ershoufang/106126666122.html</t>
  </si>
  <si>
    <t>106126867671.0</t>
  </si>
  <si>
    <t>https://cd.lianjia.com/ershoufang/106126867671.html</t>
  </si>
  <si>
    <t>106126966367.0</t>
  </si>
  <si>
    <t>https://cd.lianjia.com/ershoufang/106126966367.html</t>
  </si>
  <si>
    <t>106127807615.0</t>
  </si>
  <si>
    <t>https://cd.lianjia.com/ershoufang/106127807615.html</t>
  </si>
  <si>
    <t>106127934425.0</t>
  </si>
  <si>
    <t>https://cd.lianjia.com/ershoufang/106127934425.html</t>
  </si>
  <si>
    <t>106128012171.0</t>
  </si>
  <si>
    <t>https://cd.lianjia.com/ershoufang/106128012171.html</t>
  </si>
  <si>
    <t>106128333276.0</t>
  </si>
  <si>
    <t>https://cd.lianjia.com/ershoufang/106128333276.html</t>
  </si>
  <si>
    <t>106128355835.0</t>
  </si>
  <si>
    <t>https://cd.lianjia.com/ershoufang/106128355835.html</t>
  </si>
  <si>
    <t>106129160311.0</t>
  </si>
  <si>
    <t>https://cd.lianjia.com/ershoufang/106129160311.html</t>
  </si>
  <si>
    <t>106129246073.0</t>
  </si>
  <si>
    <t>https://cd.lianjia.com/ershoufang/106129246073.html</t>
  </si>
  <si>
    <t>106111383371.0</t>
  </si>
  <si>
    <t>https://cd.lianjia.com/ershoufang/106111383371.html</t>
  </si>
  <si>
    <t>106127465157.0</t>
  </si>
  <si>
    <t>https://cd.lianjia.com/ershoufang/106127465157.html</t>
  </si>
  <si>
    <t>106128787724.0</t>
  </si>
  <si>
    <t>https://cd.lianjia.com/ershoufang/106128787724.html</t>
  </si>
  <si>
    <t>106128899481.0</t>
  </si>
  <si>
    <t>https://cd.lianjia.com/ershoufang/106128899481.html</t>
  </si>
  <si>
    <t>106129587776.0</t>
  </si>
  <si>
    <t>https://cd.lianjia.com/ershoufang/106129587776.html</t>
  </si>
  <si>
    <t>106128787560.0</t>
  </si>
  <si>
    <t>https://cd.lianjia.com/ershoufang/106128787560.html</t>
  </si>
  <si>
    <t>106128967010.0</t>
  </si>
  <si>
    <t>https://cd.lianjia.com/ershoufang/106128967010.html</t>
  </si>
  <si>
    <t>106111254267.0</t>
  </si>
  <si>
    <t>https://cd.lianjia.com/ershoufang/106111254267.html</t>
  </si>
  <si>
    <t>106121880703.0</t>
  </si>
  <si>
    <t>https://cd.lianjia.com/ershoufang/106121880703.html</t>
  </si>
  <si>
    <t>106124602016.0</t>
  </si>
  <si>
    <t>https://cd.lianjia.com/ershoufang/106124602016.html</t>
  </si>
  <si>
    <t>106125180560.0</t>
  </si>
  <si>
    <t>https://cd.lianjia.com/ershoufang/106125180560.html</t>
  </si>
  <si>
    <t>106126873919.0</t>
  </si>
  <si>
    <t>https://cd.lianjia.com/ershoufang/106126873919.html</t>
  </si>
  <si>
    <t>106128319301.0</t>
  </si>
  <si>
    <t>https://cd.lianjia.com/ershoufang/106128319301.html</t>
  </si>
  <si>
    <t>106129689168.0</t>
  </si>
  <si>
    <t>https://cd.lianjia.com/ershoufang/106129689168.html</t>
  </si>
  <si>
    <t>106129784720.0</t>
  </si>
  <si>
    <t>https://cd.lianjia.com/ershoufang/106129784720.html</t>
  </si>
  <si>
    <t>106129100422.0</t>
  </si>
  <si>
    <t>https://cd.lianjia.com/ershoufang/106129100422.html</t>
  </si>
  <si>
    <t>106124775048.0</t>
  </si>
  <si>
    <t>https://cd.lianjia.com/ershoufang/106124775048.html</t>
  </si>
  <si>
    <t>106106910632.0</t>
  </si>
  <si>
    <t>https://cd.lianjia.com/ershoufang/106106910632.html</t>
  </si>
  <si>
    <t>106120449431.0</t>
  </si>
  <si>
    <t>https://cd.lianjia.com/ershoufang/106120449431.html</t>
  </si>
  <si>
    <t>106125397669.0</t>
  </si>
  <si>
    <t>https://cd.lianjia.com/ershoufang/106125397669.html</t>
  </si>
  <si>
    <t>106128312554.0</t>
  </si>
  <si>
    <t>https://cd.lianjia.com/ershoufang/106128312554.html</t>
  </si>
  <si>
    <t>106128819602.0</t>
  </si>
  <si>
    <t>https://cd.lianjia.com/ershoufang/106128819602.html</t>
  </si>
  <si>
    <t>106128441333.0</t>
  </si>
  <si>
    <t>https://cd.lianjia.com/ershoufang/106128441333.html</t>
  </si>
  <si>
    <t>106122446606.0</t>
  </si>
  <si>
    <t>https://cd.lianjia.com/ershoufang/106122446606.html</t>
  </si>
  <si>
    <t>106124062519.0</t>
  </si>
  <si>
    <t>https://cd.lianjia.com/ershoufang/106124062519.html</t>
  </si>
  <si>
    <t>106126110669.0</t>
  </si>
  <si>
    <t>https://cd.lianjia.com/ershoufang/106126110669.html</t>
  </si>
  <si>
    <t>106126219494.0</t>
  </si>
  <si>
    <t>https://cd.lianjia.com/ershoufang/106126219494.html</t>
  </si>
  <si>
    <t>106126679280.0</t>
  </si>
  <si>
    <t>https://cd.lianjia.com/ershoufang/106126679280.html</t>
  </si>
  <si>
    <t>106127134819.0</t>
  </si>
  <si>
    <t>https://cd.lianjia.com/ershoufang/106127134819.html</t>
  </si>
  <si>
    <t>106127273299.0</t>
  </si>
  <si>
    <t>https://cd.lianjia.com/ershoufang/106127273299.html</t>
  </si>
  <si>
    <t>106128317610.0</t>
  </si>
  <si>
    <t>https://cd.lianjia.com/ershoufang/106128317610.html</t>
  </si>
  <si>
    <t>106128342924.0</t>
  </si>
  <si>
    <t>https://cd.lianjia.com/ershoufang/106128342924.html</t>
  </si>
  <si>
    <t>106127481270.0</t>
  </si>
  <si>
    <t>https://cd.lianjia.com/ershoufang/106127481270.html</t>
  </si>
  <si>
    <t>106129010054.0</t>
  </si>
  <si>
    <t>https://cd.lianjia.com/ershoufang/106129010054.html</t>
  </si>
  <si>
    <t>106109722411.0</t>
  </si>
  <si>
    <t>https://cd.lianjia.com/ershoufang/106109722411.html</t>
  </si>
  <si>
    <t>106124188269.0</t>
  </si>
  <si>
    <t>https://cd.lianjia.com/ershoufang/106124188269.html</t>
  </si>
  <si>
    <t>106129403170.0</t>
  </si>
  <si>
    <t>https://cd.lianjia.com/ershoufang/106129403170.html</t>
  </si>
  <si>
    <t>106128352107.0</t>
  </si>
  <si>
    <t>https://cd.lianjia.com/ershoufang/106128352107.html</t>
  </si>
  <si>
    <t>106114607011.0</t>
  </si>
  <si>
    <t>https://cd.lianjia.com/ershoufang/106114607011.html</t>
  </si>
  <si>
    <t>106129793271.0</t>
  </si>
  <si>
    <t>https://cd.lianjia.com/ershoufang/106129793271.html</t>
  </si>
  <si>
    <t>106120833590.0</t>
  </si>
  <si>
    <t>https://cd.lianjia.com/ershoufang/106120833590.html</t>
  </si>
  <si>
    <t>106120833716.0</t>
  </si>
  <si>
    <t>https://cd.lianjia.com/ershoufang/106120833716.html</t>
  </si>
  <si>
    <t>106129625623.0</t>
  </si>
  <si>
    <t>https://cd.lianjia.com/ershoufang/106129625623.html</t>
  </si>
  <si>
    <t>106121158026.0</t>
  </si>
  <si>
    <t>https://cd.lianjia.com/ershoufang/106121158026.html</t>
  </si>
  <si>
    <t>106121158125.0</t>
  </si>
  <si>
    <t>https://cd.lianjia.com/ershoufang/106121158125.html</t>
  </si>
  <si>
    <t>106129558615.0</t>
  </si>
  <si>
    <t>https://cd.lianjia.com/ershoufang/106129558615.html</t>
  </si>
  <si>
    <t>106121230576.0</t>
  </si>
  <si>
    <t>https://cd.lianjia.com/ershoufang/106121230576.html</t>
  </si>
  <si>
    <t>106123338431.0</t>
  </si>
  <si>
    <t>https://cd.lianjia.com/ershoufang/106123338431.html</t>
  </si>
  <si>
    <t>106123915729.0</t>
  </si>
  <si>
    <t>https://cd.lianjia.com/ershoufang/106123915729.html</t>
  </si>
  <si>
    <t>106125065069.0</t>
  </si>
  <si>
    <t>https://cd.lianjia.com/ershoufang/106125065069.html</t>
  </si>
  <si>
    <t>106128489414.0</t>
  </si>
  <si>
    <t>https://cd.lianjia.com/ershoufang/106128489414.html</t>
  </si>
  <si>
    <t>106129789275.0</t>
  </si>
  <si>
    <t>https://cd.lianjia.com/ershoufang/106129789275.html</t>
  </si>
  <si>
    <t>106121148342.0</t>
  </si>
  <si>
    <t>https://cd.lianjia.com/ershoufang/106121148342.html</t>
  </si>
  <si>
    <t>106121614908.0</t>
  </si>
  <si>
    <t>https://cd.lianjia.com/ershoufang/106121614908.html</t>
  </si>
  <si>
    <t>106123100007.0</t>
  </si>
  <si>
    <t>https://cd.lianjia.com/ershoufang/106123100007.html</t>
  </si>
  <si>
    <t>106125622087.0</t>
  </si>
  <si>
    <t>https://cd.lianjia.com/ershoufang/106125622087.html</t>
  </si>
  <si>
    <t>106128822711.0</t>
  </si>
  <si>
    <t>https://cd.lianjia.com/ershoufang/106128822711.html</t>
  </si>
  <si>
    <t>106129744770.0</t>
  </si>
  <si>
    <t>https://cd.lianjia.com/ershoufang/106129744770.html</t>
  </si>
  <si>
    <t>106116495196.0</t>
  </si>
  <si>
    <t>https://cd.lianjia.com/ershoufang/106116495196.html</t>
  </si>
  <si>
    <t>106123255553.0</t>
  </si>
  <si>
    <t>https://cd.lianjia.com/ershoufang/106123255553.html</t>
  </si>
  <si>
    <t>106125681932.0</t>
  </si>
  <si>
    <t>https://cd.lianjia.com/ershoufang/106125681932.html</t>
  </si>
  <si>
    <t>106126396542.0</t>
  </si>
  <si>
    <t>https://cd.lianjia.com/ershoufang/106126396542.html</t>
  </si>
  <si>
    <t>106129723530.0</t>
  </si>
  <si>
    <t>https://cd.lianjia.com/ershoufang/106129723530.html</t>
  </si>
  <si>
    <t>106109122773.0</t>
  </si>
  <si>
    <t>https://cd.lianjia.com/ershoufang/106109122773.html</t>
  </si>
  <si>
    <t>106112505308.0</t>
  </si>
  <si>
    <t>https://cd.lianjia.com/ershoufang/106112505308.html</t>
  </si>
  <si>
    <t>106124916361.0</t>
  </si>
  <si>
    <t>https://cd.lianjia.com/ershoufang/106124916361.html</t>
  </si>
  <si>
    <t>106127842406.0</t>
  </si>
  <si>
    <t>https://cd.lianjia.com/ershoufang/106127842406.html</t>
  </si>
  <si>
    <t>106126846266.0</t>
  </si>
  <si>
    <t>https://cd.lianjia.com/ershoufang/106126846266.html</t>
  </si>
  <si>
    <t>106127922625.0</t>
  </si>
  <si>
    <t>https://cd.lianjia.com/ershoufang/106127922625.html</t>
  </si>
  <si>
    <t>106128126526.0</t>
  </si>
  <si>
    <t>https://cd.lianjia.com/ershoufang/106128126526.html</t>
  </si>
  <si>
    <t>106114338450.0</t>
  </si>
  <si>
    <t>https://cd.lianjia.com/ershoufang/106114338450.html</t>
  </si>
  <si>
    <t>106116902610.0</t>
  </si>
  <si>
    <t>https://cd.lianjia.com/ershoufang/106116902610.html</t>
  </si>
  <si>
    <t>106118321116.0</t>
  </si>
  <si>
    <t>https://cd.lianjia.com/ershoufang/106118321116.html</t>
  </si>
  <si>
    <t>106126618247.0</t>
  </si>
  <si>
    <t>https://cd.lianjia.com/ershoufang/106126618247.html</t>
  </si>
  <si>
    <t>106128603883.0</t>
  </si>
  <si>
    <t>https://cd.lianjia.com/ershoufang/106128603883.html</t>
  </si>
  <si>
    <t>106129285269.0</t>
  </si>
  <si>
    <t>https://cd.lianjia.com/ershoufang/106129285269.html</t>
  </si>
  <si>
    <t>106129728818.0</t>
  </si>
  <si>
    <t>https://cd.lianjia.com/ershoufang/106129728818.html</t>
  </si>
  <si>
    <t>106129740963.0</t>
  </si>
  <si>
    <t>https://cd.lianjia.com/ershoufang/106129740963.html</t>
  </si>
  <si>
    <t>106127414035.0</t>
  </si>
  <si>
    <t>https://cd.lianjia.com/ershoufang/106127414035.html</t>
  </si>
  <si>
    <t>106117077712.0</t>
  </si>
  <si>
    <t>https://cd.lianjia.com/ershoufang/106117077712.html</t>
  </si>
  <si>
    <t>106128276761.0</t>
  </si>
  <si>
    <t>https://cd.lianjia.com/ershoufang/106128276761.html</t>
  </si>
  <si>
    <t>106129294995.0</t>
  </si>
  <si>
    <t>https://cd.lianjia.com/ershoufang/106129294995.html</t>
  </si>
  <si>
    <t>106129767489.0</t>
  </si>
  <si>
    <t>https://cd.lianjia.com/ershoufang/106129767489.html</t>
  </si>
  <si>
    <t>106128588935.0</t>
  </si>
  <si>
    <t>https://cd.lianjia.com/ershoufang/106128588935.html</t>
  </si>
  <si>
    <t>106116316544.0</t>
  </si>
  <si>
    <t>https://cd.lianjia.com/ershoufang/106116316544.html</t>
  </si>
  <si>
    <t>106127549121.0</t>
  </si>
  <si>
    <t>https://cd.lianjia.com/ershoufang/106127549121.html</t>
  </si>
  <si>
    <t>106128896608.0</t>
  </si>
  <si>
    <t>https://cd.lianjia.com/ershoufang/106128896608.html</t>
  </si>
  <si>
    <t>106123233434.0</t>
  </si>
  <si>
    <t>https://cd.lianjia.com/ershoufang/106123233434.html</t>
  </si>
  <si>
    <t>106128377799.0</t>
  </si>
  <si>
    <t>https://cd.lianjia.com/ershoufang/106128377799.html</t>
  </si>
  <si>
    <t>106126640575.0</t>
  </si>
  <si>
    <t>https://cd.lianjia.com/ershoufang/106126640575.html</t>
  </si>
  <si>
    <t>106126871807.0</t>
  </si>
  <si>
    <t>https://cd.lianjia.com/ershoufang/106126871807.html</t>
  </si>
  <si>
    <t>106129562975.0</t>
  </si>
  <si>
    <t>https://cd.lianjia.com/ershoufang/106129562975.html</t>
  </si>
  <si>
    <t>106129423483.0</t>
  </si>
  <si>
    <t>https://cd.lianjia.com/ershoufang/106129423483.html</t>
  </si>
  <si>
    <t>106125144367.0</t>
  </si>
  <si>
    <t>https://cd.lianjia.com/ershoufang/106125144367.html</t>
  </si>
  <si>
    <t>106128224650.0</t>
  </si>
  <si>
    <t>https://cd.lianjia.com/ershoufang/106128224650.html</t>
  </si>
  <si>
    <t>106127508493.0</t>
  </si>
  <si>
    <t>https://cd.lianjia.com/ershoufang/106127508493.html</t>
  </si>
  <si>
    <t>2587个出售-出租配对</t>
  </si>
  <si>
    <t>逐对扣买入成本及卖出摊销；各出售房源的多个配对仅用于求其自身中位数</t>
  </si>
  <si>
    <t>出售编号</t>
  </si>
  <si>
    <t>出租编号</t>
  </si>
  <si>
    <t>出售面积㎡</t>
  </si>
  <si>
    <t>出租面积㎡</t>
  </si>
  <si>
    <t>租金元/月</t>
  </si>
  <si>
    <t>卖出月摊销元</t>
  </si>
  <si>
    <t>CD2190079646437998592</t>
  </si>
  <si>
    <t>CD2202410575210741760</t>
  </si>
  <si>
    <t>CD2195559948966952960</t>
  </si>
  <si>
    <t>CD2201683724582518784</t>
  </si>
  <si>
    <t>CD2214344428011651072</t>
  </si>
  <si>
    <t>CD2218601000455897088</t>
  </si>
  <si>
    <t>CD2197054279691272192</t>
  </si>
  <si>
    <t>CD2172951915791384576</t>
  </si>
  <si>
    <t>CD2222647804105326592</t>
  </si>
  <si>
    <t>CD2215465666922676224</t>
  </si>
  <si>
    <t>CD2224538911437225984</t>
  </si>
  <si>
    <t>CD2219878382848442368</t>
  </si>
  <si>
    <t>CD1971794442461380608</t>
  </si>
  <si>
    <t>CD1632975475762528256</t>
  </si>
  <si>
    <t>CD2195469075243597824</t>
  </si>
  <si>
    <t>CD2215361998869233664</t>
  </si>
  <si>
    <t>CD2219659934600003584</t>
  </si>
  <si>
    <t>CD2208598459685011456</t>
  </si>
  <si>
    <t>CD1975548854610690048</t>
  </si>
  <si>
    <t>CD2217128417185234944</t>
  </si>
  <si>
    <t>CD2221572315181744128</t>
  </si>
  <si>
    <t>CD1921182756482580480</t>
  </si>
  <si>
    <t>CD1806976907040784384</t>
  </si>
  <si>
    <t>CD2075574502078545920</t>
  </si>
  <si>
    <t>CD2221108130605957120</t>
  </si>
  <si>
    <t>CD1660506085867388928</t>
  </si>
  <si>
    <t>CD2025569655929700352</t>
  </si>
  <si>
    <t>CD2197616698700333056</t>
  </si>
  <si>
    <t>CD2206632496697704448</t>
  </si>
  <si>
    <t>CD2075059528285552640</t>
  </si>
  <si>
    <t>CD2190066226397446144</t>
  </si>
  <si>
    <t>CD2201599358783193088</t>
  </si>
  <si>
    <t>CD2213200698680541184</t>
  </si>
  <si>
    <t>CD2215472659389480960</t>
  </si>
  <si>
    <t>CD2160785535533056000</t>
  </si>
  <si>
    <t>CD2198697600301924352</t>
  </si>
  <si>
    <t>CD2049357428645953536</t>
  </si>
  <si>
    <t>CD2190689535984140288</t>
  </si>
  <si>
    <t>CD2219709944905596928</t>
  </si>
  <si>
    <t>CD2069285611818188800</t>
  </si>
  <si>
    <t>CD2185045240396644352</t>
  </si>
  <si>
    <t>CD2213284470088269824</t>
  </si>
  <si>
    <t>CD2188558396293120000</t>
  </si>
  <si>
    <t>CD2214311948613320704</t>
  </si>
  <si>
    <t>CD2187900559552413696</t>
  </si>
  <si>
    <t>CD2210647273606479872</t>
  </si>
  <si>
    <t>CD2223372734576984064</t>
  </si>
  <si>
    <t>CD2215684086599516160</t>
  </si>
  <si>
    <t>CD1684902477679296512</t>
  </si>
  <si>
    <t>CD2015266268315123712</t>
  </si>
  <si>
    <t>CD2225569334078472192</t>
  </si>
  <si>
    <t>CD2035567469346684928</t>
  </si>
  <si>
    <t>CD1942490135920640000</t>
  </si>
  <si>
    <t>CD2222270326123790336</t>
  </si>
  <si>
    <t>CD2208240005355143168</t>
  </si>
  <si>
    <t>CD2217317020603514880</t>
  </si>
  <si>
    <t>CD2223455930597507072</t>
  </si>
  <si>
    <t>CD2223281900485607424</t>
  </si>
  <si>
    <t>CD2222035115435884544</t>
  </si>
  <si>
    <t>CD2220730997631090688</t>
  </si>
  <si>
    <t>CD2219328057246744576</t>
  </si>
  <si>
    <t>CD2209215543414620160</t>
  </si>
  <si>
    <t>CD2222614444066734080</t>
  </si>
  <si>
    <t>CD2208813169432854528</t>
  </si>
  <si>
    <t>CD2188532220308750336</t>
  </si>
  <si>
    <t>CD1862053373885284352</t>
  </si>
  <si>
    <t>CD1665212017503371264</t>
  </si>
  <si>
    <t>CD2155173272180752384</t>
  </si>
  <si>
    <t>CD2149137573123981312</t>
  </si>
  <si>
    <t>CD2215338416818618368</t>
  </si>
  <si>
    <t>CD2222664725429223424</t>
  </si>
  <si>
    <t>CD2219448400028368896</t>
  </si>
  <si>
    <t>CD2220219635687489536</t>
  </si>
  <si>
    <t>CD2195211417873809408</t>
  </si>
  <si>
    <t>CD2216181305656213504</t>
  </si>
  <si>
    <t>CD2224486969482674176</t>
  </si>
  <si>
    <t>CD1890270254551007232</t>
  </si>
  <si>
    <t>CD2197728105458565120</t>
  </si>
  <si>
    <t>CD2196250929018175488</t>
  </si>
  <si>
    <t>CD2223096057791774720</t>
  </si>
  <si>
    <t>CD2187846709550252032</t>
  </si>
  <si>
    <t>CD1683308106408263680</t>
  </si>
  <si>
    <t>CD2222679974362480640</t>
  </si>
  <si>
    <t>CD2222218854153584640</t>
  </si>
  <si>
    <t>CD2194331413908553728</t>
  </si>
  <si>
    <t>CD2065431309865451520</t>
  </si>
  <si>
    <t>CD1709199461672026112</t>
  </si>
  <si>
    <t>CD2212094035865108480</t>
  </si>
  <si>
    <t>CD2126636979083804672</t>
  </si>
  <si>
    <t>CD2197569958467076096</t>
  </si>
  <si>
    <t>CD2174447598130167808</t>
  </si>
  <si>
    <t>CD2225599277042761728</t>
  </si>
  <si>
    <t>CD2087108668293120000</t>
  </si>
  <si>
    <t>CD2143788999620165632</t>
  </si>
  <si>
    <t>CD1962509619431473152</t>
  </si>
  <si>
    <t>CD1838178154758275072</t>
  </si>
  <si>
    <t>CD2216061727722700800</t>
  </si>
  <si>
    <t>CD2187216966412926976</t>
  </si>
  <si>
    <t>CD2193723844793991168</t>
  </si>
  <si>
    <t>CD2200115720367374336</t>
  </si>
  <si>
    <t>CD1902711834591363072</t>
  </si>
  <si>
    <t>CD1924455500422840320</t>
  </si>
  <si>
    <t>CD2225838325057454080</t>
  </si>
  <si>
    <t>CD2212521700745019392</t>
  </si>
  <si>
    <t>CD2190693080674336768</t>
  </si>
  <si>
    <t>CD2201209184307904512</t>
  </si>
  <si>
    <t>CD1927211187536134144</t>
  </si>
  <si>
    <t>CD2214340772273061888</t>
  </si>
  <si>
    <t>CD2223285564004630528</t>
  </si>
  <si>
    <t>CD2212425859241869312</t>
  </si>
  <si>
    <t>CD2201588653166166016</t>
  </si>
  <si>
    <t>CD2218644014079410176</t>
  </si>
  <si>
    <t>CD2209944360114454528</t>
  </si>
  <si>
    <t>CD2199967474152112128</t>
  </si>
  <si>
    <t>CD2209836940889423872</t>
  </si>
  <si>
    <t>CD2217908214207348736</t>
  </si>
  <si>
    <t>CD2140891867242299392</t>
  </si>
  <si>
    <t>CD2217895866377699328</t>
  </si>
  <si>
    <t>CD2199056841516777472</t>
  </si>
  <si>
    <t>CD2225519599116353536</t>
  </si>
  <si>
    <t>CD1973240845805027328</t>
  </si>
  <si>
    <t>CD2208242334829641728</t>
  </si>
  <si>
    <t>CD2212047995346616320</t>
  </si>
  <si>
    <t>CD2115330150563315712</t>
  </si>
  <si>
    <t>CD2218931382485254144</t>
  </si>
  <si>
    <t>CD2185356606164697088</t>
  </si>
  <si>
    <t>CD2224491792286351360</t>
  </si>
  <si>
    <t>CD2219494670025621504</t>
  </si>
  <si>
    <t>CD2200981681773477888</t>
  </si>
  <si>
    <t>CD2192564551696777216</t>
  </si>
  <si>
    <t>CD2212165277066461184</t>
  </si>
  <si>
    <t>CD2208861927352827904</t>
  </si>
  <si>
    <t>CD2224553300211007488</t>
  </si>
  <si>
    <t>CD2207716029675601920</t>
  </si>
  <si>
    <t>CD1933382509542768640</t>
  </si>
  <si>
    <t>CD1962867143108198400</t>
  </si>
  <si>
    <t>CD2210296768048922624</t>
  </si>
  <si>
    <t>CD2222204178652987392</t>
  </si>
  <si>
    <t>CD2064379040587841536</t>
  </si>
  <si>
    <t>CD2206108373240250368</t>
  </si>
  <si>
    <t>CD1802635318944333824</t>
  </si>
  <si>
    <t>CD2207020901721964544</t>
  </si>
  <si>
    <t>CD1959646977272578048</t>
  </si>
  <si>
    <t>CD2205987689872752640</t>
  </si>
  <si>
    <t>CD2163646846105288704</t>
  </si>
  <si>
    <t>CD1822636413112287232</t>
  </si>
  <si>
    <t>CD2199894965125906432</t>
  </si>
  <si>
    <t>CD2078336080062447616</t>
  </si>
  <si>
    <t>CD2183833280804028416</t>
  </si>
  <si>
    <t>CD2177648063869353984</t>
  </si>
  <si>
    <t>CD2177750686207311872</t>
  </si>
  <si>
    <t>CD2216823312028270592</t>
  </si>
  <si>
    <t>CD2212130007843602432</t>
  </si>
  <si>
    <t>CD2219042166880075776</t>
  </si>
  <si>
    <t>CD2179514576591126528</t>
  </si>
  <si>
    <t>CD2201376449041006592</t>
  </si>
  <si>
    <t>CD2220923364204085248</t>
  </si>
  <si>
    <t>CD2220213431238131712</t>
  </si>
  <si>
    <t>CD2220468764472770560</t>
  </si>
  <si>
    <t>CD2203468388280303616</t>
  </si>
  <si>
    <t>CD2207093545834119168</t>
  </si>
  <si>
    <t>CD2195020917099200512</t>
  </si>
  <si>
    <t>CD2209871427887169536</t>
  </si>
  <si>
    <t>CD2211753976955666432</t>
  </si>
  <si>
    <t>CD2218695001225822208</t>
  </si>
  <si>
    <t>CD2218272448359432192</t>
  </si>
  <si>
    <t>CD2215733073507516416</t>
  </si>
  <si>
    <t>CD2198692109957988352</t>
  </si>
  <si>
    <t>CD2176953467011072000</t>
  </si>
  <si>
    <t>CD2143772746499227648</t>
  </si>
  <si>
    <t>CD2181961631603359744</t>
  </si>
  <si>
    <t>CD2164753656006574080</t>
  </si>
  <si>
    <t>CD2184249136486809600</t>
  </si>
  <si>
    <t>CD2220767811553198080</t>
  </si>
  <si>
    <t>CD1647196782028914688</t>
  </si>
  <si>
    <t>CD2210293135232204800</t>
  </si>
  <si>
    <t>CD1722512984439259136</t>
  </si>
  <si>
    <t>CD1884971517998006272</t>
  </si>
  <si>
    <t>CD2222906442698981376</t>
  </si>
  <si>
    <t>CD2210372619880890368</t>
  </si>
  <si>
    <t>CD2216499599424618496</t>
  </si>
  <si>
    <t>CD2224026075778777088</t>
  </si>
  <si>
    <t>CD2215093366096396288</t>
  </si>
  <si>
    <t>CD2376773314535497728</t>
  </si>
  <si>
    <t>CD2201621505945632768</t>
  </si>
  <si>
    <t>CD2215771446293037056</t>
  </si>
  <si>
    <t>CD2199201769794306048</t>
  </si>
  <si>
    <t>CD2219107481605373952</t>
  </si>
  <si>
    <t>CD2210932545955037184</t>
  </si>
  <si>
    <t>CD2209228253707632640</t>
  </si>
  <si>
    <t>CD1725181115905343488</t>
  </si>
  <si>
    <t>CD2224878331600306176</t>
  </si>
  <si>
    <t>CD2212529124977672192</t>
  </si>
  <si>
    <t>CD2119018690199420928</t>
  </si>
  <si>
    <t>CD1813953920972619776</t>
  </si>
  <si>
    <t>CD2215059803586166784</t>
  </si>
  <si>
    <t>CD2207505934895284224</t>
  </si>
  <si>
    <t>CD1874714479552364544</t>
  </si>
  <si>
    <t>CD1839303134720032768</t>
  </si>
  <si>
    <t>CD2169274152236613632</t>
  </si>
  <si>
    <t>CD1661291242434068480</t>
  </si>
  <si>
    <t>CD2174366539640209408</t>
  </si>
  <si>
    <t>CD2114306918959808512</t>
  </si>
  <si>
    <t>CD2184882825742778368</t>
  </si>
  <si>
    <t>CD2220468788078313472</t>
  </si>
  <si>
    <t>CD1806926087121272832</t>
  </si>
  <si>
    <t>CD2182041589159821312</t>
  </si>
  <si>
    <t>CD2220469159077085184</t>
  </si>
  <si>
    <t>CD2215732764378923008</t>
  </si>
  <si>
    <t>CD2223304429078052864</t>
  </si>
  <si>
    <t>CD2209541594598604800</t>
  </si>
  <si>
    <t>CD2207015858373394432</t>
  </si>
  <si>
    <t>CD2212141543886684160</t>
  </si>
  <si>
    <t>CD2076311482475216896</t>
  </si>
  <si>
    <t>CD2224363038608195584</t>
  </si>
  <si>
    <t>CD1854904721731485696</t>
  </si>
  <si>
    <t>CD1998712211123470336</t>
  </si>
  <si>
    <t>CD2207780978162663424</t>
  </si>
  <si>
    <t>CD2215672194707488768</t>
  </si>
  <si>
    <t>CD2218339896316133376</t>
  </si>
  <si>
    <t>CD2217501599129927680</t>
  </si>
  <si>
    <t>CD1955650791951826944</t>
  </si>
  <si>
    <t>CD2210058322457919488</t>
  </si>
  <si>
    <t>CD2175814221630013440</t>
  </si>
  <si>
    <t>CD1815726228401815552</t>
  </si>
  <si>
    <t>CD1999716070612533248</t>
  </si>
  <si>
    <t>CD2188943668302315520</t>
  </si>
  <si>
    <t>CD2107039149247692800</t>
  </si>
  <si>
    <t>CD2212923766139256832</t>
  </si>
  <si>
    <t>CD2194291222510567424</t>
  </si>
  <si>
    <t>CD2199959945791668224</t>
  </si>
  <si>
    <t>CD2219420383507906560</t>
  </si>
  <si>
    <t>CD2224187675626176512</t>
  </si>
  <si>
    <t>CD2022170826106732544</t>
  </si>
  <si>
    <t>CD2196865949833887744</t>
  </si>
  <si>
    <t>CD2207770590398382080</t>
  </si>
  <si>
    <t>CD2212581231747399680</t>
  </si>
  <si>
    <t>CD2210583784326168576</t>
  </si>
  <si>
    <t>CD2190417743923118080</t>
  </si>
  <si>
    <t>CD2190095255938793472</t>
  </si>
  <si>
    <t>CD2180595024335470592</t>
  </si>
  <si>
    <t>CD2023615393846788096</t>
  </si>
  <si>
    <t>CD2212452081468440576</t>
  </si>
  <si>
    <t>CD2218295556394975232</t>
  </si>
  <si>
    <t>CD2175817217881407488</t>
  </si>
  <si>
    <t>CD1795365544333934592</t>
  </si>
  <si>
    <t>CD2215310903400726528</t>
  </si>
  <si>
    <t>CD1782309013833121792</t>
  </si>
  <si>
    <t>CD1791796826135855104</t>
  </si>
  <si>
    <t>CD2168710628577902592</t>
  </si>
  <si>
    <t>CD2216455222836854784</t>
  </si>
  <si>
    <t>CD1808738270473879552</t>
  </si>
  <si>
    <t>CD2209214034815746048</t>
  </si>
  <si>
    <t>CD2168315123494551552</t>
  </si>
  <si>
    <t>CD1931948028139143168</t>
  </si>
  <si>
    <t>CD2182347822689419264</t>
  </si>
  <si>
    <t>CD2183464763390951424</t>
  </si>
  <si>
    <t>CD2161738414066499584</t>
  </si>
  <si>
    <t>CD1806633320830730240</t>
  </si>
  <si>
    <t>CD2041537356158205952</t>
  </si>
  <si>
    <t>CD1846516413066379264</t>
  </si>
  <si>
    <t>CD1871485096721121280</t>
  </si>
  <si>
    <t>CD2196142387598721024</t>
  </si>
  <si>
    <t>CD2174744700211167232</t>
  </si>
  <si>
    <t>CD2176239053815414784</t>
  </si>
  <si>
    <t>CD2224365498773012480</t>
  </si>
  <si>
    <t>CD2221633359803580416</t>
  </si>
  <si>
    <t>CD1870445172022575104</t>
  </si>
  <si>
    <t>CD2218687155566280704</t>
  </si>
  <si>
    <t>CD2219421576707702784</t>
  </si>
  <si>
    <t>CD2217849268536868864</t>
  </si>
  <si>
    <t>CD2168691921671684096</t>
  </si>
  <si>
    <t>CD2206609444140220416</t>
  </si>
  <si>
    <t>CD2197052419337093120</t>
  </si>
  <si>
    <t>CD2205336625087512576</t>
  </si>
  <si>
    <t>CD2205356378476773376</t>
  </si>
  <si>
    <t>CD2499765694695219200</t>
  </si>
  <si>
    <t>CD2164187567258337280</t>
  </si>
  <si>
    <t>CD2220135047791378432</t>
  </si>
  <si>
    <t>CD2096037341129867264</t>
  </si>
  <si>
    <t>CD2205310259860340736</t>
  </si>
  <si>
    <t>CD2218981067115724800</t>
  </si>
  <si>
    <t>CD2218626020402003968</t>
  </si>
  <si>
    <t>CD2210381574644432896</t>
  </si>
  <si>
    <t>CD2176309009420648448</t>
  </si>
  <si>
    <t>CD2224140716676743168</t>
  </si>
  <si>
    <t>CD1659502768819273728</t>
  </si>
  <si>
    <t>CD2223083782657802240</t>
  </si>
  <si>
    <t>CD2222946462692540416</t>
  </si>
  <si>
    <t>CD2219828433012129792</t>
  </si>
  <si>
    <t>CD2210314296942919680</t>
  </si>
  <si>
    <t>CD2209917966378598400</t>
  </si>
  <si>
    <t>CD2180301578974527488</t>
  </si>
  <si>
    <t>CD2206766882717958144</t>
  </si>
  <si>
    <t>CD2211364645267046400</t>
  </si>
  <si>
    <t>CD2194684045328121856</t>
  </si>
  <si>
    <t>CD2301260091590189056</t>
  </si>
  <si>
    <t>CD1712696583725776896</t>
  </si>
  <si>
    <t>CD2018210327077847040</t>
  </si>
  <si>
    <t>CD2182326796534415360</t>
  </si>
  <si>
    <t>CD1796745124747673600</t>
  </si>
  <si>
    <t>CD2215415745238532096</t>
  </si>
  <si>
    <t>CD2205616673484963840</t>
  </si>
  <si>
    <t>CD2076158718721916928</t>
  </si>
  <si>
    <t>CD1903006273285128192</t>
  </si>
  <si>
    <t>CD2016398003849396224</t>
  </si>
  <si>
    <t>CD2082444984799199232</t>
  </si>
  <si>
    <t>CD2200138246820724736</t>
  </si>
  <si>
    <t>CD2221455706861600768</t>
  </si>
  <si>
    <t>CD2176169707151818752</t>
  </si>
  <si>
    <t>CD2220784441347801088</t>
  </si>
  <si>
    <t>CD1959523428226564096</t>
  </si>
  <si>
    <t>CD1723902062661468160</t>
  </si>
  <si>
    <t>CD2187152791506518016</t>
  </si>
  <si>
    <t>CD2196648811852464128</t>
  </si>
  <si>
    <t>CD2027004573603856384</t>
  </si>
  <si>
    <t>CD2065410480523968512</t>
  </si>
  <si>
    <t>CD2213498161358438400</t>
  </si>
  <si>
    <t>CD2197645827302752256</t>
  </si>
  <si>
    <t>CD2080129500980445184</t>
  </si>
  <si>
    <t>CD2219417945052807168</t>
  </si>
  <si>
    <t>CD2224040640981762048</t>
  </si>
  <si>
    <t>CD2192867954398330880</t>
  </si>
  <si>
    <t>CD2013533598816141312</t>
  </si>
  <si>
    <t>CD2073370824290598912</t>
  </si>
  <si>
    <t>CD2196207205282217984</t>
  </si>
  <si>
    <t>CD2213270072430952448</t>
  </si>
  <si>
    <t>CD2206732349876469760</t>
  </si>
  <si>
    <t>CD2209644902759792640</t>
  </si>
  <si>
    <t>CD2209664447855722496</t>
  </si>
  <si>
    <t>CD2175903400275738624</t>
  </si>
  <si>
    <t>CD2177652625938317312</t>
  </si>
  <si>
    <t>CD2207158920164671488</t>
  </si>
  <si>
    <t>CD2207381063414579200</t>
  </si>
  <si>
    <t>CD2222546003855147008</t>
  </si>
  <si>
    <t>CD2032748409529565184</t>
  </si>
  <si>
    <t>CD2057068161609498624</t>
  </si>
  <si>
    <t>CD2061840352574177280</t>
  </si>
  <si>
    <t>CD2220219583367741440</t>
  </si>
  <si>
    <t>CD2207530952660353024</t>
  </si>
  <si>
    <t>CD2173046081691058176</t>
  </si>
  <si>
    <t>CD2224781430829875200</t>
  </si>
  <si>
    <t>CD2209645294075772928</t>
  </si>
  <si>
    <t>CD2196590742267232256</t>
  </si>
  <si>
    <t>CD2059519982588395520</t>
  </si>
  <si>
    <t>CD2225248114367791104</t>
  </si>
  <si>
    <t>CD2224021664989970432</t>
  </si>
  <si>
    <t>CD2218284668812263424</t>
  </si>
  <si>
    <t>CD2213267370149937152</t>
  </si>
  <si>
    <t>CD2200827292211478528</t>
  </si>
  <si>
    <t>CD2224084391410270208</t>
  </si>
  <si>
    <t>CD2192918691933323264</t>
  </si>
  <si>
    <t>CD2224386543227764736</t>
  </si>
  <si>
    <t>CD2023011838731485184</t>
  </si>
  <si>
    <t>CD2194825457101176832</t>
  </si>
  <si>
    <t>CD2092585850809352192</t>
  </si>
  <si>
    <t>CD2219836113177018368</t>
  </si>
  <si>
    <t>CD2219284920604295168</t>
  </si>
  <si>
    <t>CD2154160577830715392</t>
  </si>
  <si>
    <t>CD2219292970690019328</t>
  </si>
  <si>
    <t>CD2162147194642104320</t>
  </si>
  <si>
    <t>CD2186757064859058176</t>
  </si>
  <si>
    <t>CD2178100821231665152</t>
  </si>
  <si>
    <t>CD1998591732911964160</t>
  </si>
  <si>
    <t>CD2209661900726206464</t>
  </si>
  <si>
    <t>CD2209181497208864768</t>
  </si>
  <si>
    <t>CD2208523709457629184</t>
  </si>
  <si>
    <t>CD2207546251765874688</t>
  </si>
  <si>
    <t>CD2212025010787188736</t>
  </si>
  <si>
    <t>CD2184534595360260096</t>
  </si>
  <si>
    <t>CD2218986080621821952</t>
  </si>
  <si>
    <t>CD2194790219482398720</t>
  </si>
  <si>
    <t>CD2210697396013236224</t>
  </si>
  <si>
    <t>CD2220543395628056576</t>
  </si>
  <si>
    <t>CD2193348993625358336</t>
  </si>
  <si>
    <t>CD2206373402917208064</t>
  </si>
  <si>
    <t>CD2080128057955319808</t>
  </si>
  <si>
    <t>CD2224490422917398528</t>
  </si>
  <si>
    <t>CD2212217089375076352</t>
  </si>
  <si>
    <t>CD2208903796661157888</t>
  </si>
  <si>
    <t>CD2209230303854067712</t>
  </si>
  <si>
    <t>CD2209606307801989120</t>
  </si>
  <si>
    <t>CD2224501350798983168</t>
  </si>
  <si>
    <t>CD2209868962198454272</t>
  </si>
  <si>
    <t>CD2212505274072170496</t>
  </si>
  <si>
    <t>CD2225249974503866368</t>
  </si>
  <si>
    <t>CD2010946388489142272</t>
  </si>
  <si>
    <t>CD2044730877291790336</t>
  </si>
  <si>
    <t>CD2074781409590902784</t>
  </si>
  <si>
    <t>CD2207788105593782272</t>
  </si>
  <si>
    <t>CD2187934054937001984</t>
  </si>
  <si>
    <t>CD2220378354702352384</t>
  </si>
  <si>
    <t>CD2223714597829869568</t>
  </si>
  <si>
    <t>CD2217515725952647168</t>
  </si>
  <si>
    <t>CD2211699429226840064</t>
  </si>
  <si>
    <t>CD2083512966904283136</t>
  </si>
  <si>
    <t>CD2203335685761400832</t>
  </si>
  <si>
    <t>CD2219385388768690176</t>
  </si>
  <si>
    <t>CD2206712652875431936</t>
  </si>
  <si>
    <t>CD2076823547400945664</t>
  </si>
  <si>
    <t>CD1986708488989966336</t>
  </si>
  <si>
    <t>CD2200183228269068288</t>
  </si>
  <si>
    <t>CD2196583376884858880</t>
  </si>
  <si>
    <t>CD2208445515538890752</t>
  </si>
  <si>
    <t>CD2224414103655415808</t>
  </si>
  <si>
    <t>CD2207013713058201600</t>
  </si>
  <si>
    <t>CD2169378053975703552</t>
  </si>
  <si>
    <t>CD2067112701909270528</t>
  </si>
  <si>
    <t>CD2211485021045260288</t>
  </si>
  <si>
    <t>CD2182021923175661568</t>
  </si>
  <si>
    <t>CD2182691211179982848</t>
  </si>
  <si>
    <t>CD2086779628797558784</t>
  </si>
  <si>
    <t>CD1991367448837750784</t>
  </si>
  <si>
    <t>CD1851936585168191488</t>
  </si>
  <si>
    <t>CD1780637554622595072</t>
  </si>
  <si>
    <t>CD1653257680254402560</t>
  </si>
  <si>
    <t>CD2093692223655772160</t>
  </si>
  <si>
    <t>CD2152676843726045184</t>
  </si>
  <si>
    <t>CD1886326421421293568</t>
  </si>
  <si>
    <t>CD2214350269393666048</t>
  </si>
  <si>
    <t>CD2174758199897358336</t>
  </si>
  <si>
    <t>CD2164386782450286592</t>
  </si>
  <si>
    <t>CD2178795896840388608</t>
  </si>
  <si>
    <t>CD2218660821053997056</t>
  </si>
  <si>
    <t>CD2219426133194047488</t>
  </si>
  <si>
    <t>CD2222003929892257792</t>
  </si>
  <si>
    <t>CD2210019137260879872</t>
  </si>
  <si>
    <t>CD2210345227955208192</t>
  </si>
  <si>
    <t>CD2212425320139587584</t>
  </si>
  <si>
    <t>CD2214068518779879424</t>
  </si>
  <si>
    <t>CD2011333593439141888</t>
  </si>
  <si>
    <t>CD2223403323455700992</t>
  </si>
  <si>
    <t>CD2007357700303749120</t>
  </si>
  <si>
    <t>CD2211080971611013120</t>
  </si>
  <si>
    <t>CD2205917377600684032</t>
  </si>
  <si>
    <t>CD2191151694186807296</t>
  </si>
  <si>
    <t>CD2178784490397106176</t>
  </si>
  <si>
    <t>CD2219306378143465472</t>
  </si>
  <si>
    <t>CD2206423995941650432</t>
  </si>
  <si>
    <t>CD2208977656827871232</t>
  </si>
  <si>
    <t>CD2208430559984615424</t>
  </si>
  <si>
    <t>CD2219301331485589504</t>
  </si>
  <si>
    <t>CD1923001439131533312</t>
  </si>
  <si>
    <t>CD2208968974073331712</t>
  </si>
  <si>
    <t>CD1744218306912452608</t>
  </si>
  <si>
    <t>CD2101166749100539904</t>
  </si>
  <si>
    <t>CD2021947298379988992</t>
  </si>
  <si>
    <t>CD2182706926855389184</t>
  </si>
  <si>
    <t>CD2219842357426126848</t>
  </si>
  <si>
    <t>CD2198419882213638144</t>
  </si>
  <si>
    <t>CD2213227418603225088</t>
  </si>
  <si>
    <t>CD2096573893568364544</t>
  </si>
  <si>
    <t>CD2207381757869686784</t>
  </si>
  <si>
    <t>CD2157705101983088640</t>
  </si>
  <si>
    <t>CD2212774489421250560</t>
  </si>
  <si>
    <t>CD2192856702175412224</t>
  </si>
  <si>
    <t>CD2219102112728481792</t>
  </si>
  <si>
    <t>CD2220200923680997376</t>
  </si>
  <si>
    <t>CD2206656292230004736</t>
  </si>
  <si>
    <t>CD2053744375158013952</t>
  </si>
  <si>
    <t>CD2099148473369624576</t>
  </si>
  <si>
    <t>CD2223762120644755456</t>
  </si>
  <si>
    <t>CD2198260257824702464</t>
  </si>
  <si>
    <t>CD2148623097387810816</t>
  </si>
  <si>
    <t>CD2210035390948048896</t>
  </si>
  <si>
    <t>CD2220133216633749504</t>
  </si>
  <si>
    <t>CD2210257815199547392</t>
  </si>
  <si>
    <t>CD2206744480285982720</t>
  </si>
  <si>
    <t>CD2194422150612385792</t>
  </si>
  <si>
    <t>CD2096244208875601920</t>
  </si>
  <si>
    <t>CD1819407421181788160</t>
  </si>
  <si>
    <t>CD2090107246884159488</t>
  </si>
  <si>
    <t>CD2224352161800650752</t>
  </si>
  <si>
    <t>CD2176645314604171264</t>
  </si>
  <si>
    <t>CD2208217007797567488</t>
  </si>
  <si>
    <t>CD2150456104541224960</t>
  </si>
  <si>
    <t>CD2221849616796614656</t>
  </si>
  <si>
    <t>CD2224566254222442496</t>
  </si>
  <si>
    <t>CD2184280795517026304</t>
  </si>
  <si>
    <t>CD2184279528367456256</t>
  </si>
  <si>
    <t>CD2223098748139995136</t>
  </si>
  <si>
    <t>CD1955256049220976640</t>
  </si>
  <si>
    <t>CD2220781185758396416</t>
  </si>
  <si>
    <t>CD2208159039286673408</t>
  </si>
  <si>
    <t>CD2202258250236166144</t>
  </si>
  <si>
    <t>CD2204602468963188736</t>
  </si>
  <si>
    <t>CD2219309735209861120</t>
  </si>
  <si>
    <t>CD2198412027980939264</t>
  </si>
  <si>
    <t>CD2206083882804051968</t>
  </si>
  <si>
    <t>CD2208568320842530816</t>
  </si>
  <si>
    <t>CD2189966378214096896</t>
  </si>
  <si>
    <t>CD1698216147591102464</t>
  </si>
  <si>
    <t>CD2072685845411790848</t>
  </si>
  <si>
    <t>CD2185340857358483456</t>
  </si>
  <si>
    <t>CD2221633892727652352</t>
  </si>
  <si>
    <t>CD2213952608903626752</t>
  </si>
  <si>
    <t>CD2176633438264623104</t>
  </si>
  <si>
    <t>CD2199491539317555200</t>
  </si>
  <si>
    <t>CD2221945392084287488</t>
  </si>
  <si>
    <t>CD2213235766241263616</t>
  </si>
  <si>
    <t>CD2219034495347064832</t>
  </si>
  <si>
    <t>CD2210304220098199552</t>
  </si>
  <si>
    <t>CD2221115942878838784</t>
  </si>
  <si>
    <t>CD2024394233284132864</t>
  </si>
  <si>
    <t>CD1910185594152026112</t>
  </si>
  <si>
    <t>CD2209601175127326720</t>
  </si>
  <si>
    <t>CD1946144014457634816</t>
  </si>
  <si>
    <t>CD1943911401353379840</t>
  </si>
  <si>
    <t>CD2195441262268514304</t>
  </si>
  <si>
    <t>CD2223289810309611520</t>
  </si>
  <si>
    <t>CD2168635586041085952</t>
  </si>
  <si>
    <t>CD2218576064584613888</t>
  </si>
  <si>
    <t>CD2090750434888122368</t>
  </si>
  <si>
    <t>CD2213980768726679552</t>
  </si>
  <si>
    <t>CD2140499862368550912</t>
  </si>
  <si>
    <t>CD2150583738256326656</t>
  </si>
  <si>
    <t>CD2223705760183877632</t>
  </si>
  <si>
    <t>CD2209603098941325312</t>
  </si>
  <si>
    <t>CD2200249035460182016</t>
  </si>
  <si>
    <t>CD1998980433844371456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</si>
</sst>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name val="Carlito"/>
      <charset val="134"/>
    </font>
    <font>
      <b/>
      <sz val="15"/>
      <color rgb="FF203C5A"/>
      <name val="Arial"/>
      <charset val="134"/>
    </font>
    <font>
      <i/>
      <sz val="10"/>
      <color rgb="FF576C7F"/>
      <name val="Arial"/>
      <charset val="134"/>
    </font>
    <font>
      <b/>
      <sz val="10"/>
      <color rgb="FFFFFFFF"/>
      <name val="Arial"/>
      <charset val="134"/>
    </font>
    <font>
      <sz val="10"/>
      <color rgb="FF283747"/>
      <name val="Arial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03C5A"/>
        <bgColor indexed="64"/>
      </patternFill>
    </fill>
    <fill>
      <patternFill patternType="solid">
        <fgColor rgb="FFEAF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2" borderId="0" xfId="49" applyNumberFormat="1" applyFont="1" applyFill="1" applyBorder="1"/>
    <xf numFmtId="0" fontId="3" fillId="2" borderId="0" xfId="49" applyNumberFormat="1" applyFont="1" applyFill="1" applyBorder="1" applyAlignment="1">
      <alignment horizontal="center"/>
    </xf>
    <xf numFmtId="0" fontId="4" fillId="0" borderId="0" xfId="49" applyNumberFormat="1" applyFont="1" applyFill="1" applyBorder="1"/>
    <xf numFmtId="0" fontId="4" fillId="0" borderId="0" xfId="49" applyNumberFormat="1" applyFont="1" applyFill="1" applyBorder="1" applyAlignment="1">
      <alignment horizontal="center"/>
    </xf>
    <xf numFmtId="10" fontId="4" fillId="0" borderId="0" xfId="49" applyNumberFormat="1" applyFont="1" applyFill="1" applyBorder="1" applyAlignment="1">
      <alignment horizontal="center"/>
    </xf>
    <xf numFmtId="176" fontId="4" fillId="0" borderId="0" xfId="49" applyNumberFormat="1" applyFont="1" applyFill="1" applyBorder="1" applyAlignment="1">
      <alignment horizontal="center"/>
    </xf>
    <xf numFmtId="0" fontId="5" fillId="2" borderId="0" xfId="49" applyNumberFormat="1" applyFont="1" applyFill="1" applyBorder="1"/>
    <xf numFmtId="0" fontId="5" fillId="2" borderId="0" xfId="49" applyNumberFormat="1" applyFont="1" applyFill="1" applyBorder="1" applyAlignment="1">
      <alignment horizontal="right"/>
    </xf>
    <xf numFmtId="10" fontId="0" fillId="3" borderId="0" xfId="49" applyNumberFormat="1" applyFont="1" applyFill="1" applyBorder="1" applyAlignment="1">
      <alignment horizontal="right"/>
    </xf>
    <xf numFmtId="0" fontId="0" fillId="3" borderId="0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showGridLines="0" workbookViewId="0">
      <pane ySplit="6" topLeftCell="A7" activePane="bottomLeft" state="frozen"/>
      <selection/>
      <selection pane="bottomLeft" activeCell="F16" sqref="F16"/>
    </sheetView>
  </sheetViews>
  <sheetFormatPr defaultColWidth="9" defaultRowHeight="16.8" outlineLevelCol="6"/>
  <cols>
    <col min="1" max="1" width="16" customWidth="1"/>
    <col min="2" max="2" width="21" customWidth="1"/>
    <col min="3" max="3" width="19" customWidth="1"/>
    <col min="4" max="5" width="18" customWidth="1"/>
    <col min="6" max="7" width="24" customWidth="1"/>
  </cols>
  <sheetData>
    <row r="2" ht="22" spans="1:7">
      <c r="A2" s="1" t="s">
        <v>0</v>
      </c>
    </row>
    <row r="3" spans="1:7">
      <c r="A3" s="2" t="s">
        <v>1</v>
      </c>
    </row>
    <row r="6" ht="28" customHeight="1" spans="1:7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ht="21" customHeight="1" spans="1:7">
      <c r="A7" s="5" t="s">
        <v>9</v>
      </c>
      <c r="B7" s="6">
        <v>28</v>
      </c>
      <c r="C7" s="6">
        <v>17</v>
      </c>
      <c r="D7" s="8">
        <f t="shared" ref="D7:D14" si="0">C7/B7</f>
        <v>0.607142857142857</v>
      </c>
      <c r="E7" s="6">
        <v>50</v>
      </c>
      <c r="F7" s="7">
        <f ca="1">(G7-税费参数!$B$12*SUM(税费参数!$B$9:税费参数!$B$10)/税费参数!$B$11)/(1+SUM(税费参数!$B$6:税费参数!$B$8))</f>
        <v>0.0327741265997925</v>
      </c>
      <c r="G7" s="7">
        <v>0.0357142857142857</v>
      </c>
    </row>
    <row r="8" ht="21" customHeight="1" spans="1:7">
      <c r="A8" s="5" t="s">
        <v>10</v>
      </c>
      <c r="B8" s="6">
        <v>33</v>
      </c>
      <c r="C8" s="6">
        <v>29</v>
      </c>
      <c r="D8" s="8">
        <f t="shared" si="0"/>
        <v>0.878787878787879</v>
      </c>
      <c r="E8" s="6">
        <v>54</v>
      </c>
      <c r="F8" s="7">
        <f ca="1">(G8-税费参数!$B$12*SUM(税费参数!$B$9:税费参数!$B$10)/税费参数!$B$11)/(1+SUM(税费参数!$B$6:税费参数!$B$8))</f>
        <v>0.0314366424535916</v>
      </c>
      <c r="G8" s="7">
        <v>0.0343333333333333</v>
      </c>
    </row>
    <row r="9" ht="21" customHeight="1" spans="1:7">
      <c r="A9" s="5" t="s">
        <v>11</v>
      </c>
      <c r="B9" s="6">
        <v>36</v>
      </c>
      <c r="C9" s="6">
        <v>22</v>
      </c>
      <c r="D9" s="8">
        <f t="shared" si="0"/>
        <v>0.611111111111111</v>
      </c>
      <c r="E9" s="6">
        <v>85</v>
      </c>
      <c r="F9" s="7">
        <f ca="1">(G9-税费参数!$B$12*SUM(税费参数!$B$9:税费参数!$B$10)/税费参数!$B$11)/(1+SUM(税费参数!$B$6:税费参数!$B$8))</f>
        <v>0.0303828406962401</v>
      </c>
      <c r="G9" s="7">
        <v>0.0332452830188679</v>
      </c>
    </row>
    <row r="10" ht="21" customHeight="1" spans="1:7">
      <c r="A10" s="5" t="s">
        <v>12</v>
      </c>
      <c r="B10" s="6">
        <v>40</v>
      </c>
      <c r="C10" s="6">
        <v>34</v>
      </c>
      <c r="D10" s="8">
        <f t="shared" si="0"/>
        <v>0.85</v>
      </c>
      <c r="E10" s="6">
        <v>71</v>
      </c>
      <c r="F10" s="7">
        <f ca="1">(G10-税费参数!$B$12*SUM(税费参数!$B$9:税费参数!$B$10)/税费参数!$B$11)/(1+SUM(税费参数!$B$6:税费参数!$B$8))</f>
        <v>0.0282082324455206</v>
      </c>
      <c r="G10" s="7">
        <v>0.031</v>
      </c>
    </row>
    <row r="11" ht="21" customHeight="1" spans="1:7">
      <c r="A11" s="5" t="s">
        <v>13</v>
      </c>
      <c r="B11" s="6">
        <v>28</v>
      </c>
      <c r="C11" s="6">
        <v>23</v>
      </c>
      <c r="D11" s="8">
        <f t="shared" si="0"/>
        <v>0.821428571428571</v>
      </c>
      <c r="E11" s="6">
        <v>73</v>
      </c>
      <c r="F11" s="7">
        <f ca="1">(G11-税费参数!$B$12*SUM(税费参数!$B$9:税费参数!$B$10)/税费参数!$B$11)/(1+SUM(税费参数!$B$6:税费参数!$B$8))</f>
        <v>0.0281390522310619</v>
      </c>
      <c r="G11" s="7">
        <v>0.0309285714285714</v>
      </c>
    </row>
    <row r="12" ht="21" customHeight="1" spans="1:7">
      <c r="A12" s="5" t="s">
        <v>14</v>
      </c>
      <c r="B12" s="6">
        <v>11</v>
      </c>
      <c r="C12" s="6">
        <v>8</v>
      </c>
      <c r="D12" s="8">
        <f t="shared" si="0"/>
        <v>0.727272727272727</v>
      </c>
      <c r="E12" s="6">
        <v>29</v>
      </c>
      <c r="F12" s="7">
        <f ca="1">(G12-税费参数!$B$12*SUM(税费参数!$B$9:税费参数!$B$10)/税费参数!$B$11)/(1+SUM(税费参数!$B$6:税费参数!$B$8))</f>
        <v>0.0242779736535312</v>
      </c>
      <c r="G12" s="7">
        <v>0.026942007797271</v>
      </c>
    </row>
    <row r="13" ht="21" customHeight="1" spans="1:7">
      <c r="A13" s="5" t="s">
        <v>15</v>
      </c>
      <c r="B13" s="6">
        <v>166</v>
      </c>
      <c r="C13" s="6">
        <v>124</v>
      </c>
      <c r="D13" s="8">
        <f t="shared" si="0"/>
        <v>0.746987951807229</v>
      </c>
      <c r="E13" s="6">
        <v>129</v>
      </c>
      <c r="F13" s="7">
        <f ca="1">(G13-税费参数!$B$12*SUM(税费参数!$B$9:税费参数!$B$10)/税费参数!$B$11)/(1+SUM(税费参数!$B$6:税费参数!$B$8))</f>
        <v>0.0209810767034445</v>
      </c>
      <c r="G13" s="7">
        <v>0.0235379616963064</v>
      </c>
    </row>
    <row r="14" ht="21" customHeight="1" spans="1:7">
      <c r="A14" s="5" t="s">
        <v>16</v>
      </c>
      <c r="B14" s="6">
        <v>197</v>
      </c>
      <c r="C14" s="6">
        <v>157</v>
      </c>
      <c r="D14" s="8">
        <f t="shared" si="0"/>
        <v>0.796954314720812</v>
      </c>
      <c r="E14" s="6">
        <v>201</v>
      </c>
      <c r="F14" s="7">
        <f ca="1">(G14-税费参数!$B$12*SUM(税费参数!$B$9:税费参数!$B$10)/税费参数!$B$11)/(1+SUM(税费参数!$B$6:税费参数!$B$8))</f>
        <v>0.0156998609036114</v>
      </c>
      <c r="G14" s="7">
        <v>0.0180851063829787</v>
      </c>
    </row>
    <row r="16" spans="1:7">
      <c r="A16" t="s">
        <v>17</v>
      </c>
    </row>
    <row r="17" spans="1:1">
      <c r="A17" t="s">
        <v>18</v>
      </c>
    </row>
    <row r="18" spans="1:1">
      <c r="A18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showGridLines="0" workbookViewId="0">
      <selection activeCell="B5" sqref="B5:B12"/>
    </sheetView>
  </sheetViews>
  <sheetFormatPr defaultColWidth="9" defaultRowHeight="16.8" outlineLevelCol="1"/>
  <cols>
    <col min="1" max="1" width="40" customWidth="1"/>
    <col min="2" max="2" width="19" customWidth="1"/>
  </cols>
  <sheetData>
    <row r="2" ht="22" spans="1:2">
      <c r="A2" s="1" t="s">
        <v>20</v>
      </c>
    </row>
    <row r="5" spans="1:2">
      <c r="A5" s="9" t="s">
        <v>21</v>
      </c>
      <c r="B5" s="10" t="s">
        <v>22</v>
      </c>
    </row>
    <row r="6" spans="1:2">
      <c r="A6" t="s">
        <v>23</v>
      </c>
      <c r="B6" s="11">
        <v>0.01</v>
      </c>
    </row>
    <row r="7" spans="1:2">
      <c r="A7" t="s">
        <v>24</v>
      </c>
      <c r="B7" s="11">
        <v>0.01</v>
      </c>
    </row>
    <row r="8" spans="1:2">
      <c r="A8" t="s">
        <v>25</v>
      </c>
      <c r="B8" s="11">
        <v>0.0125</v>
      </c>
    </row>
    <row r="9" spans="1:2">
      <c r="A9" t="s">
        <v>26</v>
      </c>
      <c r="B9" s="11">
        <v>0.01</v>
      </c>
    </row>
    <row r="10" spans="1:2">
      <c r="A10" t="s">
        <v>27</v>
      </c>
      <c r="B10" s="11">
        <v>0.0125</v>
      </c>
    </row>
    <row r="11" spans="1:2">
      <c r="A11" t="s">
        <v>28</v>
      </c>
      <c r="B11" s="12">
        <v>120</v>
      </c>
    </row>
    <row r="12" spans="1:2">
      <c r="A12" t="s">
        <v>29</v>
      </c>
      <c r="B12" s="12">
        <v>10</v>
      </c>
    </row>
    <row r="14" spans="1:2">
      <c r="A14" t="s">
        <v>30</v>
      </c>
    </row>
    <row r="15" spans="1:2">
      <c r="A15" t="s">
        <v>31</v>
      </c>
    </row>
    <row r="16" spans="1:2">
      <c r="A16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10"/>
  <sheetViews>
    <sheetView showGridLines="0" workbookViewId="0">
      <pane ySplit="6" topLeftCell="A86" activePane="bottomLeft" state="frozen"/>
      <selection/>
      <selection pane="bottomLeft" activeCell="F93" sqref="F93"/>
    </sheetView>
  </sheetViews>
  <sheetFormatPr defaultColWidth="9" defaultRowHeight="16.8" outlineLevelCol="6"/>
  <cols>
    <col min="1" max="1" width="13" customWidth="1"/>
    <col min="2" max="2" width="28" customWidth="1"/>
    <col min="3" max="4" width="19" customWidth="1"/>
    <col min="5" max="5" width="17" customWidth="1"/>
    <col min="6" max="6" width="25" customWidth="1"/>
    <col min="7" max="7" width="22" customWidth="1"/>
  </cols>
  <sheetData>
    <row r="2" ht="22" spans="1:7">
      <c r="A2" s="1" t="s">
        <v>33</v>
      </c>
    </row>
    <row r="3" spans="1:7">
      <c r="A3" s="2" t="s">
        <v>34</v>
      </c>
    </row>
    <row r="6" ht="28" customHeight="1" spans="1:7">
      <c r="A6" s="3" t="s">
        <v>2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7</v>
      </c>
      <c r="G6" s="4" t="s">
        <v>39</v>
      </c>
    </row>
    <row r="7" ht="21" customHeight="1" spans="1:7">
      <c r="A7" s="5" t="s">
        <v>13</v>
      </c>
      <c r="B7" s="6" t="s">
        <v>40</v>
      </c>
      <c r="C7" s="6">
        <v>9</v>
      </c>
      <c r="D7" s="6">
        <v>7</v>
      </c>
      <c r="E7" s="7">
        <f t="shared" ref="E7:E70" si="0">D7/C7</f>
        <v>0.777777777777778</v>
      </c>
      <c r="F7" s="7">
        <f ca="1">(G7-税费参数!$B$12*SUM(税费参数!$B$9:税费参数!$B$10)/税费参数!$B$11)/(1+SUM(税费参数!$B$6:税费参数!$B$8))</f>
        <v>0.0332512315270936</v>
      </c>
      <c r="G7" s="7">
        <v>0.0362068965517241</v>
      </c>
    </row>
    <row r="8" ht="21" customHeight="1" spans="1:7">
      <c r="A8" s="5" t="s">
        <v>13</v>
      </c>
      <c r="B8" s="6" t="s">
        <v>41</v>
      </c>
      <c r="C8" s="6">
        <v>6</v>
      </c>
      <c r="D8" s="6">
        <v>6</v>
      </c>
      <c r="E8" s="7">
        <f t="shared" si="0"/>
        <v>1</v>
      </c>
      <c r="F8" s="7">
        <f ca="1">(G8-税费参数!$B$12*SUM(税费参数!$B$9:税费参数!$B$10)/税费参数!$B$11)/(1+SUM(税费参数!$B$6:税费参数!$B$8))</f>
        <v>0.030071634996262</v>
      </c>
      <c r="G8" s="7">
        <v>0.0329239631336406</v>
      </c>
    </row>
    <row r="9" ht="21" customHeight="1" spans="1:7">
      <c r="A9" s="5" t="s">
        <v>13</v>
      </c>
      <c r="B9" s="6" t="s">
        <v>42</v>
      </c>
      <c r="C9" s="6">
        <v>1</v>
      </c>
      <c r="D9" s="6">
        <v>1</v>
      </c>
      <c r="E9" s="7">
        <f t="shared" si="0"/>
        <v>1</v>
      </c>
      <c r="F9" s="7">
        <f ca="1">(G9-税费参数!$B$12*SUM(税费参数!$B$9:税费参数!$B$10)/税费参数!$B$11)/(1+SUM(税费参数!$B$6:税费参数!$B$8))</f>
        <v>0.0298811358133392</v>
      </c>
      <c r="G9" s="7">
        <v>0.0327272727272727</v>
      </c>
    </row>
    <row r="10" ht="21" customHeight="1" spans="1:7">
      <c r="A10" s="5" t="s">
        <v>13</v>
      </c>
      <c r="B10" s="6" t="s">
        <v>43</v>
      </c>
      <c r="C10" s="6">
        <v>2</v>
      </c>
      <c r="D10" s="6">
        <v>1</v>
      </c>
      <c r="E10" s="7">
        <f t="shared" si="0"/>
        <v>0.5</v>
      </c>
      <c r="F10" s="7">
        <f ca="1">(G10-税费参数!$B$12*SUM(税费参数!$B$9:税费参数!$B$10)/税费参数!$B$11)/(1+SUM(税费参数!$B$6:税费参数!$B$8))</f>
        <v>0.0265940274414851</v>
      </c>
      <c r="G10" s="7">
        <v>0.0293333333333333</v>
      </c>
    </row>
    <row r="11" ht="21" customHeight="1" spans="1:7">
      <c r="A11" s="5" t="s">
        <v>13</v>
      </c>
      <c r="B11" s="6" t="s">
        <v>44</v>
      </c>
      <c r="C11" s="6">
        <v>3</v>
      </c>
      <c r="D11" s="6">
        <v>2</v>
      </c>
      <c r="E11" s="7">
        <f t="shared" si="0"/>
        <v>0.666666666666667</v>
      </c>
      <c r="F11" s="7">
        <f ca="1">(G11-税费参数!$B$12*SUM(税费参数!$B$9:税费参数!$B$10)/税费参数!$B$11)/(1+SUM(税费参数!$B$6:税费参数!$B$8))</f>
        <v>0.0261087798874439</v>
      </c>
      <c r="G11" s="7">
        <v>0.0288323152337858</v>
      </c>
    </row>
    <row r="12" ht="21" customHeight="1" spans="1:7">
      <c r="A12" s="5" t="s">
        <v>13</v>
      </c>
      <c r="B12" s="6" t="s">
        <v>45</v>
      </c>
      <c r="C12" s="6">
        <v>2</v>
      </c>
      <c r="D12" s="6">
        <v>2</v>
      </c>
      <c r="E12" s="7">
        <f t="shared" si="0"/>
        <v>1</v>
      </c>
      <c r="F12" s="7">
        <f ca="1">(G12-税费参数!$B$12*SUM(税费参数!$B$9:税费参数!$B$10)/税费参数!$B$11)/(1+SUM(税费参数!$B$6:税费参数!$B$8))</f>
        <v>0.0257379401913413</v>
      </c>
      <c r="G12" s="7">
        <v>0.0284494232475599</v>
      </c>
    </row>
    <row r="13" ht="21" customHeight="1" spans="1:7">
      <c r="A13" s="5" t="s">
        <v>13</v>
      </c>
      <c r="B13" s="6" t="s">
        <v>46</v>
      </c>
      <c r="C13" s="6">
        <v>1</v>
      </c>
      <c r="D13" s="6">
        <v>1</v>
      </c>
      <c r="E13" s="7">
        <f t="shared" si="0"/>
        <v>1</v>
      </c>
      <c r="F13" s="7">
        <f ca="1">(G13-税费参数!$B$12*SUM(税费参数!$B$9:税费参数!$B$10)/税费参数!$B$11)/(1+SUM(税费参数!$B$6:税费参数!$B$8))</f>
        <v>0.0254531136133901</v>
      </c>
      <c r="G13" s="7">
        <v>0.0281553398058252</v>
      </c>
    </row>
    <row r="14" ht="21" customHeight="1" spans="1:7">
      <c r="A14" s="5" t="s">
        <v>13</v>
      </c>
      <c r="B14" s="6" t="s">
        <v>47</v>
      </c>
      <c r="C14" s="6">
        <v>2</v>
      </c>
      <c r="D14" s="6">
        <v>2</v>
      </c>
      <c r="E14" s="7">
        <f t="shared" si="0"/>
        <v>1</v>
      </c>
      <c r="F14" s="7">
        <f ca="1">(G14-税费参数!$B$12*SUM(税费参数!$B$9:税费参数!$B$10)/税费参数!$B$11)/(1+SUM(税费参数!$B$6:税费参数!$B$8))</f>
        <v>0.0236714668025997</v>
      </c>
      <c r="G14" s="7">
        <v>0.0263157894736842</v>
      </c>
    </row>
    <row r="15" ht="21" customHeight="1" spans="1:7">
      <c r="A15" s="5" t="s">
        <v>13</v>
      </c>
      <c r="B15" s="6" t="s">
        <v>48</v>
      </c>
      <c r="C15" s="6">
        <v>5</v>
      </c>
      <c r="D15" s="6">
        <v>4</v>
      </c>
      <c r="E15" s="7">
        <f t="shared" si="0"/>
        <v>0.8</v>
      </c>
      <c r="F15" s="7">
        <f ca="1">(G15-税费参数!$B$12*SUM(税费参数!$B$9:税费参数!$B$10)/税费参数!$B$11)/(1+SUM(税费参数!$B$6:税费参数!$B$8))</f>
        <v>0.0215035166609017</v>
      </c>
      <c r="G15" s="7">
        <v>0.024077380952381</v>
      </c>
    </row>
    <row r="16" ht="21" customHeight="1" spans="1:7">
      <c r="A16" s="5" t="s">
        <v>13</v>
      </c>
      <c r="B16" s="6" t="s">
        <v>49</v>
      </c>
      <c r="C16" s="6">
        <v>1</v>
      </c>
      <c r="D16" s="6">
        <v>1</v>
      </c>
      <c r="E16" s="7">
        <f t="shared" si="0"/>
        <v>1</v>
      </c>
      <c r="F16" s="7">
        <f ca="1">(G16-税费参数!$B$12*SUM(税费参数!$B$9:税费参数!$B$10)/税费参数!$B$11)/(1+SUM(税费参数!$B$6:税费参数!$B$8))</f>
        <v>0.0209146612640214</v>
      </c>
      <c r="G16" s="7">
        <v>0.023469387755102</v>
      </c>
    </row>
    <row r="17" ht="21" customHeight="1" spans="1:7">
      <c r="A17" s="5" t="s">
        <v>13</v>
      </c>
      <c r="B17" s="6" t="s">
        <v>50</v>
      </c>
      <c r="C17" s="6">
        <v>9</v>
      </c>
      <c r="D17" s="6">
        <v>4</v>
      </c>
      <c r="E17" s="7">
        <f t="shared" si="0"/>
        <v>0.444444444444444</v>
      </c>
      <c r="F17" s="7">
        <f ca="1">(G17-税费参数!$B$12*SUM(税费参数!$B$9:税费参数!$B$10)/税费参数!$B$11)/(1+SUM(税费参数!$B$6:税费参数!$B$8))</f>
        <v>0.0199825947248628</v>
      </c>
      <c r="G17" s="7">
        <v>0.0225070290534208</v>
      </c>
    </row>
    <row r="18" ht="21" customHeight="1" spans="1:7">
      <c r="A18" s="5" t="s">
        <v>13</v>
      </c>
      <c r="B18" s="6" t="s">
        <v>51</v>
      </c>
      <c r="C18" s="6">
        <v>1</v>
      </c>
      <c r="D18" s="6">
        <v>0</v>
      </c>
      <c r="E18" s="7">
        <f t="shared" si="0"/>
        <v>0</v>
      </c>
      <c r="F18" s="7"/>
      <c r="G18" s="7"/>
    </row>
    <row r="19" ht="21" customHeight="1" spans="1:7">
      <c r="A19" s="5" t="s">
        <v>13</v>
      </c>
      <c r="B19" s="6" t="s">
        <v>52</v>
      </c>
      <c r="C19" s="6">
        <v>1</v>
      </c>
      <c r="D19" s="6">
        <v>0</v>
      </c>
      <c r="E19" s="7">
        <f t="shared" si="0"/>
        <v>0</v>
      </c>
      <c r="F19" s="7"/>
      <c r="G19" s="7"/>
    </row>
    <row r="20" ht="21" customHeight="1" spans="1:7">
      <c r="A20" s="5" t="s">
        <v>13</v>
      </c>
      <c r="B20" s="6" t="s">
        <v>53</v>
      </c>
      <c r="C20" s="6">
        <v>1</v>
      </c>
      <c r="D20" s="6">
        <v>0</v>
      </c>
      <c r="E20" s="7">
        <f t="shared" si="0"/>
        <v>0</v>
      </c>
      <c r="F20" s="7"/>
      <c r="G20" s="7"/>
    </row>
    <row r="21" ht="21" customHeight="1" spans="1:7">
      <c r="A21" s="5" t="s">
        <v>15</v>
      </c>
      <c r="B21" s="6" t="s">
        <v>54</v>
      </c>
      <c r="C21" s="6">
        <v>1</v>
      </c>
      <c r="D21" s="6">
        <v>1</v>
      </c>
      <c r="E21" s="7">
        <f t="shared" si="0"/>
        <v>1</v>
      </c>
      <c r="F21" s="7">
        <f ca="1">(G21-税费参数!$B$12*SUM(税费参数!$B$9:税费参数!$B$10)/税费参数!$B$11)/(1+SUM(税费参数!$B$6:税费参数!$B$8))</f>
        <v>0.0273723838269926</v>
      </c>
      <c r="G21" s="7">
        <v>0.0301369863013699</v>
      </c>
    </row>
    <row r="22" ht="21" customHeight="1" spans="1:7">
      <c r="A22" s="5" t="s">
        <v>15</v>
      </c>
      <c r="B22" s="6" t="s">
        <v>55</v>
      </c>
      <c r="C22" s="6">
        <v>26</v>
      </c>
      <c r="D22" s="6">
        <v>25</v>
      </c>
      <c r="E22" s="7">
        <f t="shared" si="0"/>
        <v>0.961538461538462</v>
      </c>
      <c r="F22" s="7">
        <f ca="1">(G22-税费参数!$B$12*SUM(税费参数!$B$9:税费参数!$B$10)/税费参数!$B$11)/(1+SUM(税费参数!$B$6:税费参数!$B$8))</f>
        <v>0.0252246615857127</v>
      </c>
      <c r="G22" s="7">
        <v>0.0279194630872483</v>
      </c>
    </row>
    <row r="23" ht="21" customHeight="1" spans="1:7">
      <c r="A23" s="5" t="s">
        <v>15</v>
      </c>
      <c r="B23" s="6" t="s">
        <v>56</v>
      </c>
      <c r="C23" s="6">
        <v>6</v>
      </c>
      <c r="D23" s="6">
        <v>4</v>
      </c>
      <c r="E23" s="7">
        <f t="shared" si="0"/>
        <v>0.666666666666667</v>
      </c>
      <c r="F23" s="7">
        <f ca="1">(G23-税费参数!$B$12*SUM(税费参数!$B$9:税费参数!$B$10)/税费参数!$B$11)/(1+SUM(税费参数!$B$6:税费参数!$B$8))</f>
        <v>0.0245234990997703</v>
      </c>
      <c r="G23" s="7">
        <v>0.0271955128205128</v>
      </c>
    </row>
    <row r="24" ht="21" customHeight="1" spans="1:7">
      <c r="A24" s="5" t="s">
        <v>15</v>
      </c>
      <c r="B24" s="6" t="s">
        <v>57</v>
      </c>
      <c r="C24" s="6">
        <v>4</v>
      </c>
      <c r="D24" s="6">
        <v>3</v>
      </c>
      <c r="E24" s="7">
        <f t="shared" si="0"/>
        <v>0.75</v>
      </c>
      <c r="F24" s="7">
        <f ca="1">(G24-税费参数!$B$12*SUM(税费参数!$B$9:税费参数!$B$10)/税费参数!$B$11)/(1+SUM(税费参数!$B$6:税费参数!$B$8))</f>
        <v>0.0228718606086502</v>
      </c>
      <c r="G24" s="7">
        <v>0.0254901960784314</v>
      </c>
    </row>
    <row r="25" ht="21" customHeight="1" spans="1:7">
      <c r="A25" s="5" t="s">
        <v>15</v>
      </c>
      <c r="B25" s="6" t="s">
        <v>58</v>
      </c>
      <c r="C25" s="6">
        <v>27</v>
      </c>
      <c r="D25" s="6">
        <v>27</v>
      </c>
      <c r="E25" s="7">
        <f t="shared" si="0"/>
        <v>1</v>
      </c>
      <c r="F25" s="7">
        <f ca="1">(G25-税费参数!$B$12*SUM(税费参数!$B$9:税费参数!$B$10)/税费参数!$B$11)/(1+SUM(税费参数!$B$6:税费参数!$B$8))</f>
        <v>0.0221664937161305</v>
      </c>
      <c r="G25" s="7">
        <v>0.0247619047619048</v>
      </c>
    </row>
    <row r="26" ht="21" customHeight="1" spans="1:7">
      <c r="A26" s="5" t="s">
        <v>15</v>
      </c>
      <c r="B26" s="6" t="s">
        <v>59</v>
      </c>
      <c r="C26" s="6">
        <v>13</v>
      </c>
      <c r="D26" s="6">
        <v>12</v>
      </c>
      <c r="E26" s="7">
        <f t="shared" si="0"/>
        <v>0.923076923076923</v>
      </c>
      <c r="F26" s="7">
        <f ca="1">(G26-税费参数!$B$12*SUM(税费参数!$B$9:税费参数!$B$10)/税费参数!$B$11)/(1+SUM(税费参数!$B$6:税费参数!$B$8))</f>
        <v>0.0221090464119442</v>
      </c>
      <c r="G26" s="7">
        <v>0.0247025904203324</v>
      </c>
    </row>
    <row r="27" ht="21" customHeight="1" spans="1:7">
      <c r="A27" s="5" t="s">
        <v>15</v>
      </c>
      <c r="B27" s="6" t="s">
        <v>60</v>
      </c>
      <c r="C27" s="6">
        <v>2</v>
      </c>
      <c r="D27" s="6">
        <v>1</v>
      </c>
      <c r="E27" s="7">
        <f t="shared" si="0"/>
        <v>0.5</v>
      </c>
      <c r="F27" s="7">
        <f ca="1">(G27-税费参数!$B$12*SUM(税费参数!$B$9:税费参数!$B$10)/税费参数!$B$11)/(1+SUM(税费参数!$B$6:税费参数!$B$8))</f>
        <v>0.020397849701224</v>
      </c>
      <c r="G27" s="7">
        <v>0.0229357798165138</v>
      </c>
    </row>
    <row r="28" ht="21" customHeight="1" spans="1:7">
      <c r="A28" s="5" t="s">
        <v>15</v>
      </c>
      <c r="B28" s="6" t="s">
        <v>61</v>
      </c>
      <c r="C28" s="6">
        <v>1</v>
      </c>
      <c r="D28" s="6">
        <v>1</v>
      </c>
      <c r="E28" s="7">
        <f t="shared" si="0"/>
        <v>1</v>
      </c>
      <c r="F28" s="7">
        <f ca="1">(G28-税费参数!$B$12*SUM(税费参数!$B$9:税费参数!$B$10)/税费参数!$B$11)/(1+SUM(税费参数!$B$6:税费参数!$B$8))</f>
        <v>0.0201589110220359</v>
      </c>
      <c r="G28" s="7">
        <v>0.0226890756302521</v>
      </c>
    </row>
    <row r="29" ht="21" customHeight="1" spans="1:7">
      <c r="A29" s="5" t="s">
        <v>15</v>
      </c>
      <c r="B29" s="6" t="s">
        <v>62</v>
      </c>
      <c r="C29" s="6">
        <v>17</v>
      </c>
      <c r="D29" s="6">
        <v>13</v>
      </c>
      <c r="E29" s="7">
        <f t="shared" si="0"/>
        <v>0.764705882352941</v>
      </c>
      <c r="F29" s="7">
        <f ca="1">(G29-税费参数!$B$12*SUM(税费参数!$B$9:税费参数!$B$10)/税费参数!$B$11)/(1+SUM(税费参数!$B$6:税费参数!$B$8))</f>
        <v>0.0197652384461522</v>
      </c>
      <c r="G29" s="7">
        <v>0.0222826086956522</v>
      </c>
    </row>
    <row r="30" ht="21" customHeight="1" spans="1:7">
      <c r="A30" s="5" t="s">
        <v>15</v>
      </c>
      <c r="B30" s="6" t="s">
        <v>63</v>
      </c>
      <c r="C30" s="6">
        <v>4</v>
      </c>
      <c r="D30" s="6">
        <v>3</v>
      </c>
      <c r="E30" s="7">
        <f t="shared" si="0"/>
        <v>0.75</v>
      </c>
      <c r="F30" s="7">
        <f ca="1">(G30-税费参数!$B$12*SUM(税费参数!$B$9:税费参数!$B$10)/税费参数!$B$11)/(1+SUM(税费参数!$B$6:税费参数!$B$8))</f>
        <v>0.0195355491965661</v>
      </c>
      <c r="G30" s="7">
        <v>0.0220454545454545</v>
      </c>
    </row>
    <row r="31" ht="21" customHeight="1" spans="1:7">
      <c r="A31" s="5" t="s">
        <v>15</v>
      </c>
      <c r="B31" s="6" t="s">
        <v>64</v>
      </c>
      <c r="C31" s="6">
        <v>17</v>
      </c>
      <c r="D31" s="6">
        <v>14</v>
      </c>
      <c r="E31" s="7">
        <f t="shared" si="0"/>
        <v>0.823529411764706</v>
      </c>
      <c r="F31" s="7">
        <f ca="1">(G31-税费参数!$B$12*SUM(税费参数!$B$9:税费参数!$B$10)/税费参数!$B$11)/(1+SUM(税费参数!$B$6:税费参数!$B$8))</f>
        <v>0.0187940961803585</v>
      </c>
      <c r="G31" s="7">
        <v>0.0212799043062201</v>
      </c>
    </row>
    <row r="32" ht="21" customHeight="1" spans="1:7">
      <c r="A32" s="5" t="s">
        <v>15</v>
      </c>
      <c r="B32" s="6" t="s">
        <v>65</v>
      </c>
      <c r="C32" s="6">
        <v>10</v>
      </c>
      <c r="D32" s="6">
        <v>8</v>
      </c>
      <c r="E32" s="7">
        <f t="shared" si="0"/>
        <v>0.8</v>
      </c>
      <c r="F32" s="7">
        <f ca="1">(G32-税费参数!$B$12*SUM(税费参数!$B$9:税费参数!$B$10)/税费参数!$B$11)/(1+SUM(税费参数!$B$6:税费参数!$B$8))</f>
        <v>0.0186811123766612</v>
      </c>
      <c r="G32" s="7">
        <v>0.0211632485289027</v>
      </c>
    </row>
    <row r="33" ht="21" customHeight="1" spans="1:7">
      <c r="A33" s="5" t="s">
        <v>15</v>
      </c>
      <c r="B33" s="6" t="s">
        <v>66</v>
      </c>
      <c r="C33" s="6">
        <v>17</v>
      </c>
      <c r="D33" s="6">
        <v>16</v>
      </c>
      <c r="E33" s="7">
        <f t="shared" si="0"/>
        <v>0.941176470588235</v>
      </c>
      <c r="F33" s="7">
        <f ca="1">(G33-税费参数!$B$12*SUM(税费参数!$B$9:税费参数!$B$10)/税费参数!$B$11)/(1+SUM(税费参数!$B$6:税费参数!$B$8))</f>
        <v>0.0180957921359167</v>
      </c>
      <c r="G33" s="7">
        <v>0.020558905380334</v>
      </c>
    </row>
    <row r="34" ht="21" customHeight="1" spans="1:7">
      <c r="A34" s="5" t="s">
        <v>15</v>
      </c>
      <c r="B34" s="6" t="s">
        <v>67</v>
      </c>
      <c r="C34" s="6">
        <v>3</v>
      </c>
      <c r="D34" s="6">
        <v>3</v>
      </c>
      <c r="E34" s="7">
        <f t="shared" si="0"/>
        <v>1</v>
      </c>
      <c r="F34" s="7">
        <f ca="1">(G34-税费参数!$B$12*SUM(税费参数!$B$9:税费参数!$B$10)/税费参数!$B$11)/(1+SUM(税费参数!$B$6:税费参数!$B$8))</f>
        <v>0.0175544794188862</v>
      </c>
      <c r="G34" s="7">
        <v>0.02</v>
      </c>
    </row>
    <row r="35" ht="21" customHeight="1" spans="1:7">
      <c r="A35" s="5" t="s">
        <v>15</v>
      </c>
      <c r="B35" s="6" t="s">
        <v>68</v>
      </c>
      <c r="C35" s="6">
        <v>7</v>
      </c>
      <c r="D35" s="6">
        <v>5</v>
      </c>
      <c r="E35" s="7">
        <f t="shared" si="0"/>
        <v>0.714285714285714</v>
      </c>
      <c r="F35" s="7">
        <f ca="1">(G35-税费参数!$B$12*SUM(税费参数!$B$9:税费参数!$B$10)/税费参数!$B$11)/(1+SUM(税费参数!$B$6:税费参数!$B$8))</f>
        <v>0.0169902912621359</v>
      </c>
      <c r="G35" s="7">
        <v>0.0194174757281553</v>
      </c>
    </row>
    <row r="36" ht="21" customHeight="1" spans="1:7">
      <c r="A36" s="5" t="s">
        <v>15</v>
      </c>
      <c r="B36" s="6" t="s">
        <v>69</v>
      </c>
      <c r="C36" s="6">
        <v>1</v>
      </c>
      <c r="D36" s="6">
        <v>0</v>
      </c>
      <c r="E36" s="7">
        <f t="shared" si="0"/>
        <v>0</v>
      </c>
      <c r="F36" s="7"/>
      <c r="G36" s="7"/>
    </row>
    <row r="37" ht="21" customHeight="1" spans="1:7">
      <c r="A37" s="5" t="s">
        <v>15</v>
      </c>
      <c r="B37" s="6" t="s">
        <v>70</v>
      </c>
      <c r="C37" s="6">
        <v>1</v>
      </c>
      <c r="D37" s="6">
        <v>0</v>
      </c>
      <c r="E37" s="7">
        <f t="shared" si="0"/>
        <v>0</v>
      </c>
      <c r="F37" s="7"/>
      <c r="G37" s="7"/>
    </row>
    <row r="38" ht="21" customHeight="1" spans="1:7">
      <c r="A38" s="5" t="s">
        <v>15</v>
      </c>
      <c r="B38" s="6" t="s">
        <v>71</v>
      </c>
      <c r="C38" s="6">
        <v>24</v>
      </c>
      <c r="D38" s="6">
        <v>0</v>
      </c>
      <c r="E38" s="7">
        <f t="shared" si="0"/>
        <v>0</v>
      </c>
      <c r="F38" s="7"/>
      <c r="G38" s="7"/>
    </row>
    <row r="39" ht="21" customHeight="1" spans="1:7">
      <c r="A39" s="5" t="s">
        <v>12</v>
      </c>
      <c r="B39" s="6" t="s">
        <v>72</v>
      </c>
      <c r="C39" s="6">
        <v>5</v>
      </c>
      <c r="D39" s="6">
        <v>5</v>
      </c>
      <c r="E39" s="7">
        <f t="shared" si="0"/>
        <v>1</v>
      </c>
      <c r="F39" s="7">
        <f ca="1">(G39-税费参数!$B$12*SUM(税费参数!$B$9:税费参数!$B$10)/税费参数!$B$11)/(1+SUM(税费参数!$B$6:税费参数!$B$8))</f>
        <v>0.0393462469733656</v>
      </c>
      <c r="G39" s="7">
        <v>0.0425</v>
      </c>
    </row>
    <row r="40" ht="21" customHeight="1" spans="1:7">
      <c r="A40" s="5" t="s">
        <v>12</v>
      </c>
      <c r="B40" s="6" t="s">
        <v>73</v>
      </c>
      <c r="C40" s="6">
        <v>1</v>
      </c>
      <c r="D40" s="6">
        <v>1</v>
      </c>
      <c r="E40" s="7">
        <f t="shared" si="0"/>
        <v>1</v>
      </c>
      <c r="F40" s="7">
        <f ca="1">(G40-税费参数!$B$12*SUM(税费参数!$B$9:税费参数!$B$10)/税费参数!$B$11)/(1+SUM(税费参数!$B$6:税费参数!$B$8))</f>
        <v>0.0315442561205273</v>
      </c>
      <c r="G40" s="7">
        <v>0.0344444444444444</v>
      </c>
    </row>
    <row r="41" ht="21" customHeight="1" spans="1:7">
      <c r="A41" s="5" t="s">
        <v>12</v>
      </c>
      <c r="B41" s="6" t="s">
        <v>74</v>
      </c>
      <c r="C41" s="6">
        <v>19</v>
      </c>
      <c r="D41" s="6">
        <v>16</v>
      </c>
      <c r="E41" s="7">
        <f t="shared" si="0"/>
        <v>0.842105263157895</v>
      </c>
      <c r="F41" s="7">
        <f ca="1">(G41-税费参数!$B$12*SUM(税费参数!$B$9:税费参数!$B$10)/税费参数!$B$11)/(1+SUM(税费参数!$B$6:税费参数!$B$8))</f>
        <v>0.0295964940282339</v>
      </c>
      <c r="G41" s="7">
        <v>0.0324333800841515</v>
      </c>
    </row>
    <row r="42" ht="21" customHeight="1" spans="1:7">
      <c r="A42" s="5" t="s">
        <v>12</v>
      </c>
      <c r="B42" s="6" t="s">
        <v>75</v>
      </c>
      <c r="C42" s="6">
        <v>3</v>
      </c>
      <c r="D42" s="6">
        <v>3</v>
      </c>
      <c r="E42" s="7">
        <f t="shared" si="0"/>
        <v>1</v>
      </c>
      <c r="F42" s="7">
        <f ca="1">(G42-税费参数!$B$12*SUM(税费参数!$B$9:税费参数!$B$10)/税费参数!$B$11)/(1+SUM(税费参数!$B$6:税费参数!$B$8))</f>
        <v>0.0288334814724002</v>
      </c>
      <c r="G42" s="7">
        <v>0.0316455696202532</v>
      </c>
    </row>
    <row r="43" ht="21" customHeight="1" spans="1:7">
      <c r="A43" s="5" t="s">
        <v>12</v>
      </c>
      <c r="B43" s="6" t="s">
        <v>76</v>
      </c>
      <c r="C43" s="6">
        <v>3</v>
      </c>
      <c r="D43" s="6">
        <v>2</v>
      </c>
      <c r="E43" s="7">
        <f t="shared" si="0"/>
        <v>0.666666666666667</v>
      </c>
      <c r="F43" s="7">
        <f ca="1">(G43-税费参数!$B$12*SUM(税费参数!$B$9:税费参数!$B$10)/税费参数!$B$11)/(1+SUM(税费参数!$B$6:税费参数!$B$8))</f>
        <v>0.0283572359843546</v>
      </c>
      <c r="G43" s="7">
        <v>0.0311538461538462</v>
      </c>
    </row>
    <row r="44" ht="21" customHeight="1" spans="1:7">
      <c r="A44" s="5" t="s">
        <v>12</v>
      </c>
      <c r="B44" s="6" t="s">
        <v>77</v>
      </c>
      <c r="C44" s="6">
        <v>12</v>
      </c>
      <c r="D44" s="6">
        <v>12</v>
      </c>
      <c r="E44" s="7">
        <f t="shared" si="0"/>
        <v>1</v>
      </c>
      <c r="F44" s="7">
        <f ca="1">(G44-税费参数!$B$12*SUM(税费参数!$B$9:税费参数!$B$10)/税费参数!$B$11)/(1+SUM(税费参数!$B$6:税费参数!$B$8))</f>
        <v>0.0246242671837556</v>
      </c>
      <c r="G44" s="7">
        <v>0.0272995558672277</v>
      </c>
    </row>
    <row r="45" ht="21" customHeight="1" spans="1:7">
      <c r="A45" s="5" t="s">
        <v>12</v>
      </c>
      <c r="B45" s="6" t="s">
        <v>78</v>
      </c>
      <c r="C45" s="6">
        <v>6</v>
      </c>
      <c r="D45" s="6">
        <v>5</v>
      </c>
      <c r="E45" s="7">
        <f t="shared" si="0"/>
        <v>0.833333333333333</v>
      </c>
      <c r="F45" s="7">
        <f ca="1">(G45-税费参数!$B$12*SUM(税费参数!$B$9:税费参数!$B$10)/税费参数!$B$11)/(1+SUM(税费参数!$B$6:税费参数!$B$8))</f>
        <v>0.0227199354317998</v>
      </c>
      <c r="G45" s="7">
        <v>0.0253333333333333</v>
      </c>
    </row>
    <row r="46" ht="21" customHeight="1" spans="1:7">
      <c r="A46" s="5" t="s">
        <v>12</v>
      </c>
      <c r="B46" s="6" t="s">
        <v>79</v>
      </c>
      <c r="C46" s="6">
        <v>3</v>
      </c>
      <c r="D46" s="6">
        <v>2</v>
      </c>
      <c r="E46" s="7">
        <f t="shared" si="0"/>
        <v>0.666666666666667</v>
      </c>
      <c r="F46" s="7">
        <f ca="1">(G46-税费参数!$B$12*SUM(税费参数!$B$9:税费参数!$B$10)/税费参数!$B$11)/(1+SUM(税费参数!$B$6:税费参数!$B$8))</f>
        <v>0.0211304334674513</v>
      </c>
      <c r="G46" s="7">
        <v>0.0236921725551435</v>
      </c>
    </row>
    <row r="47" ht="21" customHeight="1" spans="1:7">
      <c r="A47" s="5" t="s">
        <v>12</v>
      </c>
      <c r="B47" s="6" t="s">
        <v>80</v>
      </c>
      <c r="C47" s="6">
        <v>2</v>
      </c>
      <c r="D47" s="6">
        <v>1</v>
      </c>
      <c r="E47" s="7">
        <f t="shared" si="0"/>
        <v>0.5</v>
      </c>
      <c r="F47" s="7">
        <f ca="1">(G47-税费参数!$B$12*SUM(税费参数!$B$9:税费参数!$B$10)/税费参数!$B$11)/(1+SUM(税费参数!$B$6:税费参数!$B$8))</f>
        <v>0.0143260694108152</v>
      </c>
      <c r="G47" s="7">
        <v>0.0166666666666667</v>
      </c>
    </row>
    <row r="48" ht="21" customHeight="1" spans="1:7">
      <c r="A48" s="5" t="s">
        <v>12</v>
      </c>
      <c r="B48" s="6" t="s">
        <v>81</v>
      </c>
      <c r="C48" s="6">
        <v>1</v>
      </c>
      <c r="D48" s="6">
        <v>0</v>
      </c>
      <c r="E48" s="7">
        <f t="shared" si="0"/>
        <v>0</v>
      </c>
      <c r="F48" s="7"/>
      <c r="G48" s="7"/>
    </row>
    <row r="49" ht="21" customHeight="1" spans="1:7">
      <c r="A49" s="5" t="s">
        <v>9</v>
      </c>
      <c r="B49" s="6" t="s">
        <v>82</v>
      </c>
      <c r="C49" s="6">
        <v>1</v>
      </c>
      <c r="D49" s="6">
        <v>1</v>
      </c>
      <c r="E49" s="7">
        <f t="shared" si="0"/>
        <v>1</v>
      </c>
      <c r="F49" s="7">
        <f ca="1">(G49-税费参数!$B$12*SUM(税费参数!$B$9:税费参数!$B$10)/税费参数!$B$11)/(1+SUM(税费参数!$B$6:税费参数!$B$8))</f>
        <v>0.0380643782936904</v>
      </c>
      <c r="G49" s="7">
        <v>0.0411764705882353</v>
      </c>
    </row>
    <row r="50" ht="21" customHeight="1" spans="1:7">
      <c r="A50" s="5" t="s">
        <v>9</v>
      </c>
      <c r="B50" s="6" t="s">
        <v>83</v>
      </c>
      <c r="C50" s="6">
        <v>15</v>
      </c>
      <c r="D50" s="6">
        <v>12</v>
      </c>
      <c r="E50" s="7">
        <f t="shared" si="0"/>
        <v>0.8</v>
      </c>
      <c r="F50" s="7">
        <f ca="1">(G50-税费参数!$B$12*SUM(税费参数!$B$9:税费参数!$B$10)/税费参数!$B$11)/(1+SUM(税费参数!$B$6:税费参数!$B$8))</f>
        <v>0.0328236826273416</v>
      </c>
      <c r="G50" s="7">
        <v>0.0357654523127302</v>
      </c>
    </row>
    <row r="51" ht="21" customHeight="1" spans="1:7">
      <c r="A51" s="5" t="s">
        <v>9</v>
      </c>
      <c r="B51" s="6" t="s">
        <v>84</v>
      </c>
      <c r="C51" s="6">
        <v>6</v>
      </c>
      <c r="D51" s="6">
        <v>1</v>
      </c>
      <c r="E51" s="7">
        <f t="shared" si="0"/>
        <v>0.166666666666667</v>
      </c>
      <c r="F51" s="7">
        <f ca="1">(G51-税费参数!$B$12*SUM(税费参数!$B$9:税费参数!$B$10)/税费参数!$B$11)/(1+SUM(税费参数!$B$6:税费参数!$B$8))</f>
        <v>0.0253026634382567</v>
      </c>
      <c r="G51" s="7">
        <v>0.028</v>
      </c>
    </row>
    <row r="52" ht="21" customHeight="1" spans="1:7">
      <c r="A52" s="5" t="s">
        <v>9</v>
      </c>
      <c r="B52" s="6" t="s">
        <v>85</v>
      </c>
      <c r="C52" s="6">
        <v>10</v>
      </c>
      <c r="D52" s="6">
        <v>10</v>
      </c>
      <c r="E52" s="7">
        <f t="shared" si="0"/>
        <v>1</v>
      </c>
      <c r="F52" s="7">
        <f ca="1">(G52-税费参数!$B$12*SUM(税费参数!$B$9:税费参数!$B$10)/税费参数!$B$11)/(1+SUM(税费参数!$B$6:税费参数!$B$8))</f>
        <v>0.025231124807396</v>
      </c>
      <c r="G52" s="7">
        <v>0.0279261363636364</v>
      </c>
    </row>
    <row r="53" ht="21" customHeight="1" spans="1:7">
      <c r="A53" s="5" t="s">
        <v>9</v>
      </c>
      <c r="B53" s="6" t="s">
        <v>86</v>
      </c>
      <c r="C53" s="6">
        <v>6</v>
      </c>
      <c r="D53" s="6">
        <v>2</v>
      </c>
      <c r="E53" s="7">
        <f t="shared" si="0"/>
        <v>0.333333333333333</v>
      </c>
      <c r="F53" s="7">
        <f ca="1">(G53-税费参数!$B$12*SUM(税费参数!$B$9:税费参数!$B$10)/税费参数!$B$11)/(1+SUM(税费参数!$B$6:税费参数!$B$8))</f>
        <v>0.0252100613873574</v>
      </c>
      <c r="G53" s="7">
        <v>0.0279043883824465</v>
      </c>
    </row>
    <row r="54" ht="21" customHeight="1" spans="1:7">
      <c r="A54" s="5" t="s">
        <v>9</v>
      </c>
      <c r="B54" s="6" t="s">
        <v>87</v>
      </c>
      <c r="C54" s="6">
        <v>5</v>
      </c>
      <c r="D54" s="6">
        <v>4</v>
      </c>
      <c r="E54" s="7">
        <f t="shared" si="0"/>
        <v>0.8</v>
      </c>
      <c r="F54" s="7">
        <f ca="1">(G54-税费参数!$B$12*SUM(税费参数!$B$9:税费参数!$B$10)/税费参数!$B$11)/(1+SUM(税费参数!$B$6:税费参数!$B$8))</f>
        <v>0.024201266637294</v>
      </c>
      <c r="G54" s="7">
        <v>0.0268628078030061</v>
      </c>
    </row>
    <row r="55" ht="21" customHeight="1" spans="1:7">
      <c r="A55" s="5" t="s">
        <v>9</v>
      </c>
      <c r="B55" s="6" t="s">
        <v>88</v>
      </c>
      <c r="C55" s="6">
        <v>4</v>
      </c>
      <c r="D55" s="6">
        <v>4</v>
      </c>
      <c r="E55" s="7">
        <f t="shared" si="0"/>
        <v>1</v>
      </c>
      <c r="F55" s="7">
        <f ca="1">(G55-税费参数!$B$12*SUM(税费参数!$B$9:税费参数!$B$10)/税费参数!$B$11)/(1+SUM(税费参数!$B$6:税费参数!$B$8))</f>
        <v>0.0235606518137643</v>
      </c>
      <c r="G55" s="7">
        <v>0.0262013729977117</v>
      </c>
    </row>
    <row r="56" ht="21" customHeight="1" spans="1:7">
      <c r="A56" s="5" t="s">
        <v>9</v>
      </c>
      <c r="B56" s="6" t="s">
        <v>89</v>
      </c>
      <c r="C56" s="6">
        <v>8</v>
      </c>
      <c r="D56" s="6">
        <v>4</v>
      </c>
      <c r="E56" s="7">
        <f t="shared" si="0"/>
        <v>0.5</v>
      </c>
      <c r="F56" s="7">
        <f ca="1">(G56-税费参数!$B$12*SUM(税费参数!$B$9:税费参数!$B$10)/税费参数!$B$11)/(1+SUM(税费参数!$B$6:税费参数!$B$8))</f>
        <v>0.0220812717128119</v>
      </c>
      <c r="G56" s="7">
        <v>0.0246739130434783</v>
      </c>
    </row>
    <row r="57" ht="21" customHeight="1" spans="1:7">
      <c r="A57" s="5" t="s">
        <v>9</v>
      </c>
      <c r="B57" s="6" t="s">
        <v>90</v>
      </c>
      <c r="C57" s="6">
        <v>4</v>
      </c>
      <c r="D57" s="6">
        <v>3</v>
      </c>
      <c r="E57" s="7">
        <f t="shared" si="0"/>
        <v>0.75</v>
      </c>
      <c r="F57" s="7">
        <f ca="1">(G57-税费参数!$B$12*SUM(税费参数!$B$9:税费参数!$B$10)/税费参数!$B$11)/(1+SUM(税费参数!$B$6:税费参数!$B$8))</f>
        <v>0.0192928540386168</v>
      </c>
      <c r="G57" s="7">
        <v>0.0217948717948718</v>
      </c>
    </row>
    <row r="58" ht="21" customHeight="1" spans="1:7">
      <c r="A58" s="5" t="s">
        <v>9</v>
      </c>
      <c r="B58" s="6" t="s">
        <v>91</v>
      </c>
      <c r="C58" s="6">
        <v>1</v>
      </c>
      <c r="D58" s="6">
        <v>0</v>
      </c>
      <c r="E58" s="7">
        <f t="shared" si="0"/>
        <v>0</v>
      </c>
      <c r="F58" s="7"/>
      <c r="G58" s="7"/>
    </row>
    <row r="59" ht="21" customHeight="1" spans="1:7">
      <c r="A59" s="5" t="s">
        <v>9</v>
      </c>
      <c r="B59" s="6" t="s">
        <v>92</v>
      </c>
      <c r="C59" s="6">
        <v>1</v>
      </c>
      <c r="D59" s="6">
        <v>0</v>
      </c>
      <c r="E59" s="7">
        <f t="shared" si="0"/>
        <v>0</v>
      </c>
      <c r="F59" s="7"/>
      <c r="G59" s="7"/>
    </row>
    <row r="60" ht="21" customHeight="1" spans="1:7">
      <c r="A60" s="5" t="s">
        <v>9</v>
      </c>
      <c r="B60" s="6" t="s">
        <v>93</v>
      </c>
      <c r="C60" s="6">
        <v>1</v>
      </c>
      <c r="D60" s="6">
        <v>0</v>
      </c>
      <c r="E60" s="7">
        <f t="shared" si="0"/>
        <v>0</v>
      </c>
      <c r="F60" s="7"/>
      <c r="G60" s="7"/>
    </row>
    <row r="61" ht="21" customHeight="1" spans="1:7">
      <c r="A61" s="5" t="s">
        <v>9</v>
      </c>
      <c r="B61" s="6" t="s">
        <v>94</v>
      </c>
      <c r="C61" s="6">
        <v>1</v>
      </c>
      <c r="D61" s="6">
        <v>0</v>
      </c>
      <c r="E61" s="7">
        <f t="shared" si="0"/>
        <v>0</v>
      </c>
      <c r="F61" s="7"/>
      <c r="G61" s="7"/>
    </row>
    <row r="62" ht="21" customHeight="1" spans="1:7">
      <c r="A62" s="5" t="s">
        <v>9</v>
      </c>
      <c r="B62" s="6" t="s">
        <v>95</v>
      </c>
      <c r="C62" s="6">
        <v>2</v>
      </c>
      <c r="D62" s="6">
        <v>0</v>
      </c>
      <c r="E62" s="7">
        <f t="shared" si="0"/>
        <v>0</v>
      </c>
      <c r="F62" s="7"/>
      <c r="G62" s="7"/>
    </row>
    <row r="63" ht="21" customHeight="1" spans="1:7">
      <c r="A63" s="5" t="s">
        <v>9</v>
      </c>
      <c r="B63" s="6" t="s">
        <v>96</v>
      </c>
      <c r="C63" s="6">
        <v>1</v>
      </c>
      <c r="D63" s="6">
        <v>0</v>
      </c>
      <c r="E63" s="7">
        <f t="shared" si="0"/>
        <v>0</v>
      </c>
      <c r="F63" s="7"/>
      <c r="G63" s="7"/>
    </row>
    <row r="64" ht="21" customHeight="1" spans="1:7">
      <c r="A64" s="5" t="s">
        <v>9</v>
      </c>
      <c r="B64" s="6" t="s">
        <v>97</v>
      </c>
      <c r="C64" s="6">
        <v>2</v>
      </c>
      <c r="D64" s="6">
        <v>0</v>
      </c>
      <c r="E64" s="7">
        <f t="shared" si="0"/>
        <v>0</v>
      </c>
      <c r="F64" s="7"/>
      <c r="G64" s="7"/>
    </row>
    <row r="65" ht="21" customHeight="1" spans="1:7">
      <c r="A65" s="5" t="s">
        <v>9</v>
      </c>
      <c r="B65" s="6" t="s">
        <v>98</v>
      </c>
      <c r="C65" s="6">
        <v>2</v>
      </c>
      <c r="D65" s="6">
        <v>0</v>
      </c>
      <c r="E65" s="7">
        <f t="shared" si="0"/>
        <v>0</v>
      </c>
      <c r="F65" s="7"/>
      <c r="G65" s="7"/>
    </row>
    <row r="66" ht="21" customHeight="1" spans="1:7">
      <c r="A66" s="5" t="s">
        <v>9</v>
      </c>
      <c r="B66" s="6" t="s">
        <v>99</v>
      </c>
      <c r="C66" s="6">
        <v>1</v>
      </c>
      <c r="D66" s="6">
        <v>0</v>
      </c>
      <c r="E66" s="7">
        <f t="shared" si="0"/>
        <v>0</v>
      </c>
      <c r="F66" s="7"/>
      <c r="G66" s="7"/>
    </row>
    <row r="67" ht="21" customHeight="1" spans="1:7">
      <c r="A67" s="5" t="s">
        <v>10</v>
      </c>
      <c r="B67" s="6" t="s">
        <v>100</v>
      </c>
      <c r="C67" s="6">
        <v>15</v>
      </c>
      <c r="D67" s="6">
        <v>11</v>
      </c>
      <c r="E67" s="7">
        <f t="shared" si="0"/>
        <v>0.733333333333333</v>
      </c>
      <c r="F67" s="7">
        <f ca="1">(G67-税费参数!$B$12*SUM(税费参数!$B$9:税费参数!$B$10)/税费参数!$B$11)/(1+SUM(税费参数!$B$6:税费参数!$B$8))</f>
        <v>0.0372974483143975</v>
      </c>
      <c r="G67" s="7">
        <v>0.0403846153846154</v>
      </c>
    </row>
    <row r="68" ht="21" customHeight="1" spans="1:7">
      <c r="A68" s="5" t="s">
        <v>10</v>
      </c>
      <c r="B68" s="6" t="s">
        <v>101</v>
      </c>
      <c r="C68" s="6">
        <v>1</v>
      </c>
      <c r="D68" s="6">
        <v>1</v>
      </c>
      <c r="E68" s="7">
        <f t="shared" si="0"/>
        <v>1</v>
      </c>
      <c r="F68" s="7">
        <f ca="1">(G68-税费参数!$B$12*SUM(税费参数!$B$9:税费参数!$B$10)/税费参数!$B$11)/(1+SUM(税费参数!$B$6:税费参数!$B$8))</f>
        <v>0.0338664457754556</v>
      </c>
      <c r="G68" s="7">
        <v>0.0368421052631579</v>
      </c>
    </row>
    <row r="69" ht="21" customHeight="1" spans="1:7">
      <c r="A69" s="5" t="s">
        <v>10</v>
      </c>
      <c r="B69" s="6" t="s">
        <v>102</v>
      </c>
      <c r="C69" s="6">
        <v>6</v>
      </c>
      <c r="D69" s="6">
        <v>2</v>
      </c>
      <c r="E69" s="7">
        <f t="shared" si="0"/>
        <v>0.333333333333333</v>
      </c>
      <c r="F69" s="7">
        <f ca="1">(G69-税费参数!$B$12*SUM(税费参数!$B$9:税费参数!$B$10)/税费参数!$B$11)/(1+SUM(税费参数!$B$6:税费参数!$B$8))</f>
        <v>0.0316708214554086</v>
      </c>
      <c r="G69" s="7">
        <v>0.0345751231527094</v>
      </c>
    </row>
    <row r="70" ht="21" customHeight="1" spans="1:7">
      <c r="A70" s="5" t="s">
        <v>10</v>
      </c>
      <c r="B70" s="6" t="s">
        <v>103</v>
      </c>
      <c r="C70" s="6">
        <v>2</v>
      </c>
      <c r="D70" s="6">
        <v>2</v>
      </c>
      <c r="E70" s="7">
        <f t="shared" si="0"/>
        <v>1</v>
      </c>
      <c r="F70" s="7">
        <f ca="1">(G70-税费参数!$B$12*SUM(税费参数!$B$9:税费参数!$B$10)/税费参数!$B$11)/(1+SUM(税费参数!$B$6:税费参数!$B$8))</f>
        <v>0.0314366424535916</v>
      </c>
      <c r="G70" s="7">
        <v>0.0343333333333333</v>
      </c>
    </row>
    <row r="71" ht="21" customHeight="1" spans="1:7">
      <c r="A71" s="5" t="s">
        <v>10</v>
      </c>
      <c r="B71" s="6" t="s">
        <v>104</v>
      </c>
      <c r="C71" s="6">
        <v>4</v>
      </c>
      <c r="D71" s="6">
        <v>4</v>
      </c>
      <c r="E71" s="7">
        <f t="shared" ref="E71:E110" si="1">D71/C71</f>
        <v>1</v>
      </c>
      <c r="F71" s="7">
        <f ca="1">(G71-税费参数!$B$12*SUM(税费参数!$B$9:税费参数!$B$10)/税费参数!$B$11)/(1+SUM(税费参数!$B$6:税费参数!$B$8))</f>
        <v>0.0311407048695184</v>
      </c>
      <c r="G71" s="7">
        <v>0.0340277777777778</v>
      </c>
    </row>
    <row r="72" ht="21" customHeight="1" spans="1:7">
      <c r="A72" s="5" t="s">
        <v>10</v>
      </c>
      <c r="B72" s="6" t="s">
        <v>105</v>
      </c>
      <c r="C72" s="6">
        <v>7</v>
      </c>
      <c r="D72" s="6">
        <v>7</v>
      </c>
      <c r="E72" s="7">
        <f t="shared" si="1"/>
        <v>1</v>
      </c>
      <c r="F72" s="7">
        <f ca="1">(G72-税费参数!$B$12*SUM(税费参数!$B$9:税费参数!$B$10)/税费参数!$B$11)/(1+SUM(税费参数!$B$6:税费参数!$B$8))</f>
        <v>0.0270782889426957</v>
      </c>
      <c r="G72" s="7">
        <v>0.0298333333333333</v>
      </c>
    </row>
    <row r="73" ht="21" customHeight="1" spans="1:7">
      <c r="A73" s="5" t="s">
        <v>10</v>
      </c>
      <c r="B73" s="6" t="s">
        <v>106</v>
      </c>
      <c r="C73" s="6">
        <v>3</v>
      </c>
      <c r="D73" s="6">
        <v>3</v>
      </c>
      <c r="E73" s="7">
        <f t="shared" si="1"/>
        <v>1</v>
      </c>
      <c r="F73" s="7">
        <f ca="1">(G73-税费参数!$B$12*SUM(税费参数!$B$9:税费参数!$B$10)/税费参数!$B$11)/(1+SUM(税费参数!$B$6:税费参数!$B$8))</f>
        <v>0.0255213621807389</v>
      </c>
      <c r="G73" s="7">
        <v>0.0282258064516129</v>
      </c>
    </row>
    <row r="74" ht="21" customHeight="1" spans="1:7">
      <c r="A74" s="5" t="s">
        <v>14</v>
      </c>
      <c r="B74" s="6" t="s">
        <v>107</v>
      </c>
      <c r="C74" s="6">
        <v>4</v>
      </c>
      <c r="D74" s="6">
        <v>1</v>
      </c>
      <c r="E74" s="7">
        <f t="shared" si="1"/>
        <v>0.25</v>
      </c>
      <c r="F74" s="7">
        <f ca="1">(G74-税费参数!$B$12*SUM(税费参数!$B$9:税费参数!$B$10)/税费参数!$B$11)/(1+SUM(税费参数!$B$6:税费参数!$B$8))</f>
        <v>0.0263024291181754</v>
      </c>
      <c r="G74" s="7">
        <v>0.0290322580645161</v>
      </c>
    </row>
    <row r="75" ht="21" customHeight="1" spans="1:7">
      <c r="A75" s="5" t="s">
        <v>14</v>
      </c>
      <c r="B75" s="6" t="s">
        <v>108</v>
      </c>
      <c r="C75" s="6">
        <v>7</v>
      </c>
      <c r="D75" s="6">
        <v>7</v>
      </c>
      <c r="E75" s="7">
        <f t="shared" si="1"/>
        <v>1</v>
      </c>
      <c r="F75" s="7">
        <f ca="1">(G75-税费参数!$B$12*SUM(税费参数!$B$9:税费参数!$B$10)/税费参数!$B$11)/(1+SUM(税费参数!$B$6:税费参数!$B$8))</f>
        <v>0.0228454847098915</v>
      </c>
      <c r="G75" s="7">
        <v>0.025462962962963</v>
      </c>
    </row>
    <row r="76" ht="21" customHeight="1" spans="1:7">
      <c r="A76" s="5" t="s">
        <v>14</v>
      </c>
      <c r="B76" s="6" t="s">
        <v>109</v>
      </c>
      <c r="C76" s="6">
        <v>3</v>
      </c>
      <c r="D76" s="6">
        <v>0</v>
      </c>
      <c r="E76" s="7">
        <f t="shared" si="1"/>
        <v>0</v>
      </c>
      <c r="F76" s="7"/>
      <c r="G76" s="7"/>
    </row>
    <row r="77" ht="21" customHeight="1" spans="1:7">
      <c r="A77" s="5" t="s">
        <v>16</v>
      </c>
      <c r="B77" s="6" t="s">
        <v>110</v>
      </c>
      <c r="C77" s="6">
        <v>6</v>
      </c>
      <c r="D77" s="6">
        <v>3</v>
      </c>
      <c r="E77" s="7">
        <f t="shared" si="1"/>
        <v>0.5</v>
      </c>
      <c r="F77" s="7">
        <f ca="1">(G77-税费参数!$B$12*SUM(税费参数!$B$9:税费参数!$B$10)/税费参数!$B$11)/(1+SUM(税费参数!$B$6:税费参数!$B$8))</f>
        <v>0.0304681194511703</v>
      </c>
      <c r="G77" s="7">
        <v>0.0333333333333333</v>
      </c>
    </row>
    <row r="78" ht="21" customHeight="1" spans="1:7">
      <c r="A78" s="5" t="s">
        <v>16</v>
      </c>
      <c r="B78" s="6" t="s">
        <v>111</v>
      </c>
      <c r="C78" s="6">
        <v>3</v>
      </c>
      <c r="D78" s="6">
        <v>2</v>
      </c>
      <c r="E78" s="7">
        <f t="shared" si="1"/>
        <v>0.666666666666667</v>
      </c>
      <c r="F78" s="7">
        <f ca="1">(G78-税费参数!$B$12*SUM(税费参数!$B$9:税费参数!$B$10)/税费参数!$B$11)/(1+SUM(税费参数!$B$6:税费参数!$B$8))</f>
        <v>0.0303030303030303</v>
      </c>
      <c r="G78" s="7">
        <v>0.0331628787878788</v>
      </c>
    </row>
    <row r="79" ht="21" customHeight="1" spans="1:7">
      <c r="A79" s="5" t="s">
        <v>16</v>
      </c>
      <c r="B79" s="6" t="s">
        <v>112</v>
      </c>
      <c r="C79" s="6">
        <v>4</v>
      </c>
      <c r="D79" s="6">
        <v>4</v>
      </c>
      <c r="E79" s="7">
        <f t="shared" si="1"/>
        <v>1</v>
      </c>
      <c r="F79" s="7">
        <f ca="1">(G79-税费参数!$B$12*SUM(税费参数!$B$9:税费参数!$B$10)/税费参数!$B$11)/(1+SUM(税费参数!$B$6:税费参数!$B$8))</f>
        <v>0.0290181897314425</v>
      </c>
      <c r="G79" s="7">
        <v>0.0318362808977143</v>
      </c>
    </row>
    <row r="80" ht="21" customHeight="1" spans="1:7">
      <c r="A80" s="5" t="s">
        <v>16</v>
      </c>
      <c r="B80" s="6" t="s">
        <v>113</v>
      </c>
      <c r="C80" s="6">
        <v>16</v>
      </c>
      <c r="D80" s="6">
        <v>6</v>
      </c>
      <c r="E80" s="7">
        <f t="shared" si="1"/>
        <v>0.375</v>
      </c>
      <c r="F80" s="7">
        <f ca="1">(G80-税费参数!$B$12*SUM(税费参数!$B$9:税费参数!$B$10)/税费参数!$B$11)/(1+SUM(税费参数!$B$6:税费参数!$B$8))</f>
        <v>0.0272271195433464</v>
      </c>
      <c r="G80" s="7">
        <v>0.0299870009285051</v>
      </c>
    </row>
    <row r="81" ht="21" customHeight="1" spans="1:7">
      <c r="A81" s="5" t="s">
        <v>16</v>
      </c>
      <c r="B81" s="6" t="s">
        <v>114</v>
      </c>
      <c r="C81" s="6">
        <v>9</v>
      </c>
      <c r="D81" s="6">
        <v>5</v>
      </c>
      <c r="E81" s="7">
        <f t="shared" si="1"/>
        <v>0.555555555555556</v>
      </c>
      <c r="F81" s="7">
        <f ca="1">(G81-税费参数!$B$12*SUM(税费参数!$B$9:税费参数!$B$10)/税费参数!$B$11)/(1+SUM(税费参数!$B$6:税费参数!$B$8))</f>
        <v>0.026271186440678</v>
      </c>
      <c r="G81" s="7">
        <v>0.029</v>
      </c>
    </row>
    <row r="82" ht="21" customHeight="1" spans="1:7">
      <c r="A82" s="5" t="s">
        <v>16</v>
      </c>
      <c r="B82" s="6" t="s">
        <v>115</v>
      </c>
      <c r="C82" s="6">
        <v>10</v>
      </c>
      <c r="D82" s="6">
        <v>8</v>
      </c>
      <c r="E82" s="7">
        <f t="shared" si="1"/>
        <v>0.8</v>
      </c>
      <c r="F82" s="7">
        <f ca="1">(G82-税费参数!$B$12*SUM(税费参数!$B$9:税费参数!$B$10)/税费参数!$B$11)/(1+SUM(税费参数!$B$6:税费参数!$B$8))</f>
        <v>0.0259163227495074</v>
      </c>
      <c r="G82" s="7">
        <v>0.0286336032388664</v>
      </c>
    </row>
    <row r="83" ht="21" customHeight="1" spans="1:7">
      <c r="A83" s="5" t="s">
        <v>16</v>
      </c>
      <c r="B83" s="6" t="s">
        <v>116</v>
      </c>
      <c r="C83" s="6">
        <v>15</v>
      </c>
      <c r="D83" s="6">
        <v>15</v>
      </c>
      <c r="E83" s="7">
        <f t="shared" si="1"/>
        <v>1</v>
      </c>
      <c r="F83" s="7">
        <f ca="1">(G83-税费参数!$B$12*SUM(税费参数!$B$9:税费参数!$B$10)/税费参数!$B$11)/(1+SUM(税费参数!$B$6:税费参数!$B$8))</f>
        <v>0.0256468644296654</v>
      </c>
      <c r="G83" s="7">
        <v>0.0283553875236295</v>
      </c>
    </row>
    <row r="84" ht="21" customHeight="1" spans="1:7">
      <c r="A84" s="5" t="s">
        <v>16</v>
      </c>
      <c r="B84" s="6" t="s">
        <v>117</v>
      </c>
      <c r="C84" s="6">
        <v>4</v>
      </c>
      <c r="D84" s="6">
        <v>2</v>
      </c>
      <c r="E84" s="7">
        <f t="shared" si="1"/>
        <v>0.5</v>
      </c>
      <c r="F84" s="7">
        <f ca="1">(G84-税费参数!$B$12*SUM(税费参数!$B$9:税费参数!$B$10)/税费参数!$B$11)/(1+SUM(税费参数!$B$6:税费参数!$B$8))</f>
        <v>0.0255875231448512</v>
      </c>
      <c r="G84" s="7">
        <v>0.0282941176470588</v>
      </c>
    </row>
    <row r="85" ht="21" customHeight="1" spans="1:7">
      <c r="A85" s="5" t="s">
        <v>16</v>
      </c>
      <c r="B85" s="6" t="s">
        <v>118</v>
      </c>
      <c r="C85" s="6">
        <v>18</v>
      </c>
      <c r="D85" s="6">
        <v>17</v>
      </c>
      <c r="E85" s="7">
        <f t="shared" si="1"/>
        <v>0.944444444444444</v>
      </c>
      <c r="F85" s="7">
        <f ca="1">(G85-税费参数!$B$12*SUM(税费参数!$B$9:税费参数!$B$10)/税费参数!$B$11)/(1+SUM(税费参数!$B$6:税费参数!$B$8))</f>
        <v>0.0238213929639652</v>
      </c>
      <c r="G85" s="7">
        <v>0.0264705882352941</v>
      </c>
    </row>
    <row r="86" ht="21" customHeight="1" spans="1:7">
      <c r="A86" s="5" t="s">
        <v>16</v>
      </c>
      <c r="B86" s="6" t="s">
        <v>119</v>
      </c>
      <c r="C86" s="6">
        <v>6</v>
      </c>
      <c r="D86" s="6">
        <v>3</v>
      </c>
      <c r="E86" s="7">
        <f t="shared" si="1"/>
        <v>0.5</v>
      </c>
      <c r="F86" s="7">
        <f ca="1">(G86-税费参数!$B$12*SUM(税费参数!$B$9:税费参数!$B$10)/税费参数!$B$11)/(1+SUM(税费参数!$B$6:税费参数!$B$8))</f>
        <v>0.0235879014011829</v>
      </c>
      <c r="G86" s="7">
        <v>0.0262295081967213</v>
      </c>
    </row>
    <row r="87" ht="21" customHeight="1" spans="1:7">
      <c r="A87" s="5" t="s">
        <v>16</v>
      </c>
      <c r="B87" s="6" t="s">
        <v>120</v>
      </c>
      <c r="C87" s="6">
        <v>3</v>
      </c>
      <c r="D87" s="6">
        <v>3</v>
      </c>
      <c r="E87" s="7">
        <f t="shared" si="1"/>
        <v>1</v>
      </c>
      <c r="F87" s="7">
        <f ca="1">(G87-税费参数!$B$12*SUM(税费参数!$B$9:税费参数!$B$10)/税费参数!$B$11)/(1+SUM(税费参数!$B$6:税费参数!$B$8))</f>
        <v>0.0161831194154578</v>
      </c>
      <c r="G87" s="7">
        <v>0.0185840707964602</v>
      </c>
    </row>
    <row r="88" ht="21" customHeight="1" spans="1:7">
      <c r="A88" s="5" t="s">
        <v>16</v>
      </c>
      <c r="B88" s="6" t="s">
        <v>121</v>
      </c>
      <c r="C88" s="6">
        <v>10</v>
      </c>
      <c r="D88" s="6">
        <v>9</v>
      </c>
      <c r="E88" s="7">
        <f t="shared" si="1"/>
        <v>0.9</v>
      </c>
      <c r="F88" s="7">
        <f ca="1">(G88-税费参数!$B$12*SUM(税费参数!$B$9:税费参数!$B$10)/税费参数!$B$11)/(1+SUM(税费参数!$B$6:税费参数!$B$8))</f>
        <v>0.0153820913760721</v>
      </c>
      <c r="G88" s="7">
        <v>0.0177570093457944</v>
      </c>
    </row>
    <row r="89" ht="21" customHeight="1" spans="1:7">
      <c r="A89" s="5" t="s">
        <v>16</v>
      </c>
      <c r="B89" s="6" t="s">
        <v>122</v>
      </c>
      <c r="C89" s="6">
        <v>52</v>
      </c>
      <c r="D89" s="6">
        <v>52</v>
      </c>
      <c r="E89" s="7">
        <f t="shared" si="1"/>
        <v>1</v>
      </c>
      <c r="F89" s="7">
        <f ca="1">(G89-税费参数!$B$12*SUM(税费参数!$B$9:税费参数!$B$10)/税费参数!$B$11)/(1+SUM(税费参数!$B$6:税费参数!$B$8))</f>
        <v>0.0151406736856784</v>
      </c>
      <c r="G89" s="7">
        <v>0.0175077455804629</v>
      </c>
    </row>
    <row r="90" ht="21" customHeight="1" spans="1:7">
      <c r="A90" s="5" t="s">
        <v>16</v>
      </c>
      <c r="B90" s="6" t="s">
        <v>123</v>
      </c>
      <c r="C90" s="6">
        <v>20</v>
      </c>
      <c r="D90" s="6">
        <v>20</v>
      </c>
      <c r="E90" s="7">
        <f t="shared" si="1"/>
        <v>1</v>
      </c>
      <c r="F90" s="7">
        <f ca="1">(G90-税费参数!$B$12*SUM(税费参数!$B$9:税费参数!$B$10)/税费参数!$B$11)/(1+SUM(税费参数!$B$6:税费参数!$B$8))</f>
        <v>0.0150472963345521</v>
      </c>
      <c r="G90" s="7">
        <v>0.017411333465425</v>
      </c>
    </row>
    <row r="91" ht="21" customHeight="1" spans="1:7">
      <c r="A91" s="5" t="s">
        <v>16</v>
      </c>
      <c r="B91" s="6" t="s">
        <v>124</v>
      </c>
      <c r="C91" s="6">
        <v>14</v>
      </c>
      <c r="D91" s="6">
        <v>14</v>
      </c>
      <c r="E91" s="7">
        <f t="shared" si="1"/>
        <v>1</v>
      </c>
      <c r="F91" s="7">
        <f ca="1">(G91-税费参数!$B$12*SUM(税费参数!$B$9:税费参数!$B$10)/税费参数!$B$11)/(1+SUM(税费参数!$B$6:税费参数!$B$8))</f>
        <v>0.014439797490645</v>
      </c>
      <c r="G91" s="7">
        <v>0.0167840909090909</v>
      </c>
    </row>
    <row r="92" ht="21" customHeight="1" spans="1:7">
      <c r="A92" s="5" t="s">
        <v>16</v>
      </c>
      <c r="B92" s="6" t="s">
        <v>125</v>
      </c>
      <c r="C92" s="6">
        <v>19</v>
      </c>
      <c r="D92" s="6">
        <v>10</v>
      </c>
      <c r="E92" s="7">
        <f t="shared" si="1"/>
        <v>0.526315789473684</v>
      </c>
      <c r="F92" s="7">
        <f ca="1">(G92-税费参数!$B$12*SUM(税费参数!$B$9:税费参数!$B$10)/税费参数!$B$11)/(1+SUM(税费参数!$B$6:税费参数!$B$8))</f>
        <v>0.0132781672117936</v>
      </c>
      <c r="G92" s="7">
        <v>0.0155847076461769</v>
      </c>
    </row>
    <row r="93" ht="21" customHeight="1" spans="1:7">
      <c r="A93" s="5" t="s">
        <v>16</v>
      </c>
      <c r="B93" s="6" t="s">
        <v>126</v>
      </c>
      <c r="C93" s="6">
        <v>10</v>
      </c>
      <c r="D93" s="6">
        <v>9</v>
      </c>
      <c r="E93" s="7">
        <f t="shared" si="1"/>
        <v>0.9</v>
      </c>
      <c r="F93" s="7">
        <f ca="1">(G93-税费参数!$B$12*SUM(税费参数!$B$9:税费参数!$B$10)/税费参数!$B$11)/(1+SUM(税费参数!$B$6:税费参数!$B$8))</f>
        <v>0.0115123175689184</v>
      </c>
      <c r="G93" s="7">
        <v>0.0137614678899083</v>
      </c>
    </row>
    <row r="94" ht="21" customHeight="1" spans="1:7">
      <c r="A94" s="5" t="s">
        <v>16</v>
      </c>
      <c r="B94" s="6" t="s">
        <v>127</v>
      </c>
      <c r="C94" s="6">
        <v>5</v>
      </c>
      <c r="D94" s="6">
        <v>0</v>
      </c>
      <c r="E94" s="7">
        <f t="shared" si="1"/>
        <v>0</v>
      </c>
      <c r="F94" s="7"/>
      <c r="G94" s="7"/>
    </row>
    <row r="95" ht="21" customHeight="1" spans="1:7">
      <c r="A95" s="5" t="s">
        <v>16</v>
      </c>
      <c r="B95" s="6" t="s">
        <v>128</v>
      </c>
      <c r="C95" s="6">
        <v>3</v>
      </c>
      <c r="D95" s="6">
        <v>0</v>
      </c>
      <c r="E95" s="7">
        <f t="shared" si="1"/>
        <v>0</v>
      </c>
      <c r="F95" s="7"/>
      <c r="G95" s="7"/>
    </row>
    <row r="96" ht="21" customHeight="1" spans="1:7">
      <c r="A96" s="5" t="s">
        <v>16</v>
      </c>
      <c r="B96" s="6" t="s">
        <v>129</v>
      </c>
      <c r="C96" s="6">
        <v>1</v>
      </c>
      <c r="D96" s="6">
        <v>0</v>
      </c>
      <c r="E96" s="7">
        <f t="shared" si="1"/>
        <v>0</v>
      </c>
      <c r="F96" s="7"/>
      <c r="G96" s="7"/>
    </row>
    <row r="97" ht="21" customHeight="1" spans="1:7">
      <c r="A97" s="5" t="s">
        <v>16</v>
      </c>
      <c r="B97" s="6" t="s">
        <v>130</v>
      </c>
      <c r="C97" s="6">
        <v>1</v>
      </c>
      <c r="D97" s="6">
        <v>0</v>
      </c>
      <c r="E97" s="7">
        <f t="shared" si="1"/>
        <v>0</v>
      </c>
      <c r="F97" s="7"/>
      <c r="G97" s="7"/>
    </row>
    <row r="98" ht="21" customHeight="1" spans="1:7">
      <c r="A98" s="5" t="s">
        <v>16</v>
      </c>
      <c r="B98" s="6" t="s">
        <v>131</v>
      </c>
      <c r="C98" s="6">
        <v>1</v>
      </c>
      <c r="D98" s="6">
        <v>0</v>
      </c>
      <c r="E98" s="7">
        <f t="shared" si="1"/>
        <v>0</v>
      </c>
      <c r="F98" s="7"/>
      <c r="G98" s="7"/>
    </row>
    <row r="99" ht="21" customHeight="1" spans="1:7">
      <c r="A99" s="5" t="s">
        <v>16</v>
      </c>
      <c r="B99" s="6" t="s">
        <v>132</v>
      </c>
      <c r="C99" s="6">
        <v>2</v>
      </c>
      <c r="D99" s="6">
        <v>0</v>
      </c>
      <c r="E99" s="7">
        <f t="shared" si="1"/>
        <v>0</v>
      </c>
      <c r="F99" s="7"/>
      <c r="G99" s="7"/>
    </row>
    <row r="100" ht="21" customHeight="1" spans="1:7">
      <c r="A100" s="5" t="s">
        <v>16</v>
      </c>
      <c r="B100" s="6" t="s">
        <v>133</v>
      </c>
      <c r="C100" s="6">
        <v>2</v>
      </c>
      <c r="D100" s="6">
        <v>0</v>
      </c>
      <c r="E100" s="7">
        <f t="shared" si="1"/>
        <v>0</v>
      </c>
      <c r="F100" s="7"/>
      <c r="G100" s="7"/>
    </row>
    <row r="101" ht="21" customHeight="1" spans="1:7">
      <c r="A101" s="5" t="s">
        <v>16</v>
      </c>
      <c r="B101" s="6" t="s">
        <v>134</v>
      </c>
      <c r="C101" s="6">
        <v>2</v>
      </c>
      <c r="D101" s="6">
        <v>0</v>
      </c>
      <c r="E101" s="7">
        <f t="shared" si="1"/>
        <v>0</v>
      </c>
      <c r="F101" s="7"/>
      <c r="G101" s="7"/>
    </row>
    <row r="102" ht="21" customHeight="1" spans="1:7">
      <c r="A102" s="5" t="s">
        <v>11</v>
      </c>
      <c r="B102" s="6" t="s">
        <v>135</v>
      </c>
      <c r="C102" s="6">
        <v>4</v>
      </c>
      <c r="D102" s="6">
        <v>2</v>
      </c>
      <c r="E102" s="7">
        <f t="shared" si="1"/>
        <v>0.5</v>
      </c>
      <c r="F102" s="7">
        <f ca="1">(G102-税费参数!$B$12*SUM(税费参数!$B$9:税费参数!$B$10)/税费参数!$B$11)/(1+SUM(税费参数!$B$6:税费参数!$B$8))</f>
        <v>0.0438429609131788</v>
      </c>
      <c r="G102" s="7">
        <v>0.0471428571428571</v>
      </c>
    </row>
    <row r="103" ht="21" customHeight="1" spans="1:7">
      <c r="A103" s="5" t="s">
        <v>11</v>
      </c>
      <c r="B103" s="6" t="s">
        <v>136</v>
      </c>
      <c r="C103" s="6">
        <v>7</v>
      </c>
      <c r="D103" s="6">
        <v>5</v>
      </c>
      <c r="E103" s="7">
        <f t="shared" si="1"/>
        <v>0.714285714285714</v>
      </c>
      <c r="F103" s="7">
        <f ca="1">(G103-税费参数!$B$12*SUM(税费参数!$B$9:税费参数!$B$10)/税费参数!$B$11)/(1+SUM(税费参数!$B$6:税费参数!$B$8))</f>
        <v>0.0369249394673123</v>
      </c>
      <c r="G103" s="7">
        <v>0.04</v>
      </c>
    </row>
    <row r="104" ht="21" customHeight="1" spans="1:7">
      <c r="A104" s="5" t="s">
        <v>11</v>
      </c>
      <c r="B104" s="6" t="s">
        <v>137</v>
      </c>
      <c r="C104" s="6">
        <v>16</v>
      </c>
      <c r="D104" s="6">
        <v>12</v>
      </c>
      <c r="E104" s="7">
        <f t="shared" si="1"/>
        <v>0.75</v>
      </c>
      <c r="F104" s="7">
        <f ca="1">(G104-税费参数!$B$12*SUM(税费参数!$B$9:税费参数!$B$10)/税费参数!$B$11)/(1+SUM(税费参数!$B$6:税费参数!$B$8))</f>
        <v>0.0303828406962401</v>
      </c>
      <c r="G104" s="7">
        <v>0.0332452830188679</v>
      </c>
    </row>
    <row r="105" ht="21" customHeight="1" spans="1:7">
      <c r="A105" s="5" t="s">
        <v>11</v>
      </c>
      <c r="B105" s="6" t="s">
        <v>138</v>
      </c>
      <c r="C105" s="6">
        <v>4</v>
      </c>
      <c r="D105" s="6">
        <v>3</v>
      </c>
      <c r="E105" s="7">
        <f t="shared" si="1"/>
        <v>0.75</v>
      </c>
      <c r="F105" s="7">
        <f ca="1">(G105-税费参数!$B$12*SUM(税费参数!$B$9:税费参数!$B$10)/税费参数!$B$11)/(1+SUM(税费参数!$B$6:税费参数!$B$8))</f>
        <v>0.0285690547405403</v>
      </c>
      <c r="G105" s="7">
        <v>0.0313725490196078</v>
      </c>
    </row>
    <row r="106" ht="21" customHeight="1" spans="1:7">
      <c r="A106" s="5" t="s">
        <v>11</v>
      </c>
      <c r="B106" s="6" t="s">
        <v>139</v>
      </c>
      <c r="C106" s="6">
        <v>6</v>
      </c>
      <c r="D106" s="6">
        <v>2</v>
      </c>
      <c r="E106" s="7">
        <f t="shared" si="1"/>
        <v>0.333333333333333</v>
      </c>
      <c r="F106" s="7">
        <f ca="1">(G106-税费参数!$B$12*SUM(税费参数!$B$9:税费参数!$B$10)/税费参数!$B$11)/(1+SUM(税费参数!$B$6:税费参数!$B$8))</f>
        <v>0.0273459737223618</v>
      </c>
      <c r="G106" s="7">
        <v>0.0301097178683386</v>
      </c>
    </row>
    <row r="107" ht="21" customHeight="1" spans="1:7">
      <c r="A107" s="5" t="s">
        <v>11</v>
      </c>
      <c r="B107" s="6" t="s">
        <v>140</v>
      </c>
      <c r="C107" s="6">
        <v>5</v>
      </c>
      <c r="D107" s="6">
        <v>3</v>
      </c>
      <c r="E107" s="7">
        <f t="shared" si="1"/>
        <v>0.6</v>
      </c>
      <c r="F107" s="7">
        <f ca="1">(G107-税费参数!$B$12*SUM(税费参数!$B$9:税费参数!$B$10)/税费参数!$B$11)/(1+SUM(税费参数!$B$6:税费参数!$B$8))</f>
        <v>0.0226321728296387</v>
      </c>
      <c r="G107" s="7">
        <v>0.0252427184466019</v>
      </c>
    </row>
    <row r="108" ht="21" customHeight="1" spans="1:7">
      <c r="A108" s="5" t="s">
        <v>11</v>
      </c>
      <c r="B108" s="6" t="s">
        <v>141</v>
      </c>
      <c r="C108" s="6">
        <v>13</v>
      </c>
      <c r="D108" s="6">
        <v>13</v>
      </c>
      <c r="E108" s="7">
        <f t="shared" si="1"/>
        <v>1</v>
      </c>
      <c r="F108" s="7">
        <f ca="1">(G108-税费参数!$B$12*SUM(税费参数!$B$9:税费参数!$B$10)/税费参数!$B$11)/(1+SUM(税费参数!$B$6:税费参数!$B$8))</f>
        <v>0.0189380837080595</v>
      </c>
      <c r="G108" s="7">
        <v>0.0214285714285714</v>
      </c>
    </row>
    <row r="109" ht="21" customHeight="1" spans="1:7">
      <c r="A109" s="5" t="s">
        <v>11</v>
      </c>
      <c r="B109" s="6" t="s">
        <v>142</v>
      </c>
      <c r="C109" s="6">
        <v>5</v>
      </c>
      <c r="D109" s="6">
        <v>0</v>
      </c>
      <c r="E109" s="7">
        <f t="shared" si="1"/>
        <v>0</v>
      </c>
      <c r="F109" s="7"/>
      <c r="G109" s="7"/>
    </row>
    <row r="110" ht="21" customHeight="1" spans="1:7">
      <c r="A110" s="5" t="s">
        <v>11</v>
      </c>
      <c r="B110" s="6" t="s">
        <v>143</v>
      </c>
      <c r="C110" s="6">
        <v>2</v>
      </c>
      <c r="D110" s="6">
        <v>0</v>
      </c>
      <c r="E110" s="7">
        <f t="shared" si="1"/>
        <v>0</v>
      </c>
      <c r="F110" s="7"/>
      <c r="G110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57"/>
  <sheetViews>
    <sheetView showGridLines="0" workbookViewId="0">
      <pane ySplit="6" topLeftCell="A233" activePane="bottomLeft" state="frozen"/>
      <selection/>
      <selection pane="bottomLeft" activeCell="B6" sqref="B6:K257"/>
    </sheetView>
  </sheetViews>
  <sheetFormatPr defaultColWidth="9" defaultRowHeight="16.8"/>
  <cols>
    <col min="1" max="1" width="13" customWidth="1"/>
    <col min="2" max="2" width="25" customWidth="1"/>
    <col min="3" max="3" width="14" customWidth="1"/>
    <col min="4" max="5" width="13" customWidth="1"/>
    <col min="6" max="7" width="18" customWidth="1"/>
    <col min="8" max="8" width="17" customWidth="1"/>
    <col min="9" max="9" width="23" customWidth="1"/>
    <col min="10" max="10" width="20" customWidth="1"/>
    <col min="11" max="11" width="17" customWidth="1"/>
  </cols>
  <sheetData>
    <row r="2" ht="22" spans="1:11">
      <c r="A2" s="1" t="s">
        <v>144</v>
      </c>
    </row>
    <row r="3" spans="1:11">
      <c r="A3" s="2" t="s">
        <v>145</v>
      </c>
    </row>
    <row r="6" ht="28" customHeight="1" spans="1:11">
      <c r="A6" s="3" t="s">
        <v>2</v>
      </c>
      <c r="B6" s="4" t="s">
        <v>35</v>
      </c>
      <c r="C6" s="4" t="s">
        <v>146</v>
      </c>
      <c r="D6" s="4" t="s">
        <v>147</v>
      </c>
      <c r="E6" s="4" t="s">
        <v>148</v>
      </c>
      <c r="F6" s="4" t="s">
        <v>149</v>
      </c>
      <c r="G6" s="4" t="s">
        <v>5</v>
      </c>
      <c r="H6" s="4" t="s">
        <v>150</v>
      </c>
      <c r="I6" s="4" t="s">
        <v>7</v>
      </c>
      <c r="J6" s="4" t="s">
        <v>39</v>
      </c>
      <c r="K6" s="4" t="s">
        <v>151</v>
      </c>
    </row>
    <row r="7" ht="21" customHeight="1" spans="1:11">
      <c r="A7" s="5" t="s">
        <v>13</v>
      </c>
      <c r="B7" s="6" t="s">
        <v>50</v>
      </c>
      <c r="C7" s="6" t="s">
        <v>152</v>
      </c>
      <c r="D7" s="6" t="s">
        <v>153</v>
      </c>
      <c r="E7" s="6">
        <v>2</v>
      </c>
      <c r="F7" s="6">
        <v>2</v>
      </c>
      <c r="G7" s="8">
        <f t="shared" ref="G7:G70" si="0">F7/E7</f>
        <v>1</v>
      </c>
      <c r="H7" s="6">
        <v>2</v>
      </c>
      <c r="I7" s="7">
        <f ca="1">(J7-税费参数!$B$12*SUM(税费参数!$B$9:税费参数!$B$10)/税费参数!$B$11)/(1+SUM(税费参数!$B$6:税费参数!$B$8))</f>
        <v>0.0208862405883659</v>
      </c>
      <c r="J7" s="7">
        <v>0.0234400434074878</v>
      </c>
      <c r="K7" s="6" t="s">
        <v>154</v>
      </c>
    </row>
    <row r="8" ht="21" customHeight="1" spans="1:11">
      <c r="A8" s="5" t="s">
        <v>13</v>
      </c>
      <c r="B8" s="6" t="s">
        <v>50</v>
      </c>
      <c r="C8" s="6" t="s">
        <v>152</v>
      </c>
      <c r="D8" s="6" t="s">
        <v>155</v>
      </c>
      <c r="E8" s="6">
        <v>2</v>
      </c>
      <c r="F8" s="6">
        <v>0</v>
      </c>
      <c r="G8" s="8">
        <f t="shared" si="0"/>
        <v>0</v>
      </c>
      <c r="H8" s="6">
        <v>0</v>
      </c>
      <c r="I8" s="7"/>
      <c r="J8" s="7"/>
      <c r="K8" s="6" t="s">
        <v>156</v>
      </c>
    </row>
    <row r="9" ht="21" customHeight="1" spans="1:11">
      <c r="A9" s="5" t="s">
        <v>13</v>
      </c>
      <c r="B9" s="6" t="s">
        <v>50</v>
      </c>
      <c r="C9" s="6" t="s">
        <v>157</v>
      </c>
      <c r="D9" s="6" t="s">
        <v>153</v>
      </c>
      <c r="E9" s="6">
        <v>2</v>
      </c>
      <c r="F9" s="6">
        <v>2</v>
      </c>
      <c r="G9" s="8">
        <f t="shared" si="0"/>
        <v>1</v>
      </c>
      <c r="H9" s="6">
        <v>1</v>
      </c>
      <c r="I9" s="7">
        <f ca="1">(J9-税费参数!$B$12*SUM(税费参数!$B$9:税费参数!$B$10)/税费参数!$B$11)/(1+SUM(税费参数!$B$6:税费参数!$B$8))</f>
        <v>0.0184349548756328</v>
      </c>
      <c r="J9" s="7">
        <v>0.0209090909090909</v>
      </c>
      <c r="K9" s="6" t="s">
        <v>158</v>
      </c>
    </row>
    <row r="10" ht="21" customHeight="1" spans="1:11">
      <c r="A10" s="5" t="s">
        <v>13</v>
      </c>
      <c r="B10" s="6" t="s">
        <v>50</v>
      </c>
      <c r="C10" s="6" t="s">
        <v>157</v>
      </c>
      <c r="D10" s="6" t="s">
        <v>155</v>
      </c>
      <c r="E10" s="6">
        <v>3</v>
      </c>
      <c r="F10" s="6">
        <v>0</v>
      </c>
      <c r="G10" s="8">
        <f t="shared" si="0"/>
        <v>0</v>
      </c>
      <c r="H10" s="6">
        <v>0</v>
      </c>
      <c r="I10" s="7"/>
      <c r="J10" s="7"/>
      <c r="K10" s="6" t="s">
        <v>156</v>
      </c>
    </row>
    <row r="11" ht="21" customHeight="1" spans="1:11">
      <c r="A11" s="5" t="s">
        <v>13</v>
      </c>
      <c r="B11" s="6" t="s">
        <v>51</v>
      </c>
      <c r="C11" s="6" t="s">
        <v>157</v>
      </c>
      <c r="D11" s="6" t="s">
        <v>155</v>
      </c>
      <c r="E11" s="6">
        <v>1</v>
      </c>
      <c r="F11" s="6">
        <v>0</v>
      </c>
      <c r="G11" s="8">
        <f t="shared" si="0"/>
        <v>0</v>
      </c>
      <c r="H11" s="6">
        <v>0</v>
      </c>
      <c r="I11" s="7"/>
      <c r="J11" s="7"/>
      <c r="K11" s="6" t="s">
        <v>156</v>
      </c>
    </row>
    <row r="12" ht="21" customHeight="1" spans="1:11">
      <c r="A12" s="5" t="s">
        <v>13</v>
      </c>
      <c r="B12" s="6" t="s">
        <v>47</v>
      </c>
      <c r="C12" s="6" t="s">
        <v>152</v>
      </c>
      <c r="D12" s="6" t="s">
        <v>153</v>
      </c>
      <c r="E12" s="6">
        <v>2</v>
      </c>
      <c r="F12" s="6">
        <v>2</v>
      </c>
      <c r="G12" s="8">
        <f t="shared" si="0"/>
        <v>1</v>
      </c>
      <c r="H12" s="6">
        <v>2</v>
      </c>
      <c r="I12" s="7">
        <f ca="1">(J12-税费参数!$B$12*SUM(税费参数!$B$9:税费参数!$B$10)/税费参数!$B$11)/(1+SUM(税费参数!$B$6:税费参数!$B$8))</f>
        <v>0.0236714668025997</v>
      </c>
      <c r="J12" s="7">
        <v>0.0263157894736842</v>
      </c>
      <c r="K12" s="6" t="s">
        <v>154</v>
      </c>
    </row>
    <row r="13" ht="21" customHeight="1" spans="1:11">
      <c r="A13" s="5" t="s">
        <v>13</v>
      </c>
      <c r="B13" s="6" t="s">
        <v>45</v>
      </c>
      <c r="C13" s="6" t="s">
        <v>152</v>
      </c>
      <c r="D13" s="6" t="s">
        <v>153</v>
      </c>
      <c r="E13" s="6">
        <v>2</v>
      </c>
      <c r="F13" s="6">
        <v>2</v>
      </c>
      <c r="G13" s="8">
        <f t="shared" si="0"/>
        <v>1</v>
      </c>
      <c r="H13" s="6">
        <v>2</v>
      </c>
      <c r="I13" s="7">
        <f ca="1">(J13-税费参数!$B$12*SUM(税费参数!$B$9:税费参数!$B$10)/税费参数!$B$11)/(1+SUM(税费参数!$B$6:税费参数!$B$8))</f>
        <v>0.0257379401913413</v>
      </c>
      <c r="J13" s="7">
        <v>0.0284494232475599</v>
      </c>
      <c r="K13" s="6" t="s">
        <v>154</v>
      </c>
    </row>
    <row r="14" ht="21" customHeight="1" spans="1:11">
      <c r="A14" s="5" t="s">
        <v>13</v>
      </c>
      <c r="B14" s="6" t="s">
        <v>46</v>
      </c>
      <c r="C14" s="6" t="s">
        <v>157</v>
      </c>
      <c r="D14" s="6" t="s">
        <v>155</v>
      </c>
      <c r="E14" s="6">
        <v>1</v>
      </c>
      <c r="F14" s="6">
        <v>1</v>
      </c>
      <c r="G14" s="8">
        <f t="shared" si="0"/>
        <v>1</v>
      </c>
      <c r="H14" s="6">
        <v>1</v>
      </c>
      <c r="I14" s="7">
        <f ca="1">(J14-税费参数!$B$12*SUM(税费参数!$B$9:税费参数!$B$10)/税费参数!$B$11)/(1+SUM(税费参数!$B$6:税费参数!$B$8))</f>
        <v>0.0254531136133901</v>
      </c>
      <c r="J14" s="7">
        <v>0.0281553398058252</v>
      </c>
      <c r="K14" s="6" t="s">
        <v>158</v>
      </c>
    </row>
    <row r="15" ht="21" customHeight="1" spans="1:11">
      <c r="A15" s="5" t="s">
        <v>13</v>
      </c>
      <c r="B15" s="6" t="s">
        <v>42</v>
      </c>
      <c r="C15" s="6" t="s">
        <v>152</v>
      </c>
      <c r="D15" s="6" t="s">
        <v>153</v>
      </c>
      <c r="E15" s="6">
        <v>1</v>
      </c>
      <c r="F15" s="6">
        <v>1</v>
      </c>
      <c r="G15" s="8">
        <f t="shared" si="0"/>
        <v>1</v>
      </c>
      <c r="H15" s="6">
        <v>1</v>
      </c>
      <c r="I15" s="7">
        <f ca="1">(J15-税费参数!$B$12*SUM(税费参数!$B$9:税费参数!$B$10)/税费参数!$B$11)/(1+SUM(税费参数!$B$6:税费参数!$B$8))</f>
        <v>0.0298811358133392</v>
      </c>
      <c r="J15" s="7">
        <v>0.0327272727272727</v>
      </c>
      <c r="K15" s="6" t="s">
        <v>158</v>
      </c>
    </row>
    <row r="16" ht="21" customHeight="1" spans="1:11">
      <c r="A16" s="5" t="s">
        <v>13</v>
      </c>
      <c r="B16" s="6" t="s">
        <v>43</v>
      </c>
      <c r="C16" s="6" t="s">
        <v>152</v>
      </c>
      <c r="D16" s="6" t="s">
        <v>153</v>
      </c>
      <c r="E16" s="6">
        <v>1</v>
      </c>
      <c r="F16" s="6">
        <v>1</v>
      </c>
      <c r="G16" s="8">
        <f t="shared" si="0"/>
        <v>1</v>
      </c>
      <c r="H16" s="6">
        <v>1</v>
      </c>
      <c r="I16" s="7">
        <f ca="1">(J16-税费参数!$B$12*SUM(税费参数!$B$9:税费参数!$B$10)/税费参数!$B$11)/(1+SUM(税费参数!$B$6:税费参数!$B$8))</f>
        <v>0.0265940274414851</v>
      </c>
      <c r="J16" s="7">
        <v>0.0293333333333333</v>
      </c>
      <c r="K16" s="6" t="s">
        <v>158</v>
      </c>
    </row>
    <row r="17" ht="21" customHeight="1" spans="1:11">
      <c r="A17" s="5" t="s">
        <v>13</v>
      </c>
      <c r="B17" s="6" t="s">
        <v>43</v>
      </c>
      <c r="C17" s="6" t="s">
        <v>157</v>
      </c>
      <c r="D17" s="6" t="s">
        <v>155</v>
      </c>
      <c r="E17" s="6">
        <v>1</v>
      </c>
      <c r="F17" s="6">
        <v>0</v>
      </c>
      <c r="G17" s="8">
        <f t="shared" si="0"/>
        <v>0</v>
      </c>
      <c r="H17" s="6">
        <v>1</v>
      </c>
      <c r="I17" s="7"/>
      <c r="J17" s="7"/>
      <c r="K17" s="6" t="s">
        <v>156</v>
      </c>
    </row>
    <row r="18" ht="21" customHeight="1" spans="1:11">
      <c r="A18" s="5" t="s">
        <v>13</v>
      </c>
      <c r="B18" s="6" t="s">
        <v>48</v>
      </c>
      <c r="C18" s="6" t="s">
        <v>152</v>
      </c>
      <c r="D18" s="6" t="s">
        <v>153</v>
      </c>
      <c r="E18" s="6">
        <v>1</v>
      </c>
      <c r="F18" s="6">
        <v>1</v>
      </c>
      <c r="G18" s="8">
        <f t="shared" si="0"/>
        <v>1</v>
      </c>
      <c r="H18" s="6">
        <v>2</v>
      </c>
      <c r="I18" s="7">
        <f ca="1">(J18-税费参数!$B$12*SUM(税费参数!$B$9:税费参数!$B$10)/税费参数!$B$11)/(1+SUM(税费参数!$B$6:税费参数!$B$8))</f>
        <v>0.0260456399880593</v>
      </c>
      <c r="J18" s="7">
        <v>0.0287671232876712</v>
      </c>
      <c r="K18" s="6" t="s">
        <v>158</v>
      </c>
    </row>
    <row r="19" ht="21" customHeight="1" spans="1:11">
      <c r="A19" s="5" t="s">
        <v>13</v>
      </c>
      <c r="B19" s="6" t="s">
        <v>48</v>
      </c>
      <c r="C19" s="6" t="s">
        <v>152</v>
      </c>
      <c r="D19" s="6" t="s">
        <v>155</v>
      </c>
      <c r="E19" s="6">
        <v>1</v>
      </c>
      <c r="F19" s="6">
        <v>1</v>
      </c>
      <c r="G19" s="8">
        <f t="shared" si="0"/>
        <v>1</v>
      </c>
      <c r="H19" s="6">
        <v>1</v>
      </c>
      <c r="I19" s="7">
        <f ca="1">(J19-税费参数!$B$12*SUM(税费参数!$B$9:税费参数!$B$10)/税费参数!$B$11)/(1+SUM(税费参数!$B$6:税费参数!$B$8))</f>
        <v>0.0236077481840194</v>
      </c>
      <c r="J19" s="7">
        <v>0.02625</v>
      </c>
      <c r="K19" s="6" t="s">
        <v>158</v>
      </c>
    </row>
    <row r="20" ht="21" customHeight="1" spans="1:11">
      <c r="A20" s="5" t="s">
        <v>13</v>
      </c>
      <c r="B20" s="6" t="s">
        <v>48</v>
      </c>
      <c r="C20" s="6" t="s">
        <v>157</v>
      </c>
      <c r="D20" s="6" t="s">
        <v>155</v>
      </c>
      <c r="E20" s="6">
        <v>2</v>
      </c>
      <c r="F20" s="6">
        <v>2</v>
      </c>
      <c r="G20" s="8">
        <f t="shared" si="0"/>
        <v>1</v>
      </c>
      <c r="H20" s="6">
        <v>2</v>
      </c>
      <c r="I20" s="7">
        <f ca="1">(J20-税费参数!$B$12*SUM(税费参数!$B$9:税费参数!$B$10)/税费参数!$B$11)/(1+SUM(税费参数!$B$6:税费参数!$B$8))</f>
        <v>0.0193992851377839</v>
      </c>
      <c r="J20" s="7">
        <v>0.0219047619047619</v>
      </c>
      <c r="K20" s="6" t="s">
        <v>154</v>
      </c>
    </row>
    <row r="21" ht="21" customHeight="1" spans="1:11">
      <c r="A21" s="5" t="s">
        <v>13</v>
      </c>
      <c r="B21" s="6" t="s">
        <v>48</v>
      </c>
      <c r="C21" s="6" t="s">
        <v>159</v>
      </c>
      <c r="D21" s="6" t="s">
        <v>153</v>
      </c>
      <c r="E21" s="6">
        <v>1</v>
      </c>
      <c r="F21" s="6">
        <v>0</v>
      </c>
      <c r="G21" s="8">
        <f t="shared" si="0"/>
        <v>0</v>
      </c>
      <c r="H21" s="6">
        <v>0</v>
      </c>
      <c r="I21" s="7"/>
      <c r="J21" s="7"/>
      <c r="K21" s="6" t="s">
        <v>156</v>
      </c>
    </row>
    <row r="22" ht="21" customHeight="1" spans="1:11">
      <c r="A22" s="5" t="s">
        <v>13</v>
      </c>
      <c r="B22" s="6" t="s">
        <v>40</v>
      </c>
      <c r="C22" s="6" t="s">
        <v>152</v>
      </c>
      <c r="D22" s="6" t="s">
        <v>160</v>
      </c>
      <c r="E22" s="6">
        <v>5</v>
      </c>
      <c r="F22" s="6">
        <v>5</v>
      </c>
      <c r="G22" s="8">
        <f t="shared" si="0"/>
        <v>1</v>
      </c>
      <c r="H22" s="6">
        <v>1</v>
      </c>
      <c r="I22" s="7">
        <f ca="1">(J22-税费参数!$B$12*SUM(税费参数!$B$9:税费参数!$B$10)/税费参数!$B$11)/(1+SUM(税费参数!$B$6:税费参数!$B$8))</f>
        <v>0.0332512315270936</v>
      </c>
      <c r="J22" s="7">
        <v>0.0362068965517241</v>
      </c>
      <c r="K22" s="6" t="s">
        <v>158</v>
      </c>
    </row>
    <row r="23" ht="21" customHeight="1" spans="1:11">
      <c r="A23" s="5" t="s">
        <v>13</v>
      </c>
      <c r="B23" s="6" t="s">
        <v>40</v>
      </c>
      <c r="C23" s="6" t="s">
        <v>152</v>
      </c>
      <c r="D23" s="6" t="s">
        <v>153</v>
      </c>
      <c r="E23" s="6">
        <v>1</v>
      </c>
      <c r="F23" s="6">
        <v>0</v>
      </c>
      <c r="G23" s="8">
        <f t="shared" si="0"/>
        <v>0</v>
      </c>
      <c r="H23" s="6">
        <v>0</v>
      </c>
      <c r="I23" s="7"/>
      <c r="J23" s="7"/>
      <c r="K23" s="6" t="s">
        <v>156</v>
      </c>
    </row>
    <row r="24" ht="21" customHeight="1" spans="1:11">
      <c r="A24" s="5" t="s">
        <v>13</v>
      </c>
      <c r="B24" s="6" t="s">
        <v>40</v>
      </c>
      <c r="C24" s="6" t="s">
        <v>152</v>
      </c>
      <c r="D24" s="6" t="s">
        <v>155</v>
      </c>
      <c r="E24" s="6">
        <v>2</v>
      </c>
      <c r="F24" s="6">
        <v>2</v>
      </c>
      <c r="G24" s="8">
        <f t="shared" si="0"/>
        <v>1</v>
      </c>
      <c r="H24" s="6">
        <v>1</v>
      </c>
      <c r="I24" s="7">
        <f ca="1">(J24-税费参数!$B$12*SUM(税费参数!$B$9:税费参数!$B$10)/税费参数!$B$11)/(1+SUM(税费参数!$B$6:税费参数!$B$8))</f>
        <v>0.0545658941542719</v>
      </c>
      <c r="J24" s="7">
        <v>0.0582142857142857</v>
      </c>
      <c r="K24" s="6" t="s">
        <v>158</v>
      </c>
    </row>
    <row r="25" ht="21" customHeight="1" spans="1:11">
      <c r="A25" s="5" t="s">
        <v>13</v>
      </c>
      <c r="B25" s="6" t="s">
        <v>40</v>
      </c>
      <c r="C25" s="6" t="s">
        <v>159</v>
      </c>
      <c r="D25" s="6" t="s">
        <v>153</v>
      </c>
      <c r="E25" s="6">
        <v>1</v>
      </c>
      <c r="F25" s="6">
        <v>0</v>
      </c>
      <c r="G25" s="8">
        <f t="shared" si="0"/>
        <v>0</v>
      </c>
      <c r="H25" s="6">
        <v>0</v>
      </c>
      <c r="I25" s="7"/>
      <c r="J25" s="7"/>
      <c r="K25" s="6" t="s">
        <v>156</v>
      </c>
    </row>
    <row r="26" ht="21" customHeight="1" spans="1:11">
      <c r="A26" s="5" t="s">
        <v>13</v>
      </c>
      <c r="B26" s="6" t="s">
        <v>49</v>
      </c>
      <c r="C26" s="6" t="s">
        <v>157</v>
      </c>
      <c r="D26" s="6" t="s">
        <v>155</v>
      </c>
      <c r="E26" s="6">
        <v>1</v>
      </c>
      <c r="F26" s="6">
        <v>1</v>
      </c>
      <c r="G26" s="8">
        <f t="shared" si="0"/>
        <v>1</v>
      </c>
      <c r="H26" s="6">
        <v>1</v>
      </c>
      <c r="I26" s="7">
        <f ca="1">(J26-税费参数!$B$12*SUM(税费参数!$B$9:税费参数!$B$10)/税费参数!$B$11)/(1+SUM(税费参数!$B$6:税费参数!$B$8))</f>
        <v>0.0209146612640214</v>
      </c>
      <c r="J26" s="7">
        <v>0.023469387755102</v>
      </c>
      <c r="K26" s="6" t="s">
        <v>158</v>
      </c>
    </row>
    <row r="27" ht="21" customHeight="1" spans="1:11">
      <c r="A27" s="5" t="s">
        <v>13</v>
      </c>
      <c r="B27" s="6" t="s">
        <v>41</v>
      </c>
      <c r="C27" s="6" t="s">
        <v>152</v>
      </c>
      <c r="D27" s="6" t="s">
        <v>153</v>
      </c>
      <c r="E27" s="6">
        <v>3</v>
      </c>
      <c r="F27" s="6">
        <v>3</v>
      </c>
      <c r="G27" s="8">
        <f t="shared" si="0"/>
        <v>1</v>
      </c>
      <c r="H27" s="6">
        <v>16</v>
      </c>
      <c r="I27" s="7">
        <f ca="1">(J27-税费参数!$B$12*SUM(税费参数!$B$9:税费参数!$B$10)/税费参数!$B$11)/(1+SUM(税费参数!$B$6:税费参数!$B$8))</f>
        <v>0.0320042177614622</v>
      </c>
      <c r="J27" s="7">
        <v>0.0349193548387097</v>
      </c>
      <c r="K27" s="6" t="s">
        <v>154</v>
      </c>
    </row>
    <row r="28" ht="21" customHeight="1" spans="1:11">
      <c r="A28" s="5" t="s">
        <v>13</v>
      </c>
      <c r="B28" s="6" t="s">
        <v>41</v>
      </c>
      <c r="C28" s="6" t="s">
        <v>157</v>
      </c>
      <c r="D28" s="6" t="s">
        <v>155</v>
      </c>
      <c r="E28" s="6">
        <v>2</v>
      </c>
      <c r="F28" s="6">
        <v>2</v>
      </c>
      <c r="G28" s="8">
        <f t="shared" si="0"/>
        <v>1</v>
      </c>
      <c r="H28" s="6">
        <v>3</v>
      </c>
      <c r="I28" s="7">
        <f ca="1">(J28-税费参数!$B$12*SUM(税费参数!$B$9:税费参数!$B$10)/税费参数!$B$11)/(1+SUM(税费参数!$B$6:税费参数!$B$8))</f>
        <v>0.0262538384969911</v>
      </c>
      <c r="J28" s="7">
        <v>0.0289820882481433</v>
      </c>
      <c r="K28" s="6" t="s">
        <v>154</v>
      </c>
    </row>
    <row r="29" ht="21" customHeight="1" spans="1:11">
      <c r="A29" s="5" t="s">
        <v>13</v>
      </c>
      <c r="B29" s="6" t="s">
        <v>41</v>
      </c>
      <c r="C29" s="6" t="s">
        <v>159</v>
      </c>
      <c r="D29" s="6" t="s">
        <v>153</v>
      </c>
      <c r="E29" s="6">
        <v>1</v>
      </c>
      <c r="F29" s="6">
        <v>1</v>
      </c>
      <c r="G29" s="8">
        <f t="shared" si="0"/>
        <v>1</v>
      </c>
      <c r="H29" s="6">
        <v>2</v>
      </c>
      <c r="I29" s="7">
        <f ca="1">(J29-税费参数!$B$12*SUM(税费参数!$B$9:税费参数!$B$10)/税费参数!$B$11)/(1+SUM(税费参数!$B$6:税费参数!$B$8))</f>
        <v>0.0510125467752586</v>
      </c>
      <c r="J29" s="7">
        <v>0.0545454545454545</v>
      </c>
      <c r="K29" s="6" t="s">
        <v>158</v>
      </c>
    </row>
    <row r="30" ht="21" customHeight="1" spans="1:11">
      <c r="A30" s="5" t="s">
        <v>13</v>
      </c>
      <c r="B30" s="6" t="s">
        <v>52</v>
      </c>
      <c r="C30" s="6" t="s">
        <v>157</v>
      </c>
      <c r="D30" s="6" t="s">
        <v>153</v>
      </c>
      <c r="E30" s="6">
        <v>1</v>
      </c>
      <c r="F30" s="6">
        <v>0</v>
      </c>
      <c r="G30" s="8">
        <f t="shared" si="0"/>
        <v>0</v>
      </c>
      <c r="H30" s="6">
        <v>0</v>
      </c>
      <c r="I30" s="7"/>
      <c r="J30" s="7"/>
      <c r="K30" s="6" t="s">
        <v>156</v>
      </c>
    </row>
    <row r="31" ht="21" customHeight="1" spans="1:11">
      <c r="A31" s="5" t="s">
        <v>13</v>
      </c>
      <c r="B31" s="6" t="s">
        <v>53</v>
      </c>
      <c r="C31" s="6" t="s">
        <v>157</v>
      </c>
      <c r="D31" s="6" t="s">
        <v>155</v>
      </c>
      <c r="E31" s="6">
        <v>1</v>
      </c>
      <c r="F31" s="6">
        <v>0</v>
      </c>
      <c r="G31" s="8">
        <f t="shared" si="0"/>
        <v>0</v>
      </c>
      <c r="H31" s="6">
        <v>0</v>
      </c>
      <c r="I31" s="7"/>
      <c r="J31" s="7"/>
      <c r="K31" s="6" t="s">
        <v>156</v>
      </c>
    </row>
    <row r="32" ht="21" customHeight="1" spans="1:11">
      <c r="A32" s="5" t="s">
        <v>13</v>
      </c>
      <c r="B32" s="6" t="s">
        <v>44</v>
      </c>
      <c r="C32" s="6" t="s">
        <v>152</v>
      </c>
      <c r="D32" s="6" t="s">
        <v>153</v>
      </c>
      <c r="E32" s="6">
        <v>2</v>
      </c>
      <c r="F32" s="6">
        <v>2</v>
      </c>
      <c r="G32" s="8">
        <f t="shared" si="0"/>
        <v>1</v>
      </c>
      <c r="H32" s="6">
        <v>8</v>
      </c>
      <c r="I32" s="7">
        <f ca="1">(J32-税费参数!$B$12*SUM(税费参数!$B$9:税费参数!$B$10)/税费参数!$B$11)/(1+SUM(税费参数!$B$6:税费参数!$B$8))</f>
        <v>0.0261087798874439</v>
      </c>
      <c r="J32" s="7">
        <v>0.0288323152337858</v>
      </c>
      <c r="K32" s="6" t="s">
        <v>154</v>
      </c>
    </row>
    <row r="33" ht="21" customHeight="1" spans="1:11">
      <c r="A33" s="5" t="s">
        <v>13</v>
      </c>
      <c r="B33" s="6" t="s">
        <v>44</v>
      </c>
      <c r="C33" s="6" t="s">
        <v>157</v>
      </c>
      <c r="D33" s="6" t="s">
        <v>153</v>
      </c>
      <c r="E33" s="6">
        <v>1</v>
      </c>
      <c r="F33" s="6">
        <v>0</v>
      </c>
      <c r="G33" s="8">
        <f t="shared" si="0"/>
        <v>0</v>
      </c>
      <c r="H33" s="6">
        <v>0</v>
      </c>
      <c r="I33" s="7"/>
      <c r="J33" s="7"/>
      <c r="K33" s="6" t="s">
        <v>156</v>
      </c>
    </row>
    <row r="34" ht="21" customHeight="1" spans="1:11">
      <c r="A34" s="5" t="s">
        <v>15</v>
      </c>
      <c r="B34" s="6" t="s">
        <v>56</v>
      </c>
      <c r="C34" s="6" t="s">
        <v>152</v>
      </c>
      <c r="D34" s="6" t="s">
        <v>153</v>
      </c>
      <c r="E34" s="6">
        <v>2</v>
      </c>
      <c r="F34" s="6">
        <v>2</v>
      </c>
      <c r="G34" s="8">
        <f t="shared" si="0"/>
        <v>1</v>
      </c>
      <c r="H34" s="6">
        <v>2</v>
      </c>
      <c r="I34" s="7">
        <f ca="1">(J34-税费参数!$B$12*SUM(税费参数!$B$9:税费参数!$B$10)/税费参数!$B$11)/(1+SUM(税费参数!$B$6:税费参数!$B$8))</f>
        <v>0.0269572235673931</v>
      </c>
      <c r="J34" s="7">
        <v>0.0297083333333333</v>
      </c>
      <c r="K34" s="6" t="s">
        <v>154</v>
      </c>
    </row>
    <row r="35" ht="21" customHeight="1" spans="1:11">
      <c r="A35" s="5" t="s">
        <v>15</v>
      </c>
      <c r="B35" s="6" t="s">
        <v>56</v>
      </c>
      <c r="C35" s="6" t="s">
        <v>152</v>
      </c>
      <c r="D35" s="6" t="s">
        <v>155</v>
      </c>
      <c r="E35" s="6">
        <v>1</v>
      </c>
      <c r="F35" s="6">
        <v>0</v>
      </c>
      <c r="G35" s="8">
        <f t="shared" si="0"/>
        <v>0</v>
      </c>
      <c r="H35" s="6">
        <v>0</v>
      </c>
      <c r="I35" s="7"/>
      <c r="J35" s="7"/>
      <c r="K35" s="6" t="s">
        <v>156</v>
      </c>
    </row>
    <row r="36" ht="21" customHeight="1" spans="1:11">
      <c r="A36" s="5" t="s">
        <v>15</v>
      </c>
      <c r="B36" s="6" t="s">
        <v>56</v>
      </c>
      <c r="C36" s="6" t="s">
        <v>159</v>
      </c>
      <c r="D36" s="6" t="s">
        <v>153</v>
      </c>
      <c r="E36" s="6">
        <v>3</v>
      </c>
      <c r="F36" s="6">
        <v>2</v>
      </c>
      <c r="G36" s="8">
        <f t="shared" si="0"/>
        <v>0.666666666666667</v>
      </c>
      <c r="H36" s="6">
        <v>2</v>
      </c>
      <c r="I36" s="7">
        <f ca="1">(J36-税费参数!$B$12*SUM(税费参数!$B$9:税费参数!$B$10)/税费参数!$B$11)/(1+SUM(税费参数!$B$6:税费参数!$B$8))</f>
        <v>0.0225580550439308</v>
      </c>
      <c r="J36" s="7">
        <v>0.0251661918328585</v>
      </c>
      <c r="K36" s="6" t="s">
        <v>154</v>
      </c>
    </row>
    <row r="37" ht="21" customHeight="1" spans="1:11">
      <c r="A37" s="5" t="s">
        <v>15</v>
      </c>
      <c r="B37" s="6" t="s">
        <v>69</v>
      </c>
      <c r="C37" s="6" t="s">
        <v>157</v>
      </c>
      <c r="D37" s="6" t="s">
        <v>155</v>
      </c>
      <c r="E37" s="6">
        <v>1</v>
      </c>
      <c r="F37" s="6">
        <v>0</v>
      </c>
      <c r="G37" s="8">
        <f t="shared" si="0"/>
        <v>0</v>
      </c>
      <c r="H37" s="6">
        <v>0</v>
      </c>
      <c r="I37" s="7"/>
      <c r="J37" s="7"/>
      <c r="K37" s="6" t="s">
        <v>156</v>
      </c>
    </row>
    <row r="38" ht="21" customHeight="1" spans="1:11">
      <c r="A38" s="5" t="s">
        <v>15</v>
      </c>
      <c r="B38" s="6" t="s">
        <v>60</v>
      </c>
      <c r="C38" s="6" t="s">
        <v>152</v>
      </c>
      <c r="D38" s="6" t="s">
        <v>153</v>
      </c>
      <c r="E38" s="6">
        <v>2</v>
      </c>
      <c r="F38" s="6">
        <v>1</v>
      </c>
      <c r="G38" s="8">
        <f t="shared" si="0"/>
        <v>0.5</v>
      </c>
      <c r="H38" s="6">
        <v>2</v>
      </c>
      <c r="I38" s="7">
        <f ca="1">(J38-税费参数!$B$12*SUM(税费参数!$B$9:税费参数!$B$10)/税费参数!$B$11)/(1+SUM(税费参数!$B$6:税费参数!$B$8))</f>
        <v>0.020397849701224</v>
      </c>
      <c r="J38" s="7">
        <v>0.0229357798165138</v>
      </c>
      <c r="K38" s="6" t="s">
        <v>158</v>
      </c>
    </row>
    <row r="39" ht="21" customHeight="1" spans="1:11">
      <c r="A39" s="5" t="s">
        <v>15</v>
      </c>
      <c r="B39" s="6" t="s">
        <v>63</v>
      </c>
      <c r="C39" s="6" t="s">
        <v>157</v>
      </c>
      <c r="D39" s="6" t="s">
        <v>153</v>
      </c>
      <c r="E39" s="6">
        <v>3</v>
      </c>
      <c r="F39" s="6">
        <v>3</v>
      </c>
      <c r="G39" s="8">
        <f t="shared" si="0"/>
        <v>1</v>
      </c>
      <c r="H39" s="6">
        <v>1</v>
      </c>
      <c r="I39" s="7">
        <f ca="1">(J39-税费参数!$B$12*SUM(税费参数!$B$9:税费参数!$B$10)/税费参数!$B$11)/(1+SUM(税费参数!$B$6:税费参数!$B$8))</f>
        <v>0.0195355491965661</v>
      </c>
      <c r="J39" s="7">
        <v>0.0220454545454545</v>
      </c>
      <c r="K39" s="6" t="s">
        <v>158</v>
      </c>
    </row>
    <row r="40" ht="21" customHeight="1" spans="1:11">
      <c r="A40" s="5" t="s">
        <v>15</v>
      </c>
      <c r="B40" s="6" t="s">
        <v>63</v>
      </c>
      <c r="C40" s="6" t="s">
        <v>157</v>
      </c>
      <c r="D40" s="6" t="s">
        <v>155</v>
      </c>
      <c r="E40" s="6">
        <v>1</v>
      </c>
      <c r="F40" s="6">
        <v>0</v>
      </c>
      <c r="G40" s="8">
        <f t="shared" si="0"/>
        <v>0</v>
      </c>
      <c r="H40" s="6">
        <v>0</v>
      </c>
      <c r="I40" s="7"/>
      <c r="J40" s="7"/>
      <c r="K40" s="6" t="s">
        <v>156</v>
      </c>
    </row>
    <row r="41" ht="21" customHeight="1" spans="1:11">
      <c r="A41" s="5" t="s">
        <v>15</v>
      </c>
      <c r="B41" s="6" t="s">
        <v>58</v>
      </c>
      <c r="C41" s="6" t="s">
        <v>152</v>
      </c>
      <c r="D41" s="6" t="s">
        <v>160</v>
      </c>
      <c r="E41" s="6">
        <v>15</v>
      </c>
      <c r="F41" s="6">
        <v>15</v>
      </c>
      <c r="G41" s="8">
        <f t="shared" si="0"/>
        <v>1</v>
      </c>
      <c r="H41" s="6">
        <v>6</v>
      </c>
      <c r="I41" s="7">
        <f ca="1">(J41-税费参数!$B$12*SUM(税费参数!$B$9:税费参数!$B$10)/税费参数!$B$11)/(1+SUM(税费参数!$B$6:税费参数!$B$8))</f>
        <v>0.0221664937161305</v>
      </c>
      <c r="J41" s="7">
        <v>0.0247619047619048</v>
      </c>
      <c r="K41" s="6" t="s">
        <v>154</v>
      </c>
    </row>
    <row r="42" ht="21" customHeight="1" spans="1:11">
      <c r="A42" s="5" t="s">
        <v>15</v>
      </c>
      <c r="B42" s="6" t="s">
        <v>58</v>
      </c>
      <c r="C42" s="6" t="s">
        <v>152</v>
      </c>
      <c r="D42" s="6" t="s">
        <v>153</v>
      </c>
      <c r="E42" s="6">
        <v>12</v>
      </c>
      <c r="F42" s="6">
        <v>12</v>
      </c>
      <c r="G42" s="8">
        <f t="shared" si="0"/>
        <v>1</v>
      </c>
      <c r="H42" s="6">
        <v>4</v>
      </c>
      <c r="I42" s="7">
        <f ca="1">(J42-税费参数!$B$12*SUM(税费参数!$B$9:税费参数!$B$10)/税费参数!$B$11)/(1+SUM(税费参数!$B$6:税费参数!$B$8))</f>
        <v>0.0222817940735616</v>
      </c>
      <c r="J42" s="7">
        <v>0.0248809523809524</v>
      </c>
      <c r="K42" s="6" t="s">
        <v>154</v>
      </c>
    </row>
    <row r="43" ht="21" customHeight="1" spans="1:11">
      <c r="A43" s="5" t="s">
        <v>15</v>
      </c>
      <c r="B43" s="6" t="s">
        <v>68</v>
      </c>
      <c r="C43" s="6" t="s">
        <v>152</v>
      </c>
      <c r="D43" s="6" t="s">
        <v>160</v>
      </c>
      <c r="E43" s="6">
        <v>1</v>
      </c>
      <c r="F43" s="6">
        <v>1</v>
      </c>
      <c r="G43" s="8">
        <f t="shared" si="0"/>
        <v>1</v>
      </c>
      <c r="H43" s="6">
        <v>4</v>
      </c>
      <c r="I43" s="7">
        <f ca="1">(J43-税费参数!$B$12*SUM(税费参数!$B$9:税费参数!$B$10)/税费参数!$B$11)/(1+SUM(税费参数!$B$6:税费参数!$B$8))</f>
        <v>0.0157935285053929</v>
      </c>
      <c r="J43" s="7">
        <v>0.0181818181818182</v>
      </c>
      <c r="K43" s="6" t="s">
        <v>158</v>
      </c>
    </row>
    <row r="44" ht="21" customHeight="1" spans="1:11">
      <c r="A44" s="5" t="s">
        <v>15</v>
      </c>
      <c r="B44" s="6" t="s">
        <v>68</v>
      </c>
      <c r="C44" s="6" t="s">
        <v>152</v>
      </c>
      <c r="D44" s="6" t="s">
        <v>153</v>
      </c>
      <c r="E44" s="6">
        <v>6</v>
      </c>
      <c r="F44" s="6">
        <v>4</v>
      </c>
      <c r="G44" s="8">
        <f t="shared" si="0"/>
        <v>0.666666666666667</v>
      </c>
      <c r="H44" s="6">
        <v>1</v>
      </c>
      <c r="I44" s="7">
        <f ca="1">(J44-税费参数!$B$12*SUM(税费参数!$B$9:税费参数!$B$10)/税费参数!$B$11)/(1+SUM(税费参数!$B$6:税费参数!$B$8))</f>
        <v>0.0169902912621359</v>
      </c>
      <c r="J44" s="7">
        <v>0.0194174757281553</v>
      </c>
      <c r="K44" s="6" t="s">
        <v>158</v>
      </c>
    </row>
    <row r="45" ht="21" customHeight="1" spans="1:11">
      <c r="A45" s="5" t="s">
        <v>15</v>
      </c>
      <c r="B45" s="6" t="s">
        <v>57</v>
      </c>
      <c r="C45" s="6" t="s">
        <v>157</v>
      </c>
      <c r="D45" s="6" t="s">
        <v>161</v>
      </c>
      <c r="E45" s="6">
        <v>1</v>
      </c>
      <c r="F45" s="6">
        <v>0</v>
      </c>
      <c r="G45" s="8">
        <f t="shared" si="0"/>
        <v>0</v>
      </c>
      <c r="H45" s="6">
        <v>0</v>
      </c>
      <c r="I45" s="7"/>
      <c r="J45" s="7"/>
      <c r="K45" s="6" t="s">
        <v>156</v>
      </c>
    </row>
    <row r="46" ht="21" customHeight="1" spans="1:11">
      <c r="A46" s="5" t="s">
        <v>15</v>
      </c>
      <c r="B46" s="6" t="s">
        <v>57</v>
      </c>
      <c r="C46" s="6" t="s">
        <v>157</v>
      </c>
      <c r="D46" s="6" t="s">
        <v>155</v>
      </c>
      <c r="E46" s="6">
        <v>2</v>
      </c>
      <c r="F46" s="6">
        <v>2</v>
      </c>
      <c r="G46" s="8">
        <f t="shared" si="0"/>
        <v>1</v>
      </c>
      <c r="H46" s="6">
        <v>7</v>
      </c>
      <c r="I46" s="7">
        <f ca="1">(J46-税费参数!$B$12*SUM(税费参数!$B$9:税费参数!$B$10)/税费参数!$B$11)/(1+SUM(税费参数!$B$6:税费参数!$B$8))</f>
        <v>0.0211981086602984</v>
      </c>
      <c r="J46" s="7">
        <v>0.0237620471917581</v>
      </c>
      <c r="K46" s="6" t="s">
        <v>154</v>
      </c>
    </row>
    <row r="47" ht="21" customHeight="1" spans="1:11">
      <c r="A47" s="5" t="s">
        <v>15</v>
      </c>
      <c r="B47" s="6" t="s">
        <v>57</v>
      </c>
      <c r="C47" s="6" t="s">
        <v>157</v>
      </c>
      <c r="D47" s="6" t="s">
        <v>162</v>
      </c>
      <c r="E47" s="6">
        <v>1</v>
      </c>
      <c r="F47" s="6">
        <v>1</v>
      </c>
      <c r="G47" s="8">
        <f t="shared" si="0"/>
        <v>1</v>
      </c>
      <c r="H47" s="6">
        <v>2</v>
      </c>
      <c r="I47" s="7">
        <f ca="1">(J47-税费参数!$B$12*SUM(税费参数!$B$9:税费参数!$B$10)/税费参数!$B$11)/(1+SUM(税费参数!$B$6:税费参数!$B$8))</f>
        <v>0.0348194546794399</v>
      </c>
      <c r="J47" s="7">
        <v>0.0378260869565217</v>
      </c>
      <c r="K47" s="6" t="s">
        <v>158</v>
      </c>
    </row>
    <row r="48" ht="21" customHeight="1" spans="1:11">
      <c r="A48" s="5" t="s">
        <v>15</v>
      </c>
      <c r="B48" s="6" t="s">
        <v>64</v>
      </c>
      <c r="C48" s="6" t="s">
        <v>152</v>
      </c>
      <c r="D48" s="6" t="s">
        <v>160</v>
      </c>
      <c r="E48" s="6">
        <v>2</v>
      </c>
      <c r="F48" s="6">
        <v>2</v>
      </c>
      <c r="G48" s="8">
        <f t="shared" si="0"/>
        <v>1</v>
      </c>
      <c r="H48" s="6">
        <v>1</v>
      </c>
      <c r="I48" s="7">
        <f ca="1">(J48-税费参数!$B$12*SUM(税费参数!$B$9:税费参数!$B$10)/税费参数!$B$11)/(1+SUM(税费参数!$B$6:税费参数!$B$8))</f>
        <v>0.0154764081078359</v>
      </c>
      <c r="J48" s="7">
        <v>0.0178543913713405</v>
      </c>
      <c r="K48" s="6" t="s">
        <v>158</v>
      </c>
    </row>
    <row r="49" ht="21" customHeight="1" spans="1:11">
      <c r="A49" s="5" t="s">
        <v>15</v>
      </c>
      <c r="B49" s="6" t="s">
        <v>64</v>
      </c>
      <c r="C49" s="6" t="s">
        <v>152</v>
      </c>
      <c r="D49" s="6" t="s">
        <v>153</v>
      </c>
      <c r="E49" s="6">
        <v>6</v>
      </c>
      <c r="F49" s="6">
        <v>6</v>
      </c>
      <c r="G49" s="8">
        <f t="shared" si="0"/>
        <v>1</v>
      </c>
      <c r="H49" s="6">
        <v>4</v>
      </c>
      <c r="I49" s="7">
        <f ca="1">(J49-税费参数!$B$12*SUM(税费参数!$B$9:税费参数!$B$10)/税费参数!$B$11)/(1+SUM(税费参数!$B$6:税费参数!$B$8))</f>
        <v>0.0200337360475415</v>
      </c>
      <c r="J49" s="7">
        <v>0.0225598324690866</v>
      </c>
      <c r="K49" s="6" t="s">
        <v>154</v>
      </c>
    </row>
    <row r="50" ht="21" customHeight="1" spans="1:11">
      <c r="A50" s="5" t="s">
        <v>15</v>
      </c>
      <c r="B50" s="6" t="s">
        <v>64</v>
      </c>
      <c r="C50" s="6" t="s">
        <v>152</v>
      </c>
      <c r="D50" s="6" t="s">
        <v>155</v>
      </c>
      <c r="E50" s="6">
        <v>3</v>
      </c>
      <c r="F50" s="6">
        <v>3</v>
      </c>
      <c r="G50" s="8">
        <f t="shared" si="0"/>
        <v>1</v>
      </c>
      <c r="H50" s="6">
        <v>1</v>
      </c>
      <c r="I50" s="7">
        <f ca="1">(J50-税费参数!$B$12*SUM(税费参数!$B$9:税费参数!$B$10)/税费参数!$B$11)/(1+SUM(税费参数!$B$6:税费参数!$B$8))</f>
        <v>0.0230179425094679</v>
      </c>
      <c r="J50" s="7">
        <v>0.0256410256410256</v>
      </c>
      <c r="K50" s="6" t="s">
        <v>158</v>
      </c>
    </row>
    <row r="51" ht="21" customHeight="1" spans="1:11">
      <c r="A51" s="5" t="s">
        <v>15</v>
      </c>
      <c r="B51" s="6" t="s">
        <v>64</v>
      </c>
      <c r="C51" s="6" t="s">
        <v>159</v>
      </c>
      <c r="D51" s="6" t="s">
        <v>160</v>
      </c>
      <c r="E51" s="6">
        <v>4</v>
      </c>
      <c r="F51" s="6">
        <v>1</v>
      </c>
      <c r="G51" s="8">
        <f t="shared" si="0"/>
        <v>0.25</v>
      </c>
      <c r="H51" s="6">
        <v>1</v>
      </c>
      <c r="I51" s="7">
        <f ca="1">(J51-税费参数!$B$12*SUM(税费参数!$B$9:税费参数!$B$10)/税费参数!$B$11)/(1+SUM(税费参数!$B$6:税费参数!$B$8))</f>
        <v>0.0165349815216006</v>
      </c>
      <c r="J51" s="7">
        <v>0.0189473684210526</v>
      </c>
      <c r="K51" s="6" t="s">
        <v>158</v>
      </c>
    </row>
    <row r="52" ht="21" customHeight="1" spans="1:11">
      <c r="A52" s="5" t="s">
        <v>15</v>
      </c>
      <c r="B52" s="6" t="s">
        <v>64</v>
      </c>
      <c r="C52" s="6" t="s">
        <v>159</v>
      </c>
      <c r="D52" s="6" t="s">
        <v>153</v>
      </c>
      <c r="E52" s="6">
        <v>2</v>
      </c>
      <c r="F52" s="6">
        <v>2</v>
      </c>
      <c r="G52" s="8">
        <f t="shared" si="0"/>
        <v>1</v>
      </c>
      <c r="H52" s="6">
        <v>2</v>
      </c>
      <c r="I52" s="7">
        <f ca="1">(J52-税费参数!$B$12*SUM(税费参数!$B$9:税费参数!$B$10)/税费参数!$B$11)/(1+SUM(税费参数!$B$6:税费参数!$B$8))</f>
        <v>0.0145112826945968</v>
      </c>
      <c r="J52" s="7">
        <v>0.0168578993821712</v>
      </c>
      <c r="K52" s="6" t="s">
        <v>154</v>
      </c>
    </row>
    <row r="53" ht="21" customHeight="1" spans="1:11">
      <c r="A53" s="5" t="s">
        <v>15</v>
      </c>
      <c r="B53" s="6" t="s">
        <v>70</v>
      </c>
      <c r="C53" s="6" t="s">
        <v>152</v>
      </c>
      <c r="D53" s="6" t="s">
        <v>153</v>
      </c>
      <c r="E53" s="6">
        <v>1</v>
      </c>
      <c r="F53" s="6">
        <v>0</v>
      </c>
      <c r="G53" s="8">
        <f t="shared" si="0"/>
        <v>0</v>
      </c>
      <c r="H53" s="6">
        <v>0</v>
      </c>
      <c r="I53" s="7"/>
      <c r="J53" s="7"/>
      <c r="K53" s="6" t="s">
        <v>156</v>
      </c>
    </row>
    <row r="54" ht="21" customHeight="1" spans="1:11">
      <c r="A54" s="5" t="s">
        <v>15</v>
      </c>
      <c r="B54" s="6" t="s">
        <v>55</v>
      </c>
      <c r="C54" s="6" t="s">
        <v>152</v>
      </c>
      <c r="D54" s="6" t="s">
        <v>160</v>
      </c>
      <c r="E54" s="6">
        <v>4</v>
      </c>
      <c r="F54" s="6">
        <v>4</v>
      </c>
      <c r="G54" s="8">
        <f t="shared" si="0"/>
        <v>1</v>
      </c>
      <c r="H54" s="6">
        <v>2</v>
      </c>
      <c r="I54" s="7">
        <f ca="1">(J54-税费参数!$B$12*SUM(税费参数!$B$9:税费参数!$B$10)/税费参数!$B$11)/(1+SUM(税费参数!$B$6:税费参数!$B$8))</f>
        <v>0.0254086115327552</v>
      </c>
      <c r="J54" s="7">
        <v>0.0281093914075697</v>
      </c>
      <c r="K54" s="6" t="s">
        <v>154</v>
      </c>
    </row>
    <row r="55" ht="21" customHeight="1" spans="1:11">
      <c r="A55" s="5" t="s">
        <v>15</v>
      </c>
      <c r="B55" s="6" t="s">
        <v>55</v>
      </c>
      <c r="C55" s="6" t="s">
        <v>152</v>
      </c>
      <c r="D55" s="6" t="s">
        <v>153</v>
      </c>
      <c r="E55" s="6">
        <v>3</v>
      </c>
      <c r="F55" s="6">
        <v>2</v>
      </c>
      <c r="G55" s="8">
        <f t="shared" si="0"/>
        <v>0.666666666666667</v>
      </c>
      <c r="H55" s="6">
        <v>1</v>
      </c>
      <c r="I55" s="7">
        <f ca="1">(J55-税费参数!$B$12*SUM(税费参数!$B$9:税费参数!$B$10)/税费参数!$B$11)/(1+SUM(税费参数!$B$6:税费参数!$B$8))</f>
        <v>0.019418661455789</v>
      </c>
      <c r="J55" s="7">
        <v>0.0219247679531021</v>
      </c>
      <c r="K55" s="6" t="s">
        <v>158</v>
      </c>
    </row>
    <row r="56" ht="21" customHeight="1" spans="1:11">
      <c r="A56" s="5" t="s">
        <v>15</v>
      </c>
      <c r="B56" s="6" t="s">
        <v>55</v>
      </c>
      <c r="C56" s="6" t="s">
        <v>157</v>
      </c>
      <c r="D56" s="6" t="s">
        <v>153</v>
      </c>
      <c r="E56" s="6">
        <v>1</v>
      </c>
      <c r="F56" s="6">
        <v>1</v>
      </c>
      <c r="G56" s="8">
        <f t="shared" si="0"/>
        <v>1</v>
      </c>
      <c r="H56" s="6">
        <v>1</v>
      </c>
      <c r="I56" s="7">
        <f ca="1">(J56-税费参数!$B$12*SUM(税费参数!$B$9:税费参数!$B$10)/税费参数!$B$11)/(1+SUM(税费参数!$B$6:税费参数!$B$8))</f>
        <v>0.0245982830728593</v>
      </c>
      <c r="J56" s="7">
        <v>0.0272727272727273</v>
      </c>
      <c r="K56" s="6" t="s">
        <v>158</v>
      </c>
    </row>
    <row r="57" ht="21" customHeight="1" spans="1:11">
      <c r="A57" s="5" t="s">
        <v>15</v>
      </c>
      <c r="B57" s="6" t="s">
        <v>55</v>
      </c>
      <c r="C57" s="6" t="s">
        <v>159</v>
      </c>
      <c r="D57" s="6" t="s">
        <v>160</v>
      </c>
      <c r="E57" s="6">
        <v>16</v>
      </c>
      <c r="F57" s="6">
        <v>16</v>
      </c>
      <c r="G57" s="8">
        <f t="shared" si="0"/>
        <v>1</v>
      </c>
      <c r="H57" s="6">
        <v>3</v>
      </c>
      <c r="I57" s="7">
        <f ca="1">(J57-税费参数!$B$12*SUM(税费参数!$B$9:税费参数!$B$10)/税费参数!$B$11)/(1+SUM(税费参数!$B$6:税费参数!$B$8))</f>
        <v>0.025856105153926</v>
      </c>
      <c r="J57" s="7">
        <v>0.0285714285714286</v>
      </c>
      <c r="K57" s="6" t="s">
        <v>154</v>
      </c>
    </row>
    <row r="58" ht="21" customHeight="1" spans="1:11">
      <c r="A58" s="5" t="s">
        <v>15</v>
      </c>
      <c r="B58" s="6" t="s">
        <v>55</v>
      </c>
      <c r="C58" s="6" t="s">
        <v>159</v>
      </c>
      <c r="D58" s="6" t="s">
        <v>153</v>
      </c>
      <c r="E58" s="6">
        <v>2</v>
      </c>
      <c r="F58" s="6">
        <v>2</v>
      </c>
      <c r="G58" s="8">
        <f t="shared" si="0"/>
        <v>1</v>
      </c>
      <c r="H58" s="6">
        <v>2</v>
      </c>
      <c r="I58" s="7">
        <f ca="1">(J58-税费参数!$B$12*SUM(税费参数!$B$9:税费参数!$B$10)/税费参数!$B$11)/(1+SUM(税费参数!$B$6:税费参数!$B$8))</f>
        <v>0.0251377782160503</v>
      </c>
      <c r="J58" s="7">
        <v>0.0278297560080719</v>
      </c>
      <c r="K58" s="6" t="s">
        <v>154</v>
      </c>
    </row>
    <row r="59" ht="21" customHeight="1" spans="1:11">
      <c r="A59" s="5" t="s">
        <v>15</v>
      </c>
      <c r="B59" s="6" t="s">
        <v>67</v>
      </c>
      <c r="C59" s="6" t="s">
        <v>152</v>
      </c>
      <c r="D59" s="6" t="s">
        <v>153</v>
      </c>
      <c r="E59" s="6">
        <v>3</v>
      </c>
      <c r="F59" s="6">
        <v>3</v>
      </c>
      <c r="G59" s="8">
        <f t="shared" si="0"/>
        <v>1</v>
      </c>
      <c r="H59" s="6">
        <v>4</v>
      </c>
      <c r="I59" s="7">
        <f ca="1">(J59-税费参数!$B$12*SUM(税费参数!$B$9:税费参数!$B$10)/税费参数!$B$11)/(1+SUM(税费参数!$B$6:税费参数!$B$8))</f>
        <v>0.0175544794188862</v>
      </c>
      <c r="J59" s="7">
        <v>0.02</v>
      </c>
      <c r="K59" s="6" t="s">
        <v>154</v>
      </c>
    </row>
    <row r="60" ht="21" customHeight="1" spans="1:11">
      <c r="A60" s="5" t="s">
        <v>15</v>
      </c>
      <c r="B60" s="6" t="s">
        <v>59</v>
      </c>
      <c r="C60" s="6" t="s">
        <v>152</v>
      </c>
      <c r="D60" s="6" t="s">
        <v>153</v>
      </c>
      <c r="E60" s="6">
        <v>8</v>
      </c>
      <c r="F60" s="6">
        <v>8</v>
      </c>
      <c r="G60" s="8">
        <f t="shared" si="0"/>
        <v>1</v>
      </c>
      <c r="H60" s="6">
        <v>13</v>
      </c>
      <c r="I60" s="7">
        <f ca="1">(J60-税费参数!$B$12*SUM(税费参数!$B$9:税费参数!$B$10)/税费参数!$B$11)/(1+SUM(税费参数!$B$6:税费参数!$B$8))</f>
        <v>0.0240863787375415</v>
      </c>
      <c r="J60" s="7">
        <v>0.0267441860465116</v>
      </c>
      <c r="K60" s="6" t="s">
        <v>154</v>
      </c>
    </row>
    <row r="61" ht="21" customHeight="1" spans="1:11">
      <c r="A61" s="5" t="s">
        <v>15</v>
      </c>
      <c r="B61" s="6" t="s">
        <v>59</v>
      </c>
      <c r="C61" s="6" t="s">
        <v>152</v>
      </c>
      <c r="D61" s="6" t="s">
        <v>161</v>
      </c>
      <c r="E61" s="6">
        <v>1</v>
      </c>
      <c r="F61" s="6">
        <v>0</v>
      </c>
      <c r="G61" s="8">
        <f t="shared" si="0"/>
        <v>0</v>
      </c>
      <c r="H61" s="6">
        <v>0</v>
      </c>
      <c r="I61" s="7"/>
      <c r="J61" s="7"/>
      <c r="K61" s="6" t="s">
        <v>156</v>
      </c>
    </row>
    <row r="62" ht="21" customHeight="1" spans="1:11">
      <c r="A62" s="5" t="s">
        <v>15</v>
      </c>
      <c r="B62" s="6" t="s">
        <v>59</v>
      </c>
      <c r="C62" s="6" t="s">
        <v>157</v>
      </c>
      <c r="D62" s="6" t="s">
        <v>153</v>
      </c>
      <c r="E62" s="6">
        <v>4</v>
      </c>
      <c r="F62" s="6">
        <v>4</v>
      </c>
      <c r="G62" s="8">
        <f t="shared" si="0"/>
        <v>1</v>
      </c>
      <c r="H62" s="6">
        <v>1</v>
      </c>
      <c r="I62" s="7">
        <f ca="1">(J62-税费参数!$B$12*SUM(税费参数!$B$9:税费参数!$B$10)/税费参数!$B$11)/(1+SUM(税费参数!$B$6:税费参数!$B$8))</f>
        <v>0.0184724566080498</v>
      </c>
      <c r="J62" s="7">
        <v>0.0209478114478114</v>
      </c>
      <c r="K62" s="6" t="s">
        <v>158</v>
      </c>
    </row>
    <row r="63" ht="21" customHeight="1" spans="1:11">
      <c r="A63" s="5" t="s">
        <v>15</v>
      </c>
      <c r="B63" s="6" t="s">
        <v>71</v>
      </c>
      <c r="C63" s="6" t="s">
        <v>152</v>
      </c>
      <c r="D63" s="6" t="s">
        <v>160</v>
      </c>
      <c r="E63" s="6">
        <v>1</v>
      </c>
      <c r="F63" s="6">
        <v>0</v>
      </c>
      <c r="G63" s="8">
        <f t="shared" si="0"/>
        <v>0</v>
      </c>
      <c r="H63" s="6">
        <v>0</v>
      </c>
      <c r="I63" s="7"/>
      <c r="J63" s="7"/>
      <c r="K63" s="6" t="s">
        <v>156</v>
      </c>
    </row>
    <row r="64" ht="21" customHeight="1" spans="1:11">
      <c r="A64" s="5" t="s">
        <v>15</v>
      </c>
      <c r="B64" s="6" t="s">
        <v>71</v>
      </c>
      <c r="C64" s="6" t="s">
        <v>152</v>
      </c>
      <c r="D64" s="6" t="s">
        <v>153</v>
      </c>
      <c r="E64" s="6">
        <v>1</v>
      </c>
      <c r="F64" s="6">
        <v>0</v>
      </c>
      <c r="G64" s="8">
        <f t="shared" si="0"/>
        <v>0</v>
      </c>
      <c r="H64" s="6">
        <v>0</v>
      </c>
      <c r="I64" s="7"/>
      <c r="J64" s="7"/>
      <c r="K64" s="6" t="s">
        <v>156</v>
      </c>
    </row>
    <row r="65" ht="21" customHeight="1" spans="1:11">
      <c r="A65" s="5" t="s">
        <v>15</v>
      </c>
      <c r="B65" s="6" t="s">
        <v>71</v>
      </c>
      <c r="C65" s="6" t="s">
        <v>159</v>
      </c>
      <c r="D65" s="6" t="s">
        <v>160</v>
      </c>
      <c r="E65" s="6">
        <v>16</v>
      </c>
      <c r="F65" s="6">
        <v>0</v>
      </c>
      <c r="G65" s="8">
        <f t="shared" si="0"/>
        <v>0</v>
      </c>
      <c r="H65" s="6">
        <v>0</v>
      </c>
      <c r="I65" s="7"/>
      <c r="J65" s="7"/>
      <c r="K65" s="6" t="s">
        <v>156</v>
      </c>
    </row>
    <row r="66" ht="21" customHeight="1" spans="1:11">
      <c r="A66" s="5" t="s">
        <v>15</v>
      </c>
      <c r="B66" s="6" t="s">
        <v>71</v>
      </c>
      <c r="C66" s="6" t="s">
        <v>159</v>
      </c>
      <c r="D66" s="6" t="s">
        <v>153</v>
      </c>
      <c r="E66" s="6">
        <v>6</v>
      </c>
      <c r="F66" s="6">
        <v>0</v>
      </c>
      <c r="G66" s="8">
        <f t="shared" si="0"/>
        <v>0</v>
      </c>
      <c r="H66" s="6">
        <v>0</v>
      </c>
      <c r="I66" s="7"/>
      <c r="J66" s="7"/>
      <c r="K66" s="6" t="s">
        <v>156</v>
      </c>
    </row>
    <row r="67" ht="21" customHeight="1" spans="1:11">
      <c r="A67" s="5" t="s">
        <v>15</v>
      </c>
      <c r="B67" s="6" t="s">
        <v>65</v>
      </c>
      <c r="C67" s="6" t="s">
        <v>152</v>
      </c>
      <c r="D67" s="6" t="s">
        <v>160</v>
      </c>
      <c r="E67" s="6">
        <v>2</v>
      </c>
      <c r="F67" s="6">
        <v>2</v>
      </c>
      <c r="G67" s="8">
        <f t="shared" si="0"/>
        <v>1</v>
      </c>
      <c r="H67" s="6">
        <v>3</v>
      </c>
      <c r="I67" s="7">
        <f ca="1">(J67-税费参数!$B$12*SUM(税费参数!$B$9:税费参数!$B$10)/税费参数!$B$11)/(1+SUM(税费参数!$B$6:税费参数!$B$8))</f>
        <v>0.0172073689022842</v>
      </c>
      <c r="J67" s="7">
        <v>0.0196416083916084</v>
      </c>
      <c r="K67" s="6" t="s">
        <v>154</v>
      </c>
    </row>
    <row r="68" ht="21" customHeight="1" spans="1:11">
      <c r="A68" s="5" t="s">
        <v>15</v>
      </c>
      <c r="B68" s="6" t="s">
        <v>65</v>
      </c>
      <c r="C68" s="6" t="s">
        <v>152</v>
      </c>
      <c r="D68" s="6" t="s">
        <v>153</v>
      </c>
      <c r="E68" s="6">
        <v>6</v>
      </c>
      <c r="F68" s="6">
        <v>6</v>
      </c>
      <c r="G68" s="8">
        <f t="shared" si="0"/>
        <v>1</v>
      </c>
      <c r="H68" s="6">
        <v>7</v>
      </c>
      <c r="I68" s="7">
        <f ca="1">(J68-税费参数!$B$12*SUM(税费参数!$B$9:税费参数!$B$10)/税费参数!$B$11)/(1+SUM(税费参数!$B$6:税费参数!$B$8))</f>
        <v>0.0189725660579454</v>
      </c>
      <c r="J68" s="7">
        <v>0.0214641744548287</v>
      </c>
      <c r="K68" s="6" t="s">
        <v>154</v>
      </c>
    </row>
    <row r="69" ht="21" customHeight="1" spans="1:11">
      <c r="A69" s="5" t="s">
        <v>15</v>
      </c>
      <c r="B69" s="6" t="s">
        <v>65</v>
      </c>
      <c r="C69" s="6" t="s">
        <v>159</v>
      </c>
      <c r="D69" s="6" t="s">
        <v>160</v>
      </c>
      <c r="E69" s="6">
        <v>2</v>
      </c>
      <c r="F69" s="6">
        <v>0</v>
      </c>
      <c r="G69" s="8">
        <f t="shared" si="0"/>
        <v>0</v>
      </c>
      <c r="H69" s="6">
        <v>0</v>
      </c>
      <c r="I69" s="7"/>
      <c r="J69" s="7"/>
      <c r="K69" s="6" t="s">
        <v>156</v>
      </c>
    </row>
    <row r="70" ht="21" customHeight="1" spans="1:11">
      <c r="A70" s="5" t="s">
        <v>15</v>
      </c>
      <c r="B70" s="6" t="s">
        <v>61</v>
      </c>
      <c r="C70" s="6" t="s">
        <v>157</v>
      </c>
      <c r="D70" s="6" t="s">
        <v>155</v>
      </c>
      <c r="E70" s="6">
        <v>1</v>
      </c>
      <c r="F70" s="6">
        <v>1</v>
      </c>
      <c r="G70" s="8">
        <f t="shared" si="0"/>
        <v>1</v>
      </c>
      <c r="H70" s="6">
        <v>5</v>
      </c>
      <c r="I70" s="7">
        <f ca="1">(J70-税费参数!$B$12*SUM(税费参数!$B$9:税费参数!$B$10)/税费参数!$B$11)/(1+SUM(税费参数!$B$6:税费参数!$B$8))</f>
        <v>0.0201589110220359</v>
      </c>
      <c r="J70" s="7">
        <v>0.0226890756302521</v>
      </c>
      <c r="K70" s="6" t="s">
        <v>158</v>
      </c>
    </row>
    <row r="71" ht="21" customHeight="1" spans="1:11">
      <c r="A71" s="5" t="s">
        <v>15</v>
      </c>
      <c r="B71" s="6" t="s">
        <v>62</v>
      </c>
      <c r="C71" s="6" t="s">
        <v>152</v>
      </c>
      <c r="D71" s="6" t="s">
        <v>160</v>
      </c>
      <c r="E71" s="6">
        <v>1</v>
      </c>
      <c r="F71" s="6">
        <v>1</v>
      </c>
      <c r="G71" s="8">
        <f t="shared" ref="G71:G134" si="1">F71/E71</f>
        <v>1</v>
      </c>
      <c r="H71" s="6">
        <v>1</v>
      </c>
      <c r="I71" s="7">
        <f ca="1">(J71-税费参数!$B$12*SUM(税费参数!$B$9:税费参数!$B$10)/税费参数!$B$11)/(1+SUM(税费参数!$B$6:税费参数!$B$8))</f>
        <v>0.0202448210922787</v>
      </c>
      <c r="J71" s="7">
        <v>0.0227777777777778</v>
      </c>
      <c r="K71" s="6" t="s">
        <v>158</v>
      </c>
    </row>
    <row r="72" ht="21" customHeight="1" spans="1:11">
      <c r="A72" s="5" t="s">
        <v>15</v>
      </c>
      <c r="B72" s="6" t="s">
        <v>62</v>
      </c>
      <c r="C72" s="6" t="s">
        <v>152</v>
      </c>
      <c r="D72" s="6" t="s">
        <v>153</v>
      </c>
      <c r="E72" s="6">
        <v>13</v>
      </c>
      <c r="F72" s="6">
        <v>12</v>
      </c>
      <c r="G72" s="8">
        <f t="shared" si="1"/>
        <v>0.923076923076923</v>
      </c>
      <c r="H72" s="6">
        <v>4</v>
      </c>
      <c r="I72" s="7">
        <f ca="1">(J72-税费参数!$B$12*SUM(税费参数!$B$9:税费参数!$B$10)/税费参数!$B$11)/(1+SUM(税费参数!$B$6:税费参数!$B$8))</f>
        <v>0.0193264128236538</v>
      </c>
      <c r="J72" s="7">
        <v>0.0218295212404225</v>
      </c>
      <c r="K72" s="6" t="s">
        <v>154</v>
      </c>
    </row>
    <row r="73" ht="21" customHeight="1" spans="1:11">
      <c r="A73" s="5" t="s">
        <v>15</v>
      </c>
      <c r="B73" s="6" t="s">
        <v>62</v>
      </c>
      <c r="C73" s="6" t="s">
        <v>159</v>
      </c>
      <c r="D73" s="6" t="s">
        <v>160</v>
      </c>
      <c r="E73" s="6">
        <v>2</v>
      </c>
      <c r="F73" s="6">
        <v>0</v>
      </c>
      <c r="G73" s="8">
        <f t="shared" si="1"/>
        <v>0</v>
      </c>
      <c r="H73" s="6">
        <v>0</v>
      </c>
      <c r="I73" s="7"/>
      <c r="J73" s="7"/>
      <c r="K73" s="6" t="s">
        <v>156</v>
      </c>
    </row>
    <row r="74" ht="21" customHeight="1" spans="1:11">
      <c r="A74" s="5" t="s">
        <v>15</v>
      </c>
      <c r="B74" s="6" t="s">
        <v>62</v>
      </c>
      <c r="C74" s="6" t="s">
        <v>159</v>
      </c>
      <c r="D74" s="6" t="s">
        <v>155</v>
      </c>
      <c r="E74" s="6">
        <v>1</v>
      </c>
      <c r="F74" s="6">
        <v>0</v>
      </c>
      <c r="G74" s="8">
        <f t="shared" si="1"/>
        <v>0</v>
      </c>
      <c r="H74" s="6">
        <v>0</v>
      </c>
      <c r="I74" s="7"/>
      <c r="J74" s="7"/>
      <c r="K74" s="6" t="s">
        <v>156</v>
      </c>
    </row>
    <row r="75" ht="21" customHeight="1" spans="1:11">
      <c r="A75" s="5" t="s">
        <v>15</v>
      </c>
      <c r="B75" s="6" t="s">
        <v>66</v>
      </c>
      <c r="C75" s="6" t="s">
        <v>152</v>
      </c>
      <c r="D75" s="6" t="s">
        <v>153</v>
      </c>
      <c r="E75" s="6">
        <v>15</v>
      </c>
      <c r="F75" s="6">
        <v>15</v>
      </c>
      <c r="G75" s="8">
        <f t="shared" si="1"/>
        <v>1</v>
      </c>
      <c r="H75" s="6">
        <v>15</v>
      </c>
      <c r="I75" s="7">
        <f ca="1">(J75-税费参数!$B$12*SUM(税费参数!$B$9:税费参数!$B$10)/税费参数!$B$11)/(1+SUM(税费参数!$B$6:税费参数!$B$8))</f>
        <v>0.0179947171472595</v>
      </c>
      <c r="J75" s="7">
        <v>0.0204545454545455</v>
      </c>
      <c r="K75" s="6" t="s">
        <v>154</v>
      </c>
    </row>
    <row r="76" ht="21" customHeight="1" spans="1:11">
      <c r="A76" s="5" t="s">
        <v>15</v>
      </c>
      <c r="B76" s="6" t="s">
        <v>66</v>
      </c>
      <c r="C76" s="6" t="s">
        <v>159</v>
      </c>
      <c r="D76" s="6" t="s">
        <v>160</v>
      </c>
      <c r="E76" s="6">
        <v>1</v>
      </c>
      <c r="F76" s="6">
        <v>0</v>
      </c>
      <c r="G76" s="8">
        <f t="shared" si="1"/>
        <v>0</v>
      </c>
      <c r="H76" s="6">
        <v>0</v>
      </c>
      <c r="I76" s="7"/>
      <c r="J76" s="7"/>
      <c r="K76" s="6" t="s">
        <v>156</v>
      </c>
    </row>
    <row r="77" ht="21" customHeight="1" spans="1:11">
      <c r="A77" s="5" t="s">
        <v>15</v>
      </c>
      <c r="B77" s="6" t="s">
        <v>66</v>
      </c>
      <c r="C77" s="6" t="s">
        <v>159</v>
      </c>
      <c r="D77" s="6" t="s">
        <v>153</v>
      </c>
      <c r="E77" s="6">
        <v>1</v>
      </c>
      <c r="F77" s="6">
        <v>1</v>
      </c>
      <c r="G77" s="8">
        <f t="shared" si="1"/>
        <v>1</v>
      </c>
      <c r="H77" s="6">
        <v>1</v>
      </c>
      <c r="I77" s="7">
        <f ca="1">(J77-税费参数!$B$12*SUM(税费参数!$B$9:税费参数!$B$10)/税费参数!$B$11)/(1+SUM(税费参数!$B$6:税费参数!$B$8))</f>
        <v>0.0189069214492943</v>
      </c>
      <c r="J77" s="7">
        <v>0.0213963963963964</v>
      </c>
      <c r="K77" s="6" t="s">
        <v>158</v>
      </c>
    </row>
    <row r="78" ht="21" customHeight="1" spans="1:11">
      <c r="A78" s="5" t="s">
        <v>15</v>
      </c>
      <c r="B78" s="6" t="s">
        <v>54</v>
      </c>
      <c r="C78" s="6" t="s">
        <v>152</v>
      </c>
      <c r="D78" s="6" t="s">
        <v>153</v>
      </c>
      <c r="E78" s="6">
        <v>1</v>
      </c>
      <c r="F78" s="6">
        <v>1</v>
      </c>
      <c r="G78" s="8">
        <f t="shared" si="1"/>
        <v>1</v>
      </c>
      <c r="H78" s="6">
        <v>1</v>
      </c>
      <c r="I78" s="7">
        <f ca="1">(J78-税费参数!$B$12*SUM(税费参数!$B$9:税费参数!$B$10)/税费参数!$B$11)/(1+SUM(税费参数!$B$6:税费参数!$B$8))</f>
        <v>0.0273723838269926</v>
      </c>
      <c r="J78" s="7">
        <v>0.0301369863013699</v>
      </c>
      <c r="K78" s="6" t="s">
        <v>158</v>
      </c>
    </row>
    <row r="79" ht="21" customHeight="1" spans="1:11">
      <c r="A79" s="5" t="s">
        <v>12</v>
      </c>
      <c r="B79" s="6" t="s">
        <v>75</v>
      </c>
      <c r="C79" s="6" t="s">
        <v>152</v>
      </c>
      <c r="D79" s="6" t="s">
        <v>153</v>
      </c>
      <c r="E79" s="6">
        <v>3</v>
      </c>
      <c r="F79" s="6">
        <v>3</v>
      </c>
      <c r="G79" s="8">
        <f t="shared" si="1"/>
        <v>1</v>
      </c>
      <c r="H79" s="6">
        <v>1</v>
      </c>
      <c r="I79" s="7">
        <f ca="1">(J79-税费参数!$B$12*SUM(税费参数!$B$9:税费参数!$B$10)/税费参数!$B$11)/(1+SUM(税费参数!$B$6:税费参数!$B$8))</f>
        <v>0.0288334814724002</v>
      </c>
      <c r="J79" s="7">
        <v>0.0316455696202532</v>
      </c>
      <c r="K79" s="6" t="s">
        <v>158</v>
      </c>
    </row>
    <row r="80" ht="21" customHeight="1" spans="1:11">
      <c r="A80" s="5" t="s">
        <v>12</v>
      </c>
      <c r="B80" s="6" t="s">
        <v>77</v>
      </c>
      <c r="C80" s="6" t="s">
        <v>152</v>
      </c>
      <c r="D80" s="6" t="s">
        <v>153</v>
      </c>
      <c r="E80" s="6">
        <v>8</v>
      </c>
      <c r="F80" s="6">
        <v>8</v>
      </c>
      <c r="G80" s="8">
        <f t="shared" si="1"/>
        <v>1</v>
      </c>
      <c r="H80" s="6">
        <v>7</v>
      </c>
      <c r="I80" s="7">
        <f ca="1">(J80-税费参数!$B$12*SUM(税费参数!$B$9:税费参数!$B$10)/税费参数!$B$11)/(1+SUM(税费参数!$B$6:税费参数!$B$8))</f>
        <v>0.0258494702228718</v>
      </c>
      <c r="J80" s="7">
        <v>0.0285645780051151</v>
      </c>
      <c r="K80" s="6" t="s">
        <v>154</v>
      </c>
    </row>
    <row r="81" ht="21" customHeight="1" spans="1:11">
      <c r="A81" s="5" t="s">
        <v>12</v>
      </c>
      <c r="B81" s="6" t="s">
        <v>77</v>
      </c>
      <c r="C81" s="6" t="s">
        <v>157</v>
      </c>
      <c r="D81" s="6" t="s">
        <v>153</v>
      </c>
      <c r="E81" s="6">
        <v>1</v>
      </c>
      <c r="F81" s="6">
        <v>1</v>
      </c>
      <c r="G81" s="8">
        <f t="shared" si="1"/>
        <v>1</v>
      </c>
      <c r="H81" s="6">
        <v>4</v>
      </c>
      <c r="I81" s="7">
        <f ca="1">(J81-税费参数!$B$12*SUM(税费参数!$B$9:税费参数!$B$10)/税费参数!$B$11)/(1+SUM(税费参数!$B$6:税费参数!$B$8))</f>
        <v>0.0219568567026194</v>
      </c>
      <c r="J81" s="7">
        <v>0.0245454545454545</v>
      </c>
      <c r="K81" s="6" t="s">
        <v>158</v>
      </c>
    </row>
    <row r="82" ht="21" customHeight="1" spans="1:11">
      <c r="A82" s="5" t="s">
        <v>12</v>
      </c>
      <c r="B82" s="6" t="s">
        <v>77</v>
      </c>
      <c r="C82" s="6" t="s">
        <v>157</v>
      </c>
      <c r="D82" s="6" t="s">
        <v>155</v>
      </c>
      <c r="E82" s="6">
        <v>3</v>
      </c>
      <c r="F82" s="6">
        <v>3</v>
      </c>
      <c r="G82" s="8">
        <f t="shared" si="1"/>
        <v>1</v>
      </c>
      <c r="H82" s="6">
        <v>12</v>
      </c>
      <c r="I82" s="7">
        <f ca="1">(J82-税费参数!$B$12*SUM(税费参数!$B$9:税费参数!$B$10)/税费参数!$B$11)/(1+SUM(税费参数!$B$6:税费参数!$B$8))</f>
        <v>0.0234059725585149</v>
      </c>
      <c r="J82" s="7">
        <v>0.0260416666666667</v>
      </c>
      <c r="K82" s="6" t="s">
        <v>154</v>
      </c>
    </row>
    <row r="83" ht="21" customHeight="1" spans="1:11">
      <c r="A83" s="5" t="s">
        <v>12</v>
      </c>
      <c r="B83" s="6" t="s">
        <v>72</v>
      </c>
      <c r="C83" s="6" t="s">
        <v>159</v>
      </c>
      <c r="D83" s="6" t="s">
        <v>160</v>
      </c>
      <c r="E83" s="6">
        <v>4</v>
      </c>
      <c r="F83" s="6">
        <v>4</v>
      </c>
      <c r="G83" s="8">
        <f t="shared" si="1"/>
        <v>1</v>
      </c>
      <c r="H83" s="6">
        <v>7</v>
      </c>
      <c r="I83" s="7">
        <f ca="1">(J83-税费参数!$B$12*SUM(税费参数!$B$9:税费参数!$B$10)/税费参数!$B$11)/(1+SUM(税费参数!$B$6:税费参数!$B$8))</f>
        <v>0.0379103553127991</v>
      </c>
      <c r="J83" s="7">
        <v>0.0410174418604651</v>
      </c>
      <c r="K83" s="6" t="s">
        <v>154</v>
      </c>
    </row>
    <row r="84" ht="21" customHeight="1" spans="1:11">
      <c r="A84" s="5" t="s">
        <v>12</v>
      </c>
      <c r="B84" s="6" t="s">
        <v>72</v>
      </c>
      <c r="C84" s="6" t="s">
        <v>159</v>
      </c>
      <c r="D84" s="6" t="s">
        <v>153</v>
      </c>
      <c r="E84" s="6">
        <v>1</v>
      </c>
      <c r="F84" s="6">
        <v>1</v>
      </c>
      <c r="G84" s="8">
        <f t="shared" si="1"/>
        <v>1</v>
      </c>
      <c r="H84" s="6">
        <v>2</v>
      </c>
      <c r="I84" s="7">
        <f ca="1">(J84-税费参数!$B$12*SUM(税费参数!$B$9:税费参数!$B$10)/税费参数!$B$11)/(1+SUM(税费参数!$B$6:税费参数!$B$8))</f>
        <v>0.0417675544794189</v>
      </c>
      <c r="J84" s="7">
        <v>0.045</v>
      </c>
      <c r="K84" s="6" t="s">
        <v>158</v>
      </c>
    </row>
    <row r="85" ht="21" customHeight="1" spans="1:11">
      <c r="A85" s="5" t="s">
        <v>12</v>
      </c>
      <c r="B85" s="6" t="s">
        <v>79</v>
      </c>
      <c r="C85" s="6" t="s">
        <v>157</v>
      </c>
      <c r="D85" s="6" t="s">
        <v>155</v>
      </c>
      <c r="E85" s="6">
        <v>1</v>
      </c>
      <c r="F85" s="6">
        <v>1</v>
      </c>
      <c r="G85" s="8">
        <f t="shared" si="1"/>
        <v>1</v>
      </c>
      <c r="H85" s="6">
        <v>3</v>
      </c>
      <c r="I85" s="7">
        <f ca="1">(J85-税费参数!$B$12*SUM(税费参数!$B$9:税费参数!$B$10)/税费参数!$B$11)/(1+SUM(税费参数!$B$6:税费参数!$B$8))</f>
        <v>0.017287913454917</v>
      </c>
      <c r="J85" s="7">
        <v>0.0197247706422018</v>
      </c>
      <c r="K85" s="6" t="s">
        <v>158</v>
      </c>
    </row>
    <row r="86" ht="21" customHeight="1" spans="1:11">
      <c r="A86" s="5" t="s">
        <v>12</v>
      </c>
      <c r="B86" s="6" t="s">
        <v>79</v>
      </c>
      <c r="C86" s="6" t="s">
        <v>159</v>
      </c>
      <c r="D86" s="6" t="s">
        <v>160</v>
      </c>
      <c r="E86" s="6">
        <v>1</v>
      </c>
      <c r="F86" s="6">
        <v>1</v>
      </c>
      <c r="G86" s="8">
        <f t="shared" si="1"/>
        <v>1</v>
      </c>
      <c r="H86" s="6">
        <v>1</v>
      </c>
      <c r="I86" s="7">
        <f ca="1">(J86-税费参数!$B$12*SUM(税费参数!$B$9:税费参数!$B$10)/税费参数!$B$11)/(1+SUM(税费参数!$B$6:税费参数!$B$8))</f>
        <v>0.0249729534799856</v>
      </c>
      <c r="J86" s="7">
        <v>0.0276595744680851</v>
      </c>
      <c r="K86" s="6" t="s">
        <v>158</v>
      </c>
    </row>
    <row r="87" ht="21" customHeight="1" spans="1:11">
      <c r="A87" s="5" t="s">
        <v>12</v>
      </c>
      <c r="B87" s="6" t="s">
        <v>79</v>
      </c>
      <c r="C87" s="6" t="s">
        <v>159</v>
      </c>
      <c r="D87" s="6" t="s">
        <v>153</v>
      </c>
      <c r="E87" s="6">
        <v>1</v>
      </c>
      <c r="F87" s="6">
        <v>0</v>
      </c>
      <c r="G87" s="8">
        <f t="shared" si="1"/>
        <v>0</v>
      </c>
      <c r="H87" s="6">
        <v>0</v>
      </c>
      <c r="I87" s="7"/>
      <c r="J87" s="7"/>
      <c r="K87" s="6" t="s">
        <v>156</v>
      </c>
    </row>
    <row r="88" ht="21" customHeight="1" spans="1:11">
      <c r="A88" s="5" t="s">
        <v>12</v>
      </c>
      <c r="B88" s="6" t="s">
        <v>76</v>
      </c>
      <c r="C88" s="6" t="s">
        <v>152</v>
      </c>
      <c r="D88" s="6" t="s">
        <v>153</v>
      </c>
      <c r="E88" s="6">
        <v>2</v>
      </c>
      <c r="F88" s="6">
        <v>2</v>
      </c>
      <c r="G88" s="8">
        <f t="shared" si="1"/>
        <v>1</v>
      </c>
      <c r="H88" s="6">
        <v>1</v>
      </c>
      <c r="I88" s="7">
        <f ca="1">(J88-税费参数!$B$12*SUM(税费参数!$B$9:税费参数!$B$10)/税费参数!$B$11)/(1+SUM(税费参数!$B$6:税费参数!$B$8))</f>
        <v>0.0283572359843546</v>
      </c>
      <c r="J88" s="7">
        <v>0.0311538461538462</v>
      </c>
      <c r="K88" s="6" t="s">
        <v>158</v>
      </c>
    </row>
    <row r="89" ht="21" customHeight="1" spans="1:11">
      <c r="A89" s="5" t="s">
        <v>12</v>
      </c>
      <c r="B89" s="6" t="s">
        <v>76</v>
      </c>
      <c r="C89" s="6" t="s">
        <v>157</v>
      </c>
      <c r="D89" s="6" t="s">
        <v>162</v>
      </c>
      <c r="E89" s="6">
        <v>1</v>
      </c>
      <c r="F89" s="6">
        <v>0</v>
      </c>
      <c r="G89" s="8">
        <f t="shared" si="1"/>
        <v>0</v>
      </c>
      <c r="H89" s="6">
        <v>0</v>
      </c>
      <c r="I89" s="7"/>
      <c r="J89" s="7"/>
      <c r="K89" s="6" t="s">
        <v>156</v>
      </c>
    </row>
    <row r="90" ht="21" customHeight="1" spans="1:11">
      <c r="A90" s="5" t="s">
        <v>12</v>
      </c>
      <c r="B90" s="6" t="s">
        <v>74</v>
      </c>
      <c r="C90" s="6" t="s">
        <v>152</v>
      </c>
      <c r="D90" s="6" t="s">
        <v>153</v>
      </c>
      <c r="E90" s="6">
        <v>4</v>
      </c>
      <c r="F90" s="6">
        <v>4</v>
      </c>
      <c r="G90" s="8">
        <f t="shared" si="1"/>
        <v>1</v>
      </c>
      <c r="H90" s="6">
        <v>3</v>
      </c>
      <c r="I90" s="7">
        <f ca="1">(J90-税费参数!$B$12*SUM(税费参数!$B$9:税费参数!$B$10)/税费参数!$B$11)/(1+SUM(税费参数!$B$6:税费参数!$B$8))</f>
        <v>0.0304345106235787</v>
      </c>
      <c r="J90" s="7">
        <v>0.033298632218845</v>
      </c>
      <c r="K90" s="6" t="s">
        <v>154</v>
      </c>
    </row>
    <row r="91" ht="21" customHeight="1" spans="1:11">
      <c r="A91" s="5" t="s">
        <v>12</v>
      </c>
      <c r="B91" s="6" t="s">
        <v>74</v>
      </c>
      <c r="C91" s="6" t="s">
        <v>152</v>
      </c>
      <c r="D91" s="6" t="s">
        <v>155</v>
      </c>
      <c r="E91" s="6">
        <v>2</v>
      </c>
      <c r="F91" s="6">
        <v>0</v>
      </c>
      <c r="G91" s="8">
        <f t="shared" si="1"/>
        <v>0</v>
      </c>
      <c r="H91" s="6">
        <v>0</v>
      </c>
      <c r="I91" s="7"/>
      <c r="J91" s="7"/>
      <c r="K91" s="6" t="s">
        <v>156</v>
      </c>
    </row>
    <row r="92" ht="21" customHeight="1" spans="1:11">
      <c r="A92" s="5" t="s">
        <v>12</v>
      </c>
      <c r="B92" s="6" t="s">
        <v>74</v>
      </c>
      <c r="C92" s="6" t="s">
        <v>157</v>
      </c>
      <c r="D92" s="6" t="s">
        <v>155</v>
      </c>
      <c r="E92" s="6">
        <v>7</v>
      </c>
      <c r="F92" s="6">
        <v>7</v>
      </c>
      <c r="G92" s="8">
        <f t="shared" si="1"/>
        <v>1</v>
      </c>
      <c r="H92" s="6">
        <v>3</v>
      </c>
      <c r="I92" s="7">
        <f ca="1">(J92-税费参数!$B$12*SUM(税费参数!$B$9:税费参数!$B$10)/税费参数!$B$11)/(1+SUM(税费参数!$B$6:税费参数!$B$8))</f>
        <v>0.0294266968679216</v>
      </c>
      <c r="J92" s="7">
        <v>0.032258064516129</v>
      </c>
      <c r="K92" s="6" t="s">
        <v>154</v>
      </c>
    </row>
    <row r="93" ht="21" customHeight="1" spans="1:11">
      <c r="A93" s="5" t="s">
        <v>12</v>
      </c>
      <c r="B93" s="6" t="s">
        <v>74</v>
      </c>
      <c r="C93" s="6" t="s">
        <v>159</v>
      </c>
      <c r="D93" s="6" t="s">
        <v>160</v>
      </c>
      <c r="E93" s="6">
        <v>3</v>
      </c>
      <c r="F93" s="6">
        <v>3</v>
      </c>
      <c r="G93" s="8">
        <f t="shared" si="1"/>
        <v>1</v>
      </c>
      <c r="H93" s="6">
        <v>5</v>
      </c>
      <c r="I93" s="7">
        <f ca="1">(J93-税费参数!$B$12*SUM(税费参数!$B$9:税费参数!$B$10)/税费参数!$B$11)/(1+SUM(税费参数!$B$6:税费参数!$B$8))</f>
        <v>0.0347851793456839</v>
      </c>
      <c r="J93" s="7">
        <v>0.0377906976744186</v>
      </c>
      <c r="K93" s="6" t="s">
        <v>154</v>
      </c>
    </row>
    <row r="94" ht="21" customHeight="1" spans="1:11">
      <c r="A94" s="5" t="s">
        <v>12</v>
      </c>
      <c r="B94" s="6" t="s">
        <v>74</v>
      </c>
      <c r="C94" s="6" t="s">
        <v>159</v>
      </c>
      <c r="D94" s="6" t="s">
        <v>153</v>
      </c>
      <c r="E94" s="6">
        <v>3</v>
      </c>
      <c r="F94" s="6">
        <v>2</v>
      </c>
      <c r="G94" s="8">
        <f t="shared" si="1"/>
        <v>0.666666666666667</v>
      </c>
      <c r="H94" s="6">
        <v>2</v>
      </c>
      <c r="I94" s="7">
        <f ca="1">(J94-税费参数!$B$12*SUM(税费参数!$B$9:税费参数!$B$10)/税费参数!$B$11)/(1+SUM(税费参数!$B$6:税费参数!$B$8))</f>
        <v>0.0346511091626244</v>
      </c>
      <c r="J94" s="7">
        <v>0.0376522702104097</v>
      </c>
      <c r="K94" s="6" t="s">
        <v>154</v>
      </c>
    </row>
    <row r="95" ht="21" customHeight="1" spans="1:11">
      <c r="A95" s="5" t="s">
        <v>12</v>
      </c>
      <c r="B95" s="6" t="s">
        <v>80</v>
      </c>
      <c r="C95" s="6" t="s">
        <v>157</v>
      </c>
      <c r="D95" s="6" t="s">
        <v>155</v>
      </c>
      <c r="E95" s="6">
        <v>2</v>
      </c>
      <c r="F95" s="6">
        <v>1</v>
      </c>
      <c r="G95" s="8">
        <f t="shared" si="1"/>
        <v>0.5</v>
      </c>
      <c r="H95" s="6">
        <v>1</v>
      </c>
      <c r="I95" s="7">
        <f ca="1">(J95-税费参数!$B$12*SUM(税费参数!$B$9:税费参数!$B$10)/税费参数!$B$11)/(1+SUM(税费参数!$B$6:税费参数!$B$8))</f>
        <v>0.0143260694108152</v>
      </c>
      <c r="J95" s="7">
        <v>0.0166666666666667</v>
      </c>
      <c r="K95" s="6" t="s">
        <v>158</v>
      </c>
    </row>
    <row r="96" ht="21" customHeight="1" spans="1:11">
      <c r="A96" s="5" t="s">
        <v>12</v>
      </c>
      <c r="B96" s="6" t="s">
        <v>78</v>
      </c>
      <c r="C96" s="6" t="s">
        <v>152</v>
      </c>
      <c r="D96" s="6" t="s">
        <v>153</v>
      </c>
      <c r="E96" s="6">
        <v>6</v>
      </c>
      <c r="F96" s="6">
        <v>5</v>
      </c>
      <c r="G96" s="8">
        <f t="shared" si="1"/>
        <v>0.833333333333333</v>
      </c>
      <c r="H96" s="6">
        <v>1</v>
      </c>
      <c r="I96" s="7">
        <f ca="1">(J96-税费参数!$B$12*SUM(税费参数!$B$9:税费参数!$B$10)/税费参数!$B$11)/(1+SUM(税费参数!$B$6:税费参数!$B$8))</f>
        <v>0.0227199354317998</v>
      </c>
      <c r="J96" s="7">
        <v>0.0253333333333333</v>
      </c>
      <c r="K96" s="6" t="s">
        <v>158</v>
      </c>
    </row>
    <row r="97" ht="21" customHeight="1" spans="1:11">
      <c r="A97" s="5" t="s">
        <v>12</v>
      </c>
      <c r="B97" s="6" t="s">
        <v>73</v>
      </c>
      <c r="C97" s="6" t="s">
        <v>159</v>
      </c>
      <c r="D97" s="6" t="s">
        <v>160</v>
      </c>
      <c r="E97" s="6">
        <v>1</v>
      </c>
      <c r="F97" s="6">
        <v>1</v>
      </c>
      <c r="G97" s="8">
        <f t="shared" si="1"/>
        <v>1</v>
      </c>
      <c r="H97" s="6">
        <v>3</v>
      </c>
      <c r="I97" s="7">
        <f ca="1">(J97-税费参数!$B$12*SUM(税费参数!$B$9:税费参数!$B$10)/税费参数!$B$11)/(1+SUM(税费参数!$B$6:税费参数!$B$8))</f>
        <v>0.0315442561205273</v>
      </c>
      <c r="J97" s="7">
        <v>0.0344444444444444</v>
      </c>
      <c r="K97" s="6" t="s">
        <v>158</v>
      </c>
    </row>
    <row r="98" ht="21" customHeight="1" spans="1:11">
      <c r="A98" s="5" t="s">
        <v>12</v>
      </c>
      <c r="B98" s="6" t="s">
        <v>81</v>
      </c>
      <c r="C98" s="6" t="s">
        <v>152</v>
      </c>
      <c r="D98" s="6" t="s">
        <v>153</v>
      </c>
      <c r="E98" s="6">
        <v>1</v>
      </c>
      <c r="F98" s="6">
        <v>0</v>
      </c>
      <c r="G98" s="8">
        <f t="shared" si="1"/>
        <v>0</v>
      </c>
      <c r="H98" s="6">
        <v>0</v>
      </c>
      <c r="I98" s="7"/>
      <c r="J98" s="7"/>
      <c r="K98" s="6" t="s">
        <v>156</v>
      </c>
    </row>
    <row r="99" ht="21" customHeight="1" spans="1:11">
      <c r="A99" s="5" t="s">
        <v>9</v>
      </c>
      <c r="B99" s="6" t="s">
        <v>90</v>
      </c>
      <c r="C99" s="6" t="s">
        <v>152</v>
      </c>
      <c r="D99" s="6" t="s">
        <v>153</v>
      </c>
      <c r="E99" s="6">
        <v>1</v>
      </c>
      <c r="F99" s="6">
        <v>1</v>
      </c>
      <c r="G99" s="8">
        <f t="shared" si="1"/>
        <v>1</v>
      </c>
      <c r="H99" s="6">
        <v>2</v>
      </c>
      <c r="I99" s="7">
        <f ca="1">(J99-税费参数!$B$12*SUM(税费参数!$B$9:税费参数!$B$10)/税费参数!$B$11)/(1+SUM(税费参数!$B$6:税费参数!$B$8))</f>
        <v>0.0192928540386168</v>
      </c>
      <c r="J99" s="7">
        <v>0.0217948717948718</v>
      </c>
      <c r="K99" s="6" t="s">
        <v>158</v>
      </c>
    </row>
    <row r="100" ht="21" customHeight="1" spans="1:11">
      <c r="A100" s="5" t="s">
        <v>9</v>
      </c>
      <c r="B100" s="6" t="s">
        <v>90</v>
      </c>
      <c r="C100" s="6" t="s">
        <v>157</v>
      </c>
      <c r="D100" s="6" t="s">
        <v>153</v>
      </c>
      <c r="E100" s="6">
        <v>1</v>
      </c>
      <c r="F100" s="6">
        <v>1</v>
      </c>
      <c r="G100" s="8">
        <f t="shared" si="1"/>
        <v>1</v>
      </c>
      <c r="H100" s="6">
        <v>1</v>
      </c>
      <c r="I100" s="7">
        <f ca="1">(J100-税费参数!$B$12*SUM(税费参数!$B$9:税费参数!$B$10)/税费参数!$B$11)/(1+SUM(税费参数!$B$6:税费参数!$B$8))</f>
        <v>0.0180827646929342</v>
      </c>
      <c r="J100" s="7">
        <v>0.0205454545454545</v>
      </c>
      <c r="K100" s="6" t="s">
        <v>158</v>
      </c>
    </row>
    <row r="101" ht="21" customHeight="1" spans="1:11">
      <c r="A101" s="5" t="s">
        <v>9</v>
      </c>
      <c r="B101" s="6" t="s">
        <v>90</v>
      </c>
      <c r="C101" s="6" t="s">
        <v>157</v>
      </c>
      <c r="D101" s="6" t="s">
        <v>161</v>
      </c>
      <c r="E101" s="6">
        <v>1</v>
      </c>
      <c r="F101" s="6">
        <v>0</v>
      </c>
      <c r="G101" s="8">
        <f t="shared" si="1"/>
        <v>0</v>
      </c>
      <c r="H101" s="6">
        <v>0</v>
      </c>
      <c r="I101" s="7"/>
      <c r="J101" s="7"/>
      <c r="K101" s="6" t="s">
        <v>156</v>
      </c>
    </row>
    <row r="102" ht="21" customHeight="1" spans="1:11">
      <c r="A102" s="5" t="s">
        <v>9</v>
      </c>
      <c r="B102" s="6" t="s">
        <v>90</v>
      </c>
      <c r="C102" s="6" t="s">
        <v>157</v>
      </c>
      <c r="D102" s="6" t="s">
        <v>155</v>
      </c>
      <c r="E102" s="6">
        <v>1</v>
      </c>
      <c r="F102" s="6">
        <v>1</v>
      </c>
      <c r="G102" s="8">
        <f t="shared" si="1"/>
        <v>1</v>
      </c>
      <c r="H102" s="6">
        <v>3</v>
      </c>
      <c r="I102" s="7">
        <f ca="1">(J102-税费参数!$B$12*SUM(税费参数!$B$9:税费参数!$B$10)/税费参数!$B$11)/(1+SUM(税费参数!$B$6:税费参数!$B$8))</f>
        <v>0.0200810611643331</v>
      </c>
      <c r="J102" s="7">
        <v>0.0226086956521739</v>
      </c>
      <c r="K102" s="6" t="s">
        <v>158</v>
      </c>
    </row>
    <row r="103" ht="21" customHeight="1" spans="1:11">
      <c r="A103" s="5" t="s">
        <v>9</v>
      </c>
      <c r="B103" s="6" t="s">
        <v>86</v>
      </c>
      <c r="C103" s="6" t="s">
        <v>157</v>
      </c>
      <c r="D103" s="6" t="s">
        <v>153</v>
      </c>
      <c r="E103" s="6">
        <v>2</v>
      </c>
      <c r="F103" s="6">
        <v>2</v>
      </c>
      <c r="G103" s="8">
        <f t="shared" si="1"/>
        <v>1</v>
      </c>
      <c r="H103" s="6">
        <v>3</v>
      </c>
      <c r="I103" s="7">
        <f ca="1">(J103-税费参数!$B$12*SUM(税费参数!$B$9:税费参数!$B$10)/税费参数!$B$11)/(1+SUM(税费参数!$B$6:税费参数!$B$8))</f>
        <v>0.0252100613873574</v>
      </c>
      <c r="J103" s="7">
        <v>0.0279043883824465</v>
      </c>
      <c r="K103" s="6" t="s">
        <v>154</v>
      </c>
    </row>
    <row r="104" ht="21" customHeight="1" spans="1:11">
      <c r="A104" s="5" t="s">
        <v>9</v>
      </c>
      <c r="B104" s="6" t="s">
        <v>86</v>
      </c>
      <c r="C104" s="6" t="s">
        <v>157</v>
      </c>
      <c r="D104" s="6" t="s">
        <v>155</v>
      </c>
      <c r="E104" s="6">
        <v>3</v>
      </c>
      <c r="F104" s="6">
        <v>0</v>
      </c>
      <c r="G104" s="8">
        <f t="shared" si="1"/>
        <v>0</v>
      </c>
      <c r="H104" s="6">
        <v>0</v>
      </c>
      <c r="I104" s="7"/>
      <c r="J104" s="7"/>
      <c r="K104" s="6" t="s">
        <v>156</v>
      </c>
    </row>
    <row r="105" ht="21" customHeight="1" spans="1:11">
      <c r="A105" s="5" t="s">
        <v>9</v>
      </c>
      <c r="B105" s="6" t="s">
        <v>86</v>
      </c>
      <c r="C105" s="6" t="s">
        <v>157</v>
      </c>
      <c r="D105" s="6" t="s">
        <v>162</v>
      </c>
      <c r="E105" s="6">
        <v>1</v>
      </c>
      <c r="F105" s="6">
        <v>0</v>
      </c>
      <c r="G105" s="8">
        <f t="shared" si="1"/>
        <v>0</v>
      </c>
      <c r="H105" s="6">
        <v>0</v>
      </c>
      <c r="I105" s="7"/>
      <c r="J105" s="7"/>
      <c r="K105" s="6" t="s">
        <v>156</v>
      </c>
    </row>
    <row r="106" ht="21" customHeight="1" spans="1:11">
      <c r="A106" s="5" t="s">
        <v>9</v>
      </c>
      <c r="B106" s="6" t="s">
        <v>83</v>
      </c>
      <c r="C106" s="6" t="s">
        <v>152</v>
      </c>
      <c r="D106" s="6" t="s">
        <v>160</v>
      </c>
      <c r="E106" s="6">
        <v>3</v>
      </c>
      <c r="F106" s="6">
        <v>0</v>
      </c>
      <c r="G106" s="8">
        <f t="shared" si="1"/>
        <v>0</v>
      </c>
      <c r="H106" s="6">
        <v>1</v>
      </c>
      <c r="I106" s="7"/>
      <c r="J106" s="7"/>
      <c r="K106" s="6" t="s">
        <v>156</v>
      </c>
    </row>
    <row r="107" ht="21" customHeight="1" spans="1:11">
      <c r="A107" s="5" t="s">
        <v>9</v>
      </c>
      <c r="B107" s="6" t="s">
        <v>83</v>
      </c>
      <c r="C107" s="6" t="s">
        <v>152</v>
      </c>
      <c r="D107" s="6" t="s">
        <v>153</v>
      </c>
      <c r="E107" s="6">
        <v>7</v>
      </c>
      <c r="F107" s="6">
        <v>7</v>
      </c>
      <c r="G107" s="8">
        <f t="shared" si="1"/>
        <v>1</v>
      </c>
      <c r="H107" s="6">
        <v>9</v>
      </c>
      <c r="I107" s="7">
        <f ca="1">(J107-税费参数!$B$12*SUM(税费参数!$B$9:税费参数!$B$10)/税费参数!$B$11)/(1+SUM(税费参数!$B$6:税费参数!$B$8))</f>
        <v>0.0327741265997925</v>
      </c>
      <c r="J107" s="7">
        <v>0.0357142857142857</v>
      </c>
      <c r="K107" s="6" t="s">
        <v>154</v>
      </c>
    </row>
    <row r="108" ht="21" customHeight="1" spans="1:11">
      <c r="A108" s="5" t="s">
        <v>9</v>
      </c>
      <c r="B108" s="6" t="s">
        <v>83</v>
      </c>
      <c r="C108" s="6" t="s">
        <v>157</v>
      </c>
      <c r="D108" s="6" t="s">
        <v>155</v>
      </c>
      <c r="E108" s="6">
        <v>2</v>
      </c>
      <c r="F108" s="6">
        <v>2</v>
      </c>
      <c r="G108" s="8">
        <f t="shared" si="1"/>
        <v>1</v>
      </c>
      <c r="H108" s="6">
        <v>1</v>
      </c>
      <c r="I108" s="7">
        <f ca="1">(J108-税费参数!$B$12*SUM(税费参数!$B$9:税费参数!$B$10)/税费参数!$B$11)/(1+SUM(税费参数!$B$6:税费参数!$B$8))</f>
        <v>0.0264326069410815</v>
      </c>
      <c r="J108" s="7">
        <v>0.0291666666666667</v>
      </c>
      <c r="K108" s="6" t="s">
        <v>158</v>
      </c>
    </row>
    <row r="109" ht="21" customHeight="1" spans="1:11">
      <c r="A109" s="5" t="s">
        <v>9</v>
      </c>
      <c r="B109" s="6" t="s">
        <v>83</v>
      </c>
      <c r="C109" s="6" t="s">
        <v>159</v>
      </c>
      <c r="D109" s="6" t="s">
        <v>160</v>
      </c>
      <c r="E109" s="6">
        <v>3</v>
      </c>
      <c r="F109" s="6">
        <v>3</v>
      </c>
      <c r="G109" s="8">
        <f t="shared" si="1"/>
        <v>1</v>
      </c>
      <c r="H109" s="6">
        <v>10</v>
      </c>
      <c r="I109" s="7">
        <f ca="1">(J109-税费参数!$B$12*SUM(税费参数!$B$9:税费参数!$B$10)/税费参数!$B$11)/(1+SUM(税费参数!$B$6:税费参数!$B$8))</f>
        <v>0.0362331373227257</v>
      </c>
      <c r="J109" s="7">
        <v>0.0392857142857143</v>
      </c>
      <c r="K109" s="6" t="s">
        <v>154</v>
      </c>
    </row>
    <row r="110" ht="21" customHeight="1" spans="1:11">
      <c r="A110" s="5" t="s">
        <v>9</v>
      </c>
      <c r="B110" s="6" t="s">
        <v>88</v>
      </c>
      <c r="C110" s="6" t="s">
        <v>157</v>
      </c>
      <c r="D110" s="6" t="s">
        <v>153</v>
      </c>
      <c r="E110" s="6">
        <v>2</v>
      </c>
      <c r="F110" s="6">
        <v>2</v>
      </c>
      <c r="G110" s="8">
        <f t="shared" si="1"/>
        <v>1</v>
      </c>
      <c r="H110" s="6">
        <v>1</v>
      </c>
      <c r="I110" s="7">
        <f ca="1">(J110-税费参数!$B$12*SUM(税费参数!$B$9:税费参数!$B$10)/税费参数!$B$11)/(1+SUM(税费参数!$B$6:税费参数!$B$8))</f>
        <v>0.0240870230107324</v>
      </c>
      <c r="J110" s="7">
        <v>0.0267448512585812</v>
      </c>
      <c r="K110" s="6" t="s">
        <v>158</v>
      </c>
    </row>
    <row r="111" ht="21" customHeight="1" spans="1:11">
      <c r="A111" s="5" t="s">
        <v>9</v>
      </c>
      <c r="B111" s="6" t="s">
        <v>88</v>
      </c>
      <c r="C111" s="6" t="s">
        <v>157</v>
      </c>
      <c r="D111" s="6" t="s">
        <v>155</v>
      </c>
      <c r="E111" s="6">
        <v>1</v>
      </c>
      <c r="F111" s="6">
        <v>1</v>
      </c>
      <c r="G111" s="8">
        <f t="shared" si="1"/>
        <v>1</v>
      </c>
      <c r="H111" s="6">
        <v>7</v>
      </c>
      <c r="I111" s="7">
        <f ca="1">(J111-税费参数!$B$12*SUM(税费参数!$B$9:税费参数!$B$10)/税费参数!$B$11)/(1+SUM(税费参数!$B$6:税费参数!$B$8))</f>
        <v>0.0199757869249395</v>
      </c>
      <c r="J111" s="7">
        <v>0.0225</v>
      </c>
      <c r="K111" s="6" t="s">
        <v>158</v>
      </c>
    </row>
    <row r="112" ht="21" customHeight="1" spans="1:11">
      <c r="A112" s="5" t="s">
        <v>9</v>
      </c>
      <c r="B112" s="6" t="s">
        <v>88</v>
      </c>
      <c r="C112" s="6" t="s">
        <v>157</v>
      </c>
      <c r="D112" s="6" t="s">
        <v>162</v>
      </c>
      <c r="E112" s="6">
        <v>1</v>
      </c>
      <c r="F112" s="6">
        <v>1</v>
      </c>
      <c r="G112" s="8">
        <f t="shared" si="1"/>
        <v>1</v>
      </c>
      <c r="H112" s="6">
        <v>2</v>
      </c>
      <c r="I112" s="7">
        <f ca="1">(J112-税费参数!$B$12*SUM(税费参数!$B$9:税费参数!$B$10)/税费参数!$B$11)/(1+SUM(税费参数!$B$6:税费参数!$B$8))</f>
        <v>0.0234498368249289</v>
      </c>
      <c r="J112" s="7">
        <v>0.0260869565217391</v>
      </c>
      <c r="K112" s="6" t="s">
        <v>158</v>
      </c>
    </row>
    <row r="113" ht="21" customHeight="1" spans="1:11">
      <c r="A113" s="5" t="s">
        <v>9</v>
      </c>
      <c r="B113" s="6" t="s">
        <v>91</v>
      </c>
      <c r="C113" s="6" t="s">
        <v>157</v>
      </c>
      <c r="D113" s="6" t="s">
        <v>162</v>
      </c>
      <c r="E113" s="6">
        <v>1</v>
      </c>
      <c r="F113" s="6">
        <v>0</v>
      </c>
      <c r="G113" s="8">
        <f t="shared" si="1"/>
        <v>0</v>
      </c>
      <c r="H113" s="6">
        <v>0</v>
      </c>
      <c r="I113" s="7"/>
      <c r="J113" s="7"/>
      <c r="K113" s="6" t="s">
        <v>156</v>
      </c>
    </row>
    <row r="114" ht="21" customHeight="1" spans="1:11">
      <c r="A114" s="5" t="s">
        <v>9</v>
      </c>
      <c r="B114" s="6" t="s">
        <v>92</v>
      </c>
      <c r="C114" s="6" t="s">
        <v>157</v>
      </c>
      <c r="D114" s="6" t="s">
        <v>153</v>
      </c>
      <c r="E114" s="6">
        <v>1</v>
      </c>
      <c r="F114" s="6">
        <v>0</v>
      </c>
      <c r="G114" s="8">
        <f t="shared" si="1"/>
        <v>0</v>
      </c>
      <c r="H114" s="6">
        <v>0</v>
      </c>
      <c r="I114" s="7"/>
      <c r="J114" s="7"/>
      <c r="K114" s="6" t="s">
        <v>156</v>
      </c>
    </row>
    <row r="115" ht="21" customHeight="1" spans="1:11">
      <c r="A115" s="5" t="s">
        <v>9</v>
      </c>
      <c r="B115" s="6" t="s">
        <v>93</v>
      </c>
      <c r="C115" s="6" t="s">
        <v>152</v>
      </c>
      <c r="D115" s="6" t="s">
        <v>155</v>
      </c>
      <c r="E115" s="6">
        <v>1</v>
      </c>
      <c r="F115" s="6">
        <v>0</v>
      </c>
      <c r="G115" s="8">
        <f t="shared" si="1"/>
        <v>0</v>
      </c>
      <c r="H115" s="6">
        <v>0</v>
      </c>
      <c r="I115" s="7"/>
      <c r="J115" s="7"/>
      <c r="K115" s="6" t="s">
        <v>156</v>
      </c>
    </row>
    <row r="116" ht="21" customHeight="1" spans="1:11">
      <c r="A116" s="5" t="s">
        <v>9</v>
      </c>
      <c r="B116" s="6" t="s">
        <v>89</v>
      </c>
      <c r="C116" s="6" t="s">
        <v>152</v>
      </c>
      <c r="D116" s="6" t="s">
        <v>153</v>
      </c>
      <c r="E116" s="6">
        <v>1</v>
      </c>
      <c r="F116" s="6">
        <v>0</v>
      </c>
      <c r="G116" s="8">
        <f t="shared" si="1"/>
        <v>0</v>
      </c>
      <c r="H116" s="6">
        <v>0</v>
      </c>
      <c r="I116" s="7"/>
      <c r="J116" s="7"/>
      <c r="K116" s="6" t="s">
        <v>156</v>
      </c>
    </row>
    <row r="117" ht="21" customHeight="1" spans="1:11">
      <c r="A117" s="5" t="s">
        <v>9</v>
      </c>
      <c r="B117" s="6" t="s">
        <v>89</v>
      </c>
      <c r="C117" s="6" t="s">
        <v>157</v>
      </c>
      <c r="D117" s="6" t="s">
        <v>155</v>
      </c>
      <c r="E117" s="6">
        <v>4</v>
      </c>
      <c r="F117" s="6">
        <v>4</v>
      </c>
      <c r="G117" s="8">
        <f t="shared" si="1"/>
        <v>1</v>
      </c>
      <c r="H117" s="6">
        <v>16</v>
      </c>
      <c r="I117" s="7">
        <f ca="1">(J117-税费参数!$B$12*SUM(税费参数!$B$9:税费参数!$B$10)/税费参数!$B$11)/(1+SUM(税费参数!$B$6:税费参数!$B$8))</f>
        <v>0.0220812717128119</v>
      </c>
      <c r="J117" s="7">
        <v>0.0246739130434783</v>
      </c>
      <c r="K117" s="6" t="s">
        <v>154</v>
      </c>
    </row>
    <row r="118" ht="21" customHeight="1" spans="1:11">
      <c r="A118" s="5" t="s">
        <v>9</v>
      </c>
      <c r="B118" s="6" t="s">
        <v>89</v>
      </c>
      <c r="C118" s="6" t="s">
        <v>159</v>
      </c>
      <c r="D118" s="6" t="s">
        <v>160</v>
      </c>
      <c r="E118" s="6">
        <v>1</v>
      </c>
      <c r="F118" s="6">
        <v>0</v>
      </c>
      <c r="G118" s="8">
        <f t="shared" si="1"/>
        <v>0</v>
      </c>
      <c r="H118" s="6">
        <v>0</v>
      </c>
      <c r="I118" s="7"/>
      <c r="J118" s="7"/>
      <c r="K118" s="6" t="s">
        <v>156</v>
      </c>
    </row>
    <row r="119" ht="21" customHeight="1" spans="1:11">
      <c r="A119" s="5" t="s">
        <v>9</v>
      </c>
      <c r="B119" s="6" t="s">
        <v>89</v>
      </c>
      <c r="C119" s="6" t="s">
        <v>159</v>
      </c>
      <c r="D119" s="6" t="s">
        <v>153</v>
      </c>
      <c r="E119" s="6">
        <v>2</v>
      </c>
      <c r="F119" s="6">
        <v>0</v>
      </c>
      <c r="G119" s="8">
        <f t="shared" si="1"/>
        <v>0</v>
      </c>
      <c r="H119" s="6">
        <v>0</v>
      </c>
      <c r="I119" s="7"/>
      <c r="J119" s="7"/>
      <c r="K119" s="6" t="s">
        <v>156</v>
      </c>
    </row>
    <row r="120" ht="21" customHeight="1" spans="1:11">
      <c r="A120" s="5" t="s">
        <v>9</v>
      </c>
      <c r="B120" s="6" t="s">
        <v>94</v>
      </c>
      <c r="C120" s="6" t="s">
        <v>157</v>
      </c>
      <c r="D120" s="6" t="s">
        <v>163</v>
      </c>
      <c r="E120" s="6">
        <v>1</v>
      </c>
      <c r="F120" s="6">
        <v>0</v>
      </c>
      <c r="G120" s="8">
        <f t="shared" si="1"/>
        <v>0</v>
      </c>
      <c r="H120" s="6">
        <v>0</v>
      </c>
      <c r="I120" s="7"/>
      <c r="J120" s="7"/>
      <c r="K120" s="6" t="s">
        <v>156</v>
      </c>
    </row>
    <row r="121" ht="21" customHeight="1" spans="1:11">
      <c r="A121" s="5" t="s">
        <v>9</v>
      </c>
      <c r="B121" s="6" t="s">
        <v>84</v>
      </c>
      <c r="C121" s="6" t="s">
        <v>152</v>
      </c>
      <c r="D121" s="6" t="s">
        <v>153</v>
      </c>
      <c r="E121" s="6">
        <v>1</v>
      </c>
      <c r="F121" s="6">
        <v>1</v>
      </c>
      <c r="G121" s="8">
        <f t="shared" si="1"/>
        <v>1</v>
      </c>
      <c r="H121" s="6">
        <v>1</v>
      </c>
      <c r="I121" s="7">
        <f ca="1">(J121-税费参数!$B$12*SUM(税费参数!$B$9:税费参数!$B$10)/税费参数!$B$11)/(1+SUM(税费参数!$B$6:税费参数!$B$8))</f>
        <v>0.0253026634382567</v>
      </c>
      <c r="J121" s="7">
        <v>0.028</v>
      </c>
      <c r="K121" s="6" t="s">
        <v>158</v>
      </c>
    </row>
    <row r="122" ht="21" customHeight="1" spans="1:11">
      <c r="A122" s="5" t="s">
        <v>9</v>
      </c>
      <c r="B122" s="6" t="s">
        <v>84</v>
      </c>
      <c r="C122" s="6" t="s">
        <v>157</v>
      </c>
      <c r="D122" s="6" t="s">
        <v>153</v>
      </c>
      <c r="E122" s="6">
        <v>2</v>
      </c>
      <c r="F122" s="6">
        <v>0</v>
      </c>
      <c r="G122" s="8">
        <f t="shared" si="1"/>
        <v>0</v>
      </c>
      <c r="H122" s="6">
        <v>0</v>
      </c>
      <c r="I122" s="7"/>
      <c r="J122" s="7"/>
      <c r="K122" s="6" t="s">
        <v>156</v>
      </c>
    </row>
    <row r="123" ht="21" customHeight="1" spans="1:11">
      <c r="A123" s="5" t="s">
        <v>9</v>
      </c>
      <c r="B123" s="6" t="s">
        <v>84</v>
      </c>
      <c r="C123" s="6" t="s">
        <v>157</v>
      </c>
      <c r="D123" s="6" t="s">
        <v>164</v>
      </c>
      <c r="E123" s="6">
        <v>1</v>
      </c>
      <c r="F123" s="6">
        <v>0</v>
      </c>
      <c r="G123" s="8">
        <f t="shared" si="1"/>
        <v>0</v>
      </c>
      <c r="H123" s="6">
        <v>0</v>
      </c>
      <c r="I123" s="7"/>
      <c r="J123" s="7"/>
      <c r="K123" s="6" t="s">
        <v>156</v>
      </c>
    </row>
    <row r="124" ht="21" customHeight="1" spans="1:11">
      <c r="A124" s="5" t="s">
        <v>9</v>
      </c>
      <c r="B124" s="6" t="s">
        <v>84</v>
      </c>
      <c r="C124" s="6" t="s">
        <v>157</v>
      </c>
      <c r="D124" s="6" t="s">
        <v>155</v>
      </c>
      <c r="E124" s="6">
        <v>2</v>
      </c>
      <c r="F124" s="6">
        <v>0</v>
      </c>
      <c r="G124" s="8">
        <f t="shared" si="1"/>
        <v>0</v>
      </c>
      <c r="H124" s="6">
        <v>0</v>
      </c>
      <c r="I124" s="7"/>
      <c r="J124" s="7"/>
      <c r="K124" s="6" t="s">
        <v>156</v>
      </c>
    </row>
    <row r="125" ht="21" customHeight="1" spans="1:11">
      <c r="A125" s="5" t="s">
        <v>9</v>
      </c>
      <c r="B125" s="6" t="s">
        <v>85</v>
      </c>
      <c r="C125" s="6" t="s">
        <v>152</v>
      </c>
      <c r="D125" s="6" t="s">
        <v>153</v>
      </c>
      <c r="E125" s="6">
        <v>3</v>
      </c>
      <c r="F125" s="6">
        <v>3</v>
      </c>
      <c r="G125" s="8">
        <f t="shared" si="1"/>
        <v>1</v>
      </c>
      <c r="H125" s="6">
        <v>3</v>
      </c>
      <c r="I125" s="7">
        <f ca="1">(J125-税费参数!$B$12*SUM(税费参数!$B$9:税费参数!$B$10)/税费参数!$B$11)/(1+SUM(税费参数!$B$6:税费参数!$B$8))</f>
        <v>0.0317098156081207</v>
      </c>
      <c r="J125" s="7">
        <v>0.0346153846153846</v>
      </c>
      <c r="K125" s="6" t="s">
        <v>154</v>
      </c>
    </row>
    <row r="126" ht="21" customHeight="1" spans="1:11">
      <c r="A126" s="5" t="s">
        <v>9</v>
      </c>
      <c r="B126" s="6" t="s">
        <v>85</v>
      </c>
      <c r="C126" s="6" t="s">
        <v>157</v>
      </c>
      <c r="D126" s="6" t="s">
        <v>155</v>
      </c>
      <c r="E126" s="6">
        <v>7</v>
      </c>
      <c r="F126" s="6">
        <v>7</v>
      </c>
      <c r="G126" s="8">
        <f t="shared" si="1"/>
        <v>1</v>
      </c>
      <c r="H126" s="6">
        <v>8</v>
      </c>
      <c r="I126" s="7">
        <f ca="1">(J126-税费参数!$B$12*SUM(税费参数!$B$9:税费参数!$B$10)/税费参数!$B$11)/(1+SUM(税费参数!$B$6:税费参数!$B$8))</f>
        <v>0.0238709337825034</v>
      </c>
      <c r="J126" s="7">
        <v>0.0265217391304348</v>
      </c>
      <c r="K126" s="6" t="s">
        <v>154</v>
      </c>
    </row>
    <row r="127" ht="21" customHeight="1" spans="1:11">
      <c r="A127" s="5" t="s">
        <v>9</v>
      </c>
      <c r="B127" s="6" t="s">
        <v>87</v>
      </c>
      <c r="C127" s="6" t="s">
        <v>152</v>
      </c>
      <c r="D127" s="6" t="s">
        <v>153</v>
      </c>
      <c r="E127" s="6">
        <v>1</v>
      </c>
      <c r="F127" s="6">
        <v>1</v>
      </c>
      <c r="G127" s="8">
        <f t="shared" si="1"/>
        <v>1</v>
      </c>
      <c r="H127" s="6">
        <v>9</v>
      </c>
      <c r="I127" s="7">
        <f ca="1">(J127-税费参数!$B$12*SUM(税费参数!$B$9:税费参数!$B$10)/税费参数!$B$11)/(1+SUM(税费参数!$B$6:税费参数!$B$8))</f>
        <v>0.0274945839174207</v>
      </c>
      <c r="J127" s="7">
        <v>0.0302631578947368</v>
      </c>
      <c r="K127" s="6" t="s">
        <v>158</v>
      </c>
    </row>
    <row r="128" ht="21" customHeight="1" spans="1:11">
      <c r="A128" s="5" t="s">
        <v>9</v>
      </c>
      <c r="B128" s="6" t="s">
        <v>87</v>
      </c>
      <c r="C128" s="6" t="s">
        <v>157</v>
      </c>
      <c r="D128" s="6" t="s">
        <v>155</v>
      </c>
      <c r="E128" s="6">
        <v>3</v>
      </c>
      <c r="F128" s="6">
        <v>3</v>
      </c>
      <c r="G128" s="8">
        <f t="shared" si="1"/>
        <v>1</v>
      </c>
      <c r="H128" s="6">
        <v>5</v>
      </c>
      <c r="I128" s="7">
        <f ca="1">(J128-税费参数!$B$12*SUM(税费参数!$B$9:税费参数!$B$10)/税费参数!$B$11)/(1+SUM(税费参数!$B$6:税费参数!$B$8))</f>
        <v>0.0228074855337136</v>
      </c>
      <c r="J128" s="7">
        <v>0.0254237288135593</v>
      </c>
      <c r="K128" s="6" t="s">
        <v>154</v>
      </c>
    </row>
    <row r="129" ht="21" customHeight="1" spans="1:11">
      <c r="A129" s="5" t="s">
        <v>9</v>
      </c>
      <c r="B129" s="6" t="s">
        <v>87</v>
      </c>
      <c r="C129" s="6" t="s">
        <v>157</v>
      </c>
      <c r="D129" s="6" t="s">
        <v>162</v>
      </c>
      <c r="E129" s="6">
        <v>1</v>
      </c>
      <c r="F129" s="6">
        <v>0</v>
      </c>
      <c r="G129" s="8">
        <f t="shared" si="1"/>
        <v>0</v>
      </c>
      <c r="H129" s="6">
        <v>0</v>
      </c>
      <c r="I129" s="7"/>
      <c r="J129" s="7"/>
      <c r="K129" s="6" t="s">
        <v>156</v>
      </c>
    </row>
    <row r="130" ht="21" customHeight="1" spans="1:11">
      <c r="A130" s="5" t="s">
        <v>9</v>
      </c>
      <c r="B130" s="6" t="s">
        <v>95</v>
      </c>
      <c r="C130" s="6" t="s">
        <v>157</v>
      </c>
      <c r="D130" s="6" t="s">
        <v>155</v>
      </c>
      <c r="E130" s="6">
        <v>1</v>
      </c>
      <c r="F130" s="6">
        <v>0</v>
      </c>
      <c r="G130" s="8">
        <f t="shared" si="1"/>
        <v>0</v>
      </c>
      <c r="H130" s="6">
        <v>0</v>
      </c>
      <c r="I130" s="7"/>
      <c r="J130" s="7"/>
      <c r="K130" s="6" t="s">
        <v>156</v>
      </c>
    </row>
    <row r="131" ht="21" customHeight="1" spans="1:11">
      <c r="A131" s="5" t="s">
        <v>9</v>
      </c>
      <c r="B131" s="6" t="s">
        <v>95</v>
      </c>
      <c r="C131" s="6" t="s">
        <v>157</v>
      </c>
      <c r="D131" s="6" t="s">
        <v>162</v>
      </c>
      <c r="E131" s="6">
        <v>1</v>
      </c>
      <c r="F131" s="6">
        <v>0</v>
      </c>
      <c r="G131" s="8">
        <f t="shared" si="1"/>
        <v>0</v>
      </c>
      <c r="H131" s="6">
        <v>0</v>
      </c>
      <c r="I131" s="7"/>
      <c r="J131" s="7"/>
      <c r="K131" s="6" t="s">
        <v>156</v>
      </c>
    </row>
    <row r="132" ht="21" customHeight="1" spans="1:11">
      <c r="A132" s="5" t="s">
        <v>9</v>
      </c>
      <c r="B132" s="6" t="s">
        <v>96</v>
      </c>
      <c r="C132" s="6" t="s">
        <v>157</v>
      </c>
      <c r="D132" s="6" t="s">
        <v>165</v>
      </c>
      <c r="E132" s="6">
        <v>1</v>
      </c>
      <c r="F132" s="6">
        <v>0</v>
      </c>
      <c r="G132" s="8">
        <f t="shared" si="1"/>
        <v>0</v>
      </c>
      <c r="H132" s="6">
        <v>0</v>
      </c>
      <c r="I132" s="7"/>
      <c r="J132" s="7"/>
      <c r="K132" s="6" t="s">
        <v>156</v>
      </c>
    </row>
    <row r="133" ht="21" customHeight="1" spans="1:11">
      <c r="A133" s="5" t="s">
        <v>9</v>
      </c>
      <c r="B133" s="6" t="s">
        <v>97</v>
      </c>
      <c r="C133" s="6" t="s">
        <v>152</v>
      </c>
      <c r="D133" s="6" t="s">
        <v>153</v>
      </c>
      <c r="E133" s="6">
        <v>1</v>
      </c>
      <c r="F133" s="6">
        <v>0</v>
      </c>
      <c r="G133" s="8">
        <f t="shared" si="1"/>
        <v>0</v>
      </c>
      <c r="H133" s="6">
        <v>0</v>
      </c>
      <c r="I133" s="7"/>
      <c r="J133" s="7"/>
      <c r="K133" s="6" t="s">
        <v>156</v>
      </c>
    </row>
    <row r="134" ht="21" customHeight="1" spans="1:11">
      <c r="A134" s="5" t="s">
        <v>9</v>
      </c>
      <c r="B134" s="6" t="s">
        <v>97</v>
      </c>
      <c r="C134" s="6" t="s">
        <v>157</v>
      </c>
      <c r="D134" s="6" t="s">
        <v>153</v>
      </c>
      <c r="E134" s="6">
        <v>1</v>
      </c>
      <c r="F134" s="6">
        <v>0</v>
      </c>
      <c r="G134" s="8">
        <f t="shared" si="1"/>
        <v>0</v>
      </c>
      <c r="H134" s="6">
        <v>0</v>
      </c>
      <c r="I134" s="7"/>
      <c r="J134" s="7"/>
      <c r="K134" s="6" t="s">
        <v>156</v>
      </c>
    </row>
    <row r="135" ht="21" customHeight="1" spans="1:11">
      <c r="A135" s="5" t="s">
        <v>9</v>
      </c>
      <c r="B135" s="6" t="s">
        <v>98</v>
      </c>
      <c r="C135" s="6" t="s">
        <v>152</v>
      </c>
      <c r="D135" s="6" t="s">
        <v>160</v>
      </c>
      <c r="E135" s="6">
        <v>1</v>
      </c>
      <c r="F135" s="6">
        <v>0</v>
      </c>
      <c r="G135" s="8">
        <f t="shared" ref="G135:G198" si="2">F135/E135</f>
        <v>0</v>
      </c>
      <c r="H135" s="6">
        <v>0</v>
      </c>
      <c r="I135" s="7"/>
      <c r="J135" s="7"/>
      <c r="K135" s="6" t="s">
        <v>156</v>
      </c>
    </row>
    <row r="136" ht="21" customHeight="1" spans="1:11">
      <c r="A136" s="5" t="s">
        <v>9</v>
      </c>
      <c r="B136" s="6" t="s">
        <v>98</v>
      </c>
      <c r="C136" s="6" t="s">
        <v>152</v>
      </c>
      <c r="D136" s="6" t="s">
        <v>153</v>
      </c>
      <c r="E136" s="6">
        <v>1</v>
      </c>
      <c r="F136" s="6">
        <v>0</v>
      </c>
      <c r="G136" s="8">
        <f t="shared" si="2"/>
        <v>0</v>
      </c>
      <c r="H136" s="6">
        <v>0</v>
      </c>
      <c r="I136" s="7"/>
      <c r="J136" s="7"/>
      <c r="K136" s="6" t="s">
        <v>156</v>
      </c>
    </row>
    <row r="137" ht="21" customHeight="1" spans="1:11">
      <c r="A137" s="5" t="s">
        <v>9</v>
      </c>
      <c r="B137" s="6" t="s">
        <v>82</v>
      </c>
      <c r="C137" s="6" t="s">
        <v>152</v>
      </c>
      <c r="D137" s="6" t="s">
        <v>160</v>
      </c>
      <c r="E137" s="6">
        <v>1</v>
      </c>
      <c r="F137" s="6">
        <v>1</v>
      </c>
      <c r="G137" s="8">
        <f t="shared" si="2"/>
        <v>1</v>
      </c>
      <c r="H137" s="6">
        <v>1</v>
      </c>
      <c r="I137" s="7">
        <f ca="1">(J137-税费参数!$B$12*SUM(税费参数!$B$9:税费参数!$B$10)/税费参数!$B$11)/(1+SUM(税费参数!$B$6:税费参数!$B$8))</f>
        <v>0.0380643782936904</v>
      </c>
      <c r="J137" s="7">
        <v>0.0411764705882353</v>
      </c>
      <c r="K137" s="6" t="s">
        <v>158</v>
      </c>
    </row>
    <row r="138" ht="21" customHeight="1" spans="1:11">
      <c r="A138" s="5" t="s">
        <v>9</v>
      </c>
      <c r="B138" s="6" t="s">
        <v>99</v>
      </c>
      <c r="C138" s="6" t="s">
        <v>157</v>
      </c>
      <c r="D138" s="6" t="s">
        <v>153</v>
      </c>
      <c r="E138" s="6">
        <v>1</v>
      </c>
      <c r="F138" s="6">
        <v>0</v>
      </c>
      <c r="G138" s="8">
        <f t="shared" si="2"/>
        <v>0</v>
      </c>
      <c r="H138" s="6">
        <v>0</v>
      </c>
      <c r="I138" s="7"/>
      <c r="J138" s="7"/>
      <c r="K138" s="6" t="s">
        <v>156</v>
      </c>
    </row>
    <row r="139" ht="21" customHeight="1" spans="1:11">
      <c r="A139" s="5" t="s">
        <v>10</v>
      </c>
      <c r="B139" s="6" t="s">
        <v>104</v>
      </c>
      <c r="C139" s="6" t="s">
        <v>152</v>
      </c>
      <c r="D139" s="6" t="s">
        <v>153</v>
      </c>
      <c r="E139" s="6">
        <v>2</v>
      </c>
      <c r="F139" s="6">
        <v>2</v>
      </c>
      <c r="G139" s="8">
        <f t="shared" si="2"/>
        <v>1</v>
      </c>
      <c r="H139" s="6">
        <v>7</v>
      </c>
      <c r="I139" s="7">
        <f ca="1">(J139-税费参数!$B$12*SUM(税费参数!$B$9:税费参数!$B$10)/税费参数!$B$11)/(1+SUM(税费参数!$B$6:税费参数!$B$8))</f>
        <v>0.0311407048695184</v>
      </c>
      <c r="J139" s="7">
        <v>0.0340277777777778</v>
      </c>
      <c r="K139" s="6" t="s">
        <v>154</v>
      </c>
    </row>
    <row r="140" ht="21" customHeight="1" spans="1:11">
      <c r="A140" s="5" t="s">
        <v>10</v>
      </c>
      <c r="B140" s="6" t="s">
        <v>104</v>
      </c>
      <c r="C140" s="6" t="s">
        <v>159</v>
      </c>
      <c r="D140" s="6" t="s">
        <v>160</v>
      </c>
      <c r="E140" s="6">
        <v>1</v>
      </c>
      <c r="F140" s="6">
        <v>1</v>
      </c>
      <c r="G140" s="8">
        <f t="shared" si="2"/>
        <v>1</v>
      </c>
      <c r="H140" s="6">
        <v>13</v>
      </c>
      <c r="I140" s="7">
        <f ca="1">(J140-税费参数!$B$12*SUM(税费参数!$B$9:税费参数!$B$10)/税费参数!$B$11)/(1+SUM(税费参数!$B$6:税费参数!$B$8))</f>
        <v>0.0345036319612591</v>
      </c>
      <c r="J140" s="7">
        <v>0.0375</v>
      </c>
      <c r="K140" s="6" t="s">
        <v>158</v>
      </c>
    </row>
    <row r="141" ht="21" customHeight="1" spans="1:11">
      <c r="A141" s="5" t="s">
        <v>10</v>
      </c>
      <c r="B141" s="6" t="s">
        <v>104</v>
      </c>
      <c r="C141" s="6" t="s">
        <v>159</v>
      </c>
      <c r="D141" s="6" t="s">
        <v>153</v>
      </c>
      <c r="E141" s="6">
        <v>1</v>
      </c>
      <c r="F141" s="6">
        <v>1</v>
      </c>
      <c r="G141" s="8">
        <f t="shared" si="2"/>
        <v>1</v>
      </c>
      <c r="H141" s="6">
        <v>1</v>
      </c>
      <c r="I141" s="7">
        <f ca="1">(J141-税费参数!$B$12*SUM(税费参数!$B$9:税费参数!$B$10)/税费参数!$B$11)/(1+SUM(税费参数!$B$6:税费参数!$B$8))</f>
        <v>0.0289159992549823</v>
      </c>
      <c r="J141" s="7">
        <v>0.0317307692307692</v>
      </c>
      <c r="K141" s="6" t="s">
        <v>158</v>
      </c>
    </row>
    <row r="142" ht="21" customHeight="1" spans="1:11">
      <c r="A142" s="5" t="s">
        <v>10</v>
      </c>
      <c r="B142" s="6" t="s">
        <v>102</v>
      </c>
      <c r="C142" s="6" t="s">
        <v>152</v>
      </c>
      <c r="D142" s="6" t="s">
        <v>160</v>
      </c>
      <c r="E142" s="6">
        <v>1</v>
      </c>
      <c r="F142" s="6">
        <v>1</v>
      </c>
      <c r="G142" s="8">
        <f t="shared" si="2"/>
        <v>1</v>
      </c>
      <c r="H142" s="6">
        <v>2</v>
      </c>
      <c r="I142" s="7">
        <f ca="1">(J142-税费参数!$B$12*SUM(税费参数!$B$9:税费参数!$B$10)/税费参数!$B$11)/(1+SUM(税费参数!$B$6:税费参数!$B$8))</f>
        <v>0.0357560323954246</v>
      </c>
      <c r="J142" s="7">
        <v>0.0387931034482759</v>
      </c>
      <c r="K142" s="6" t="s">
        <v>158</v>
      </c>
    </row>
    <row r="143" ht="21" customHeight="1" spans="1:11">
      <c r="A143" s="5" t="s">
        <v>10</v>
      </c>
      <c r="B143" s="6" t="s">
        <v>102</v>
      </c>
      <c r="C143" s="6" t="s">
        <v>152</v>
      </c>
      <c r="D143" s="6" t="s">
        <v>153</v>
      </c>
      <c r="E143" s="6">
        <v>1</v>
      </c>
      <c r="F143" s="6">
        <v>1</v>
      </c>
      <c r="G143" s="8">
        <f t="shared" si="2"/>
        <v>1</v>
      </c>
      <c r="H143" s="6">
        <v>1</v>
      </c>
      <c r="I143" s="7">
        <f ca="1">(J143-税费参数!$B$12*SUM(税费参数!$B$9:税费参数!$B$10)/税费参数!$B$11)/(1+SUM(税费参数!$B$6:税费参数!$B$8))</f>
        <v>0.0275856105153926</v>
      </c>
      <c r="J143" s="7">
        <v>0.0303571428571429</v>
      </c>
      <c r="K143" s="6" t="s">
        <v>158</v>
      </c>
    </row>
    <row r="144" ht="21" customHeight="1" spans="1:11">
      <c r="A144" s="5" t="s">
        <v>10</v>
      </c>
      <c r="B144" s="6" t="s">
        <v>102</v>
      </c>
      <c r="C144" s="6" t="s">
        <v>157</v>
      </c>
      <c r="D144" s="6" t="s">
        <v>153</v>
      </c>
      <c r="E144" s="6">
        <v>1</v>
      </c>
      <c r="F144" s="6">
        <v>0</v>
      </c>
      <c r="G144" s="8">
        <f t="shared" si="2"/>
        <v>0</v>
      </c>
      <c r="H144" s="6">
        <v>2</v>
      </c>
      <c r="I144" s="7"/>
      <c r="J144" s="7"/>
      <c r="K144" s="6" t="s">
        <v>156</v>
      </c>
    </row>
    <row r="145" ht="21" customHeight="1" spans="1:11">
      <c r="A145" s="5" t="s">
        <v>10</v>
      </c>
      <c r="B145" s="6" t="s">
        <v>102</v>
      </c>
      <c r="C145" s="6" t="s">
        <v>157</v>
      </c>
      <c r="D145" s="6" t="s">
        <v>155</v>
      </c>
      <c r="E145" s="6">
        <v>2</v>
      </c>
      <c r="F145" s="6">
        <v>0</v>
      </c>
      <c r="G145" s="8">
        <f t="shared" si="2"/>
        <v>0</v>
      </c>
      <c r="H145" s="6">
        <v>0</v>
      </c>
      <c r="I145" s="7"/>
      <c r="J145" s="7"/>
      <c r="K145" s="6" t="s">
        <v>156</v>
      </c>
    </row>
    <row r="146" ht="21" customHeight="1" spans="1:11">
      <c r="A146" s="5" t="s">
        <v>10</v>
      </c>
      <c r="B146" s="6" t="s">
        <v>102</v>
      </c>
      <c r="C146" s="6" t="s">
        <v>157</v>
      </c>
      <c r="D146" s="6" t="s">
        <v>162</v>
      </c>
      <c r="E146" s="6">
        <v>1</v>
      </c>
      <c r="F146" s="6">
        <v>0</v>
      </c>
      <c r="G146" s="8">
        <f t="shared" si="2"/>
        <v>0</v>
      </c>
      <c r="H146" s="6">
        <v>0</v>
      </c>
      <c r="I146" s="7"/>
      <c r="J146" s="7"/>
      <c r="K146" s="6" t="s">
        <v>156</v>
      </c>
    </row>
    <row r="147" ht="21" customHeight="1" spans="1:11">
      <c r="A147" s="5" t="s">
        <v>10</v>
      </c>
      <c r="B147" s="6" t="s">
        <v>101</v>
      </c>
      <c r="C147" s="6" t="s">
        <v>166</v>
      </c>
      <c r="D147" s="6" t="s">
        <v>153</v>
      </c>
      <c r="E147" s="6">
        <v>1</v>
      </c>
      <c r="F147" s="6">
        <v>1</v>
      </c>
      <c r="G147" s="8">
        <f t="shared" si="2"/>
        <v>1</v>
      </c>
      <c r="H147" s="6">
        <v>1</v>
      </c>
      <c r="I147" s="7">
        <f ca="1">(J147-税费参数!$B$12*SUM(税费参数!$B$9:税费参数!$B$10)/税费参数!$B$11)/(1+SUM(税费参数!$B$6:税费参数!$B$8))</f>
        <v>0.0338664457754556</v>
      </c>
      <c r="J147" s="7">
        <v>0.0368421052631579</v>
      </c>
      <c r="K147" s="6" t="s">
        <v>158</v>
      </c>
    </row>
    <row r="148" ht="21" customHeight="1" spans="1:11">
      <c r="A148" s="5" t="s">
        <v>10</v>
      </c>
      <c r="B148" s="6" t="s">
        <v>106</v>
      </c>
      <c r="C148" s="6" t="s">
        <v>152</v>
      </c>
      <c r="D148" s="6" t="s">
        <v>160</v>
      </c>
      <c r="E148" s="6">
        <v>1</v>
      </c>
      <c r="F148" s="6">
        <v>1</v>
      </c>
      <c r="G148" s="8">
        <f t="shared" si="2"/>
        <v>1</v>
      </c>
      <c r="H148" s="6">
        <v>4</v>
      </c>
      <c r="I148" s="7">
        <f ca="1">(J148-税费参数!$B$12*SUM(税费参数!$B$9:税费参数!$B$10)/税费参数!$B$11)/(1+SUM(税费参数!$B$6:税费参数!$B$8))</f>
        <v>0.0255213621807389</v>
      </c>
      <c r="J148" s="7">
        <v>0.0282258064516129</v>
      </c>
      <c r="K148" s="6" t="s">
        <v>158</v>
      </c>
    </row>
    <row r="149" ht="21" customHeight="1" spans="1:11">
      <c r="A149" s="5" t="s">
        <v>10</v>
      </c>
      <c r="B149" s="6" t="s">
        <v>106</v>
      </c>
      <c r="C149" s="6" t="s">
        <v>152</v>
      </c>
      <c r="D149" s="6" t="s">
        <v>153</v>
      </c>
      <c r="E149" s="6">
        <v>1</v>
      </c>
      <c r="F149" s="6">
        <v>1</v>
      </c>
      <c r="G149" s="8">
        <f t="shared" si="2"/>
        <v>1</v>
      </c>
      <c r="H149" s="6">
        <v>3</v>
      </c>
      <c r="I149" s="7">
        <f ca="1">(J149-税费参数!$B$12*SUM(税费参数!$B$9:税费参数!$B$10)/税费参数!$B$11)/(1+SUM(税费参数!$B$6:税费参数!$B$8))</f>
        <v>0.0201959057891261</v>
      </c>
      <c r="J149" s="7">
        <v>0.0227272727272727</v>
      </c>
      <c r="K149" s="6" t="s">
        <v>158</v>
      </c>
    </row>
    <row r="150" ht="21" customHeight="1" spans="1:11">
      <c r="A150" s="5" t="s">
        <v>10</v>
      </c>
      <c r="B150" s="6" t="s">
        <v>106</v>
      </c>
      <c r="C150" s="6" t="s">
        <v>159</v>
      </c>
      <c r="D150" s="6" t="s">
        <v>160</v>
      </c>
      <c r="E150" s="6">
        <v>1</v>
      </c>
      <c r="F150" s="6">
        <v>1</v>
      </c>
      <c r="G150" s="8">
        <f t="shared" si="2"/>
        <v>1</v>
      </c>
      <c r="H150" s="6">
        <v>1</v>
      </c>
      <c r="I150" s="7">
        <f ca="1">(J150-税费参数!$B$12*SUM(税费参数!$B$9:税费参数!$B$10)/税费参数!$B$11)/(1+SUM(税费参数!$B$6:税费参数!$B$8))</f>
        <v>0.025856105153926</v>
      </c>
      <c r="J150" s="7">
        <v>0.0285714285714286</v>
      </c>
      <c r="K150" s="6" t="s">
        <v>158</v>
      </c>
    </row>
    <row r="151" ht="21" customHeight="1" spans="1:11">
      <c r="A151" s="5" t="s">
        <v>10</v>
      </c>
      <c r="B151" s="6" t="s">
        <v>103</v>
      </c>
      <c r="C151" s="6" t="s">
        <v>152</v>
      </c>
      <c r="D151" s="6" t="s">
        <v>153</v>
      </c>
      <c r="E151" s="6">
        <v>2</v>
      </c>
      <c r="F151" s="6">
        <v>2</v>
      </c>
      <c r="G151" s="8">
        <f t="shared" si="2"/>
        <v>1</v>
      </c>
      <c r="H151" s="6">
        <v>2</v>
      </c>
      <c r="I151" s="7">
        <f ca="1">(J151-税费参数!$B$12*SUM(税费参数!$B$9:税费参数!$B$10)/税费参数!$B$11)/(1+SUM(税费参数!$B$6:税费参数!$B$8))</f>
        <v>0.0314366424535916</v>
      </c>
      <c r="J151" s="7">
        <v>0.0343333333333333</v>
      </c>
      <c r="K151" s="6" t="s">
        <v>154</v>
      </c>
    </row>
    <row r="152" ht="21" customHeight="1" spans="1:11">
      <c r="A152" s="5" t="s">
        <v>10</v>
      </c>
      <c r="B152" s="6" t="s">
        <v>100</v>
      </c>
      <c r="C152" s="6" t="s">
        <v>152</v>
      </c>
      <c r="D152" s="6" t="s">
        <v>160</v>
      </c>
      <c r="E152" s="6">
        <v>6</v>
      </c>
      <c r="F152" s="6">
        <v>6</v>
      </c>
      <c r="G152" s="8">
        <f t="shared" si="2"/>
        <v>1</v>
      </c>
      <c r="H152" s="6">
        <v>3</v>
      </c>
      <c r="I152" s="7">
        <f ca="1">(J152-税费参数!$B$12*SUM(税费参数!$B$9:税费参数!$B$10)/税费参数!$B$11)/(1+SUM(税费参数!$B$6:税费参数!$B$8))</f>
        <v>0.0363821408615597</v>
      </c>
      <c r="J152" s="7">
        <v>0.0394395604395604</v>
      </c>
      <c r="K152" s="6" t="s">
        <v>154</v>
      </c>
    </row>
    <row r="153" ht="21" customHeight="1" spans="1:11">
      <c r="A153" s="5" t="s">
        <v>10</v>
      </c>
      <c r="B153" s="6" t="s">
        <v>100</v>
      </c>
      <c r="C153" s="6" t="s">
        <v>152</v>
      </c>
      <c r="D153" s="6" t="s">
        <v>153</v>
      </c>
      <c r="E153" s="6">
        <v>7</v>
      </c>
      <c r="F153" s="6">
        <v>4</v>
      </c>
      <c r="G153" s="8">
        <f t="shared" si="2"/>
        <v>0.571428571428571</v>
      </c>
      <c r="H153" s="6">
        <v>4</v>
      </c>
      <c r="I153" s="7">
        <f ca="1">(J153-税费参数!$B$12*SUM(税费参数!$B$9:税费参数!$B$10)/税费参数!$B$11)/(1+SUM(税费参数!$B$6:税费参数!$B$8))</f>
        <v>0.0377989025316274</v>
      </c>
      <c r="J153" s="7">
        <v>0.0409023668639053</v>
      </c>
      <c r="K153" s="6" t="s">
        <v>154</v>
      </c>
    </row>
    <row r="154" ht="21" customHeight="1" spans="1:11">
      <c r="A154" s="5" t="s">
        <v>10</v>
      </c>
      <c r="B154" s="6" t="s">
        <v>100</v>
      </c>
      <c r="C154" s="6" t="s">
        <v>159</v>
      </c>
      <c r="D154" s="6" t="s">
        <v>160</v>
      </c>
      <c r="E154" s="6">
        <v>1</v>
      </c>
      <c r="F154" s="6">
        <v>1</v>
      </c>
      <c r="G154" s="8">
        <f t="shared" si="2"/>
        <v>1</v>
      </c>
      <c r="H154" s="6">
        <v>1</v>
      </c>
      <c r="I154" s="7">
        <f ca="1">(J154-税费参数!$B$12*SUM(税费参数!$B$9:税费参数!$B$10)/税费参数!$B$11)/(1+SUM(税费参数!$B$6:税费参数!$B$8))</f>
        <v>0.0345036319612591</v>
      </c>
      <c r="J154" s="7">
        <v>0.0375</v>
      </c>
      <c r="K154" s="6" t="s">
        <v>158</v>
      </c>
    </row>
    <row r="155" ht="21" customHeight="1" spans="1:11">
      <c r="A155" s="5" t="s">
        <v>10</v>
      </c>
      <c r="B155" s="6" t="s">
        <v>100</v>
      </c>
      <c r="C155" s="6" t="s">
        <v>159</v>
      </c>
      <c r="D155" s="6" t="s">
        <v>153</v>
      </c>
      <c r="E155" s="6">
        <v>1</v>
      </c>
      <c r="F155" s="6">
        <v>0</v>
      </c>
      <c r="G155" s="8">
        <f t="shared" si="2"/>
        <v>0</v>
      </c>
      <c r="H155" s="6">
        <v>0</v>
      </c>
      <c r="I155" s="7"/>
      <c r="J155" s="7"/>
      <c r="K155" s="6" t="s">
        <v>156</v>
      </c>
    </row>
    <row r="156" ht="21" customHeight="1" spans="1:11">
      <c r="A156" s="5" t="s">
        <v>10</v>
      </c>
      <c r="B156" s="6" t="s">
        <v>105</v>
      </c>
      <c r="C156" s="6" t="s">
        <v>152</v>
      </c>
      <c r="D156" s="6" t="s">
        <v>160</v>
      </c>
      <c r="E156" s="6">
        <v>3</v>
      </c>
      <c r="F156" s="6">
        <v>3</v>
      </c>
      <c r="G156" s="8">
        <f t="shared" si="2"/>
        <v>1</v>
      </c>
      <c r="H156" s="6">
        <v>2</v>
      </c>
      <c r="I156" s="7">
        <f ca="1">(J156-税费参数!$B$12*SUM(税费参数!$B$9:税费参数!$B$10)/税费参数!$B$11)/(1+SUM(税费参数!$B$6:税费参数!$B$8))</f>
        <v>0.0298972420716943</v>
      </c>
      <c r="J156" s="7">
        <v>0.0327439024390244</v>
      </c>
      <c r="K156" s="6" t="s">
        <v>154</v>
      </c>
    </row>
    <row r="157" ht="21" customHeight="1" spans="1:11">
      <c r="A157" s="5" t="s">
        <v>10</v>
      </c>
      <c r="B157" s="6" t="s">
        <v>105</v>
      </c>
      <c r="C157" s="6" t="s">
        <v>152</v>
      </c>
      <c r="D157" s="6" t="s">
        <v>153</v>
      </c>
      <c r="E157" s="6">
        <v>4</v>
      </c>
      <c r="F157" s="6">
        <v>4</v>
      </c>
      <c r="G157" s="8">
        <f t="shared" si="2"/>
        <v>1</v>
      </c>
      <c r="H157" s="6">
        <v>1</v>
      </c>
      <c r="I157" s="7">
        <f ca="1">(J157-税费参数!$B$12*SUM(税费参数!$B$9:税费参数!$B$10)/税费参数!$B$11)/(1+SUM(税费参数!$B$6:税费参数!$B$8))</f>
        <v>0.0220346582519119</v>
      </c>
      <c r="J157" s="7">
        <v>0.024625784645099</v>
      </c>
      <c r="K157" s="6" t="s">
        <v>158</v>
      </c>
    </row>
    <row r="158" ht="21" customHeight="1" spans="1:11">
      <c r="A158" s="5" t="s">
        <v>14</v>
      </c>
      <c r="B158" s="6" t="s">
        <v>108</v>
      </c>
      <c r="C158" s="6" t="s">
        <v>152</v>
      </c>
      <c r="D158" s="6" t="s">
        <v>153</v>
      </c>
      <c r="E158" s="6">
        <v>7</v>
      </c>
      <c r="F158" s="6">
        <v>7</v>
      </c>
      <c r="G158" s="8">
        <f t="shared" si="2"/>
        <v>1</v>
      </c>
      <c r="H158" s="6">
        <v>8</v>
      </c>
      <c r="I158" s="7">
        <f ca="1">(J158-税费参数!$B$12*SUM(税费参数!$B$9:税费参数!$B$10)/税费参数!$B$11)/(1+SUM(税费参数!$B$6:税费参数!$B$8))</f>
        <v>0.0228454847098915</v>
      </c>
      <c r="J158" s="7">
        <v>0.025462962962963</v>
      </c>
      <c r="K158" s="6" t="s">
        <v>154</v>
      </c>
    </row>
    <row r="159" ht="21" customHeight="1" spans="1:11">
      <c r="A159" s="5" t="s">
        <v>14</v>
      </c>
      <c r="B159" s="6" t="s">
        <v>109</v>
      </c>
      <c r="C159" s="6" t="s">
        <v>157</v>
      </c>
      <c r="D159" s="6" t="s">
        <v>153</v>
      </c>
      <c r="E159" s="6">
        <v>2</v>
      </c>
      <c r="F159" s="6">
        <v>0</v>
      </c>
      <c r="G159" s="8">
        <f t="shared" si="2"/>
        <v>0</v>
      </c>
      <c r="H159" s="6">
        <v>0</v>
      </c>
      <c r="I159" s="7"/>
      <c r="J159" s="7"/>
      <c r="K159" s="6" t="s">
        <v>156</v>
      </c>
    </row>
    <row r="160" ht="21" customHeight="1" spans="1:11">
      <c r="A160" s="5" t="s">
        <v>14</v>
      </c>
      <c r="B160" s="6" t="s">
        <v>109</v>
      </c>
      <c r="C160" s="6" t="s">
        <v>157</v>
      </c>
      <c r="D160" s="6" t="s">
        <v>155</v>
      </c>
      <c r="E160" s="6">
        <v>1</v>
      </c>
      <c r="F160" s="6">
        <v>0</v>
      </c>
      <c r="G160" s="8">
        <f t="shared" si="2"/>
        <v>0</v>
      </c>
      <c r="H160" s="6">
        <v>0</v>
      </c>
      <c r="I160" s="7"/>
      <c r="J160" s="7"/>
      <c r="K160" s="6" t="s">
        <v>156</v>
      </c>
    </row>
    <row r="161" ht="21" customHeight="1" spans="1:11">
      <c r="A161" s="5" t="s">
        <v>14</v>
      </c>
      <c r="B161" s="6" t="s">
        <v>107</v>
      </c>
      <c r="C161" s="6" t="s">
        <v>152</v>
      </c>
      <c r="D161" s="6" t="s">
        <v>153</v>
      </c>
      <c r="E161" s="6">
        <v>3</v>
      </c>
      <c r="F161" s="6">
        <v>0</v>
      </c>
      <c r="G161" s="8">
        <f t="shared" si="2"/>
        <v>0</v>
      </c>
      <c r="H161" s="6">
        <v>0</v>
      </c>
      <c r="I161" s="7"/>
      <c r="J161" s="7"/>
      <c r="K161" s="6" t="s">
        <v>156</v>
      </c>
    </row>
    <row r="162" ht="21" customHeight="1" spans="1:11">
      <c r="A162" s="5" t="s">
        <v>14</v>
      </c>
      <c r="B162" s="6" t="s">
        <v>107</v>
      </c>
      <c r="C162" s="6" t="s">
        <v>159</v>
      </c>
      <c r="D162" s="6" t="s">
        <v>160</v>
      </c>
      <c r="E162" s="6">
        <v>1</v>
      </c>
      <c r="F162" s="6">
        <v>1</v>
      </c>
      <c r="G162" s="8">
        <f t="shared" si="2"/>
        <v>1</v>
      </c>
      <c r="H162" s="6">
        <v>1</v>
      </c>
      <c r="I162" s="7">
        <f ca="1">(J162-税费参数!$B$12*SUM(税费参数!$B$9:税费参数!$B$10)/税费参数!$B$11)/(1+SUM(税费参数!$B$6:税费参数!$B$8))</f>
        <v>0.0263024291181754</v>
      </c>
      <c r="J162" s="7">
        <v>0.0290322580645161</v>
      </c>
      <c r="K162" s="6" t="s">
        <v>158</v>
      </c>
    </row>
    <row r="163" ht="21" customHeight="1" spans="1:11">
      <c r="A163" s="5" t="s">
        <v>16</v>
      </c>
      <c r="B163" s="6" t="s">
        <v>125</v>
      </c>
      <c r="C163" s="6" t="s">
        <v>152</v>
      </c>
      <c r="D163" s="6" t="s">
        <v>160</v>
      </c>
      <c r="E163" s="6">
        <v>18</v>
      </c>
      <c r="F163" s="6">
        <v>10</v>
      </c>
      <c r="G163" s="8">
        <f t="shared" si="2"/>
        <v>0.555555555555556</v>
      </c>
      <c r="H163" s="6">
        <v>1</v>
      </c>
      <c r="I163" s="7">
        <f ca="1">(J163-税费参数!$B$12*SUM(税费参数!$B$9:税费参数!$B$10)/税费参数!$B$11)/(1+SUM(税费参数!$B$6:税费参数!$B$8))</f>
        <v>0.0132781672117936</v>
      </c>
      <c r="J163" s="7">
        <v>0.0155847076461769</v>
      </c>
      <c r="K163" s="6" t="s">
        <v>158</v>
      </c>
    </row>
    <row r="164" ht="21" customHeight="1" spans="1:11">
      <c r="A164" s="5" t="s">
        <v>16</v>
      </c>
      <c r="B164" s="6" t="s">
        <v>125</v>
      </c>
      <c r="C164" s="6" t="s">
        <v>152</v>
      </c>
      <c r="D164" s="6" t="s">
        <v>153</v>
      </c>
      <c r="E164" s="6">
        <v>1</v>
      </c>
      <c r="F164" s="6">
        <v>0</v>
      </c>
      <c r="G164" s="8">
        <f t="shared" si="2"/>
        <v>0</v>
      </c>
      <c r="H164" s="6">
        <v>0</v>
      </c>
      <c r="I164" s="7"/>
      <c r="J164" s="7"/>
      <c r="K164" s="6" t="s">
        <v>156</v>
      </c>
    </row>
    <row r="165" ht="21" customHeight="1" spans="1:11">
      <c r="A165" s="5" t="s">
        <v>16</v>
      </c>
      <c r="B165" s="6" t="s">
        <v>127</v>
      </c>
      <c r="C165" s="6" t="s">
        <v>152</v>
      </c>
      <c r="D165" s="6" t="s">
        <v>160</v>
      </c>
      <c r="E165" s="6">
        <v>1</v>
      </c>
      <c r="F165" s="6">
        <v>0</v>
      </c>
      <c r="G165" s="8">
        <f t="shared" si="2"/>
        <v>0</v>
      </c>
      <c r="H165" s="6">
        <v>0</v>
      </c>
      <c r="I165" s="7"/>
      <c r="J165" s="7"/>
      <c r="K165" s="6" t="s">
        <v>156</v>
      </c>
    </row>
    <row r="166" ht="21" customHeight="1" spans="1:11">
      <c r="A166" s="5" t="s">
        <v>16</v>
      </c>
      <c r="B166" s="6" t="s">
        <v>127</v>
      </c>
      <c r="C166" s="6" t="s">
        <v>152</v>
      </c>
      <c r="D166" s="6" t="s">
        <v>162</v>
      </c>
      <c r="E166" s="6">
        <v>1</v>
      </c>
      <c r="F166" s="6">
        <v>0</v>
      </c>
      <c r="G166" s="8">
        <f t="shared" si="2"/>
        <v>0</v>
      </c>
      <c r="H166" s="6">
        <v>0</v>
      </c>
      <c r="I166" s="7"/>
      <c r="J166" s="7"/>
      <c r="K166" s="6" t="s">
        <v>156</v>
      </c>
    </row>
    <row r="167" ht="21" customHeight="1" spans="1:11">
      <c r="A167" s="5" t="s">
        <v>16</v>
      </c>
      <c r="B167" s="6" t="s">
        <v>127</v>
      </c>
      <c r="C167" s="6" t="s">
        <v>157</v>
      </c>
      <c r="D167" s="6" t="s">
        <v>160</v>
      </c>
      <c r="E167" s="6">
        <v>1</v>
      </c>
      <c r="F167" s="6">
        <v>0</v>
      </c>
      <c r="G167" s="8">
        <f t="shared" si="2"/>
        <v>0</v>
      </c>
      <c r="H167" s="6">
        <v>0</v>
      </c>
      <c r="I167" s="7"/>
      <c r="J167" s="7"/>
      <c r="K167" s="6" t="s">
        <v>156</v>
      </c>
    </row>
    <row r="168" ht="21" customHeight="1" spans="1:11">
      <c r="A168" s="5" t="s">
        <v>16</v>
      </c>
      <c r="B168" s="6" t="s">
        <v>127</v>
      </c>
      <c r="C168" s="6" t="s">
        <v>157</v>
      </c>
      <c r="D168" s="6" t="s">
        <v>155</v>
      </c>
      <c r="E168" s="6">
        <v>1</v>
      </c>
      <c r="F168" s="6">
        <v>0</v>
      </c>
      <c r="G168" s="8">
        <f t="shared" si="2"/>
        <v>0</v>
      </c>
      <c r="H168" s="6">
        <v>0</v>
      </c>
      <c r="I168" s="7"/>
      <c r="J168" s="7"/>
      <c r="K168" s="6" t="s">
        <v>156</v>
      </c>
    </row>
    <row r="169" ht="21" customHeight="1" spans="1:11">
      <c r="A169" s="5" t="s">
        <v>16</v>
      </c>
      <c r="B169" s="6" t="s">
        <v>127</v>
      </c>
      <c r="C169" s="6" t="s">
        <v>157</v>
      </c>
      <c r="D169" s="6" t="s">
        <v>162</v>
      </c>
      <c r="E169" s="6">
        <v>1</v>
      </c>
      <c r="F169" s="6">
        <v>0</v>
      </c>
      <c r="G169" s="8">
        <f t="shared" si="2"/>
        <v>0</v>
      </c>
      <c r="H169" s="6">
        <v>0</v>
      </c>
      <c r="I169" s="7"/>
      <c r="J169" s="7"/>
      <c r="K169" s="6" t="s">
        <v>156</v>
      </c>
    </row>
    <row r="170" ht="21" customHeight="1" spans="1:11">
      <c r="A170" s="5" t="s">
        <v>16</v>
      </c>
      <c r="B170" s="6" t="s">
        <v>111</v>
      </c>
      <c r="C170" s="6" t="s">
        <v>152</v>
      </c>
      <c r="D170" s="6" t="s">
        <v>160</v>
      </c>
      <c r="E170" s="6">
        <v>1</v>
      </c>
      <c r="F170" s="6">
        <v>0</v>
      </c>
      <c r="G170" s="8">
        <f t="shared" si="2"/>
        <v>0</v>
      </c>
      <c r="H170" s="6">
        <v>0</v>
      </c>
      <c r="I170" s="7"/>
      <c r="J170" s="7"/>
      <c r="K170" s="6" t="s">
        <v>156</v>
      </c>
    </row>
    <row r="171" ht="21" customHeight="1" spans="1:11">
      <c r="A171" s="5" t="s">
        <v>16</v>
      </c>
      <c r="B171" s="6" t="s">
        <v>111</v>
      </c>
      <c r="C171" s="6" t="s">
        <v>152</v>
      </c>
      <c r="D171" s="6" t="s">
        <v>153</v>
      </c>
      <c r="E171" s="6">
        <v>2</v>
      </c>
      <c r="F171" s="6">
        <v>2</v>
      </c>
      <c r="G171" s="8">
        <f t="shared" si="2"/>
        <v>1</v>
      </c>
      <c r="H171" s="6">
        <v>1</v>
      </c>
      <c r="I171" s="7">
        <f ca="1">(J171-税费参数!$B$12*SUM(税费参数!$B$9:税费参数!$B$10)/税费参数!$B$11)/(1+SUM(税费参数!$B$6:税费参数!$B$8))</f>
        <v>0.0303030303030303</v>
      </c>
      <c r="J171" s="7">
        <v>0.0331628787878788</v>
      </c>
      <c r="K171" s="6" t="s">
        <v>158</v>
      </c>
    </row>
    <row r="172" ht="21" customHeight="1" spans="1:11">
      <c r="A172" s="5" t="s">
        <v>16</v>
      </c>
      <c r="B172" s="6" t="s">
        <v>123</v>
      </c>
      <c r="C172" s="6" t="s">
        <v>152</v>
      </c>
      <c r="D172" s="6" t="s">
        <v>160</v>
      </c>
      <c r="E172" s="6">
        <v>8</v>
      </c>
      <c r="F172" s="6">
        <v>8</v>
      </c>
      <c r="G172" s="8">
        <f t="shared" si="2"/>
        <v>1</v>
      </c>
      <c r="H172" s="6">
        <v>6</v>
      </c>
      <c r="I172" s="7">
        <f ca="1">(J172-税费参数!$B$12*SUM(税费参数!$B$9:税费参数!$B$10)/税费参数!$B$11)/(1+SUM(税费参数!$B$6:税费参数!$B$8))</f>
        <v>0.016946497599932</v>
      </c>
      <c r="J172" s="7">
        <v>0.0193722587719298</v>
      </c>
      <c r="K172" s="6" t="s">
        <v>154</v>
      </c>
    </row>
    <row r="173" ht="21" customHeight="1" spans="1:11">
      <c r="A173" s="5" t="s">
        <v>16</v>
      </c>
      <c r="B173" s="6" t="s">
        <v>123</v>
      </c>
      <c r="C173" s="6" t="s">
        <v>152</v>
      </c>
      <c r="D173" s="6" t="s">
        <v>153</v>
      </c>
      <c r="E173" s="6">
        <v>6</v>
      </c>
      <c r="F173" s="6">
        <v>6</v>
      </c>
      <c r="G173" s="8">
        <f t="shared" si="2"/>
        <v>1</v>
      </c>
      <c r="H173" s="6">
        <v>12</v>
      </c>
      <c r="I173" s="7">
        <f ca="1">(J173-税费参数!$B$12*SUM(税费参数!$B$9:税费参数!$B$10)/税费参数!$B$11)/(1+SUM(税费参数!$B$6:税费参数!$B$8))</f>
        <v>0.0143938931504805</v>
      </c>
      <c r="J173" s="7">
        <v>0.0167366946778711</v>
      </c>
      <c r="K173" s="6" t="s">
        <v>154</v>
      </c>
    </row>
    <row r="174" ht="21" customHeight="1" spans="1:11">
      <c r="A174" s="5" t="s">
        <v>16</v>
      </c>
      <c r="B174" s="6" t="s">
        <v>123</v>
      </c>
      <c r="C174" s="6" t="s">
        <v>159</v>
      </c>
      <c r="D174" s="6" t="s">
        <v>160</v>
      </c>
      <c r="E174" s="6">
        <v>6</v>
      </c>
      <c r="F174" s="6">
        <v>6</v>
      </c>
      <c r="G174" s="8">
        <f t="shared" si="2"/>
        <v>1</v>
      </c>
      <c r="H174" s="6">
        <v>15</v>
      </c>
      <c r="I174" s="7">
        <f ca="1">(J174-税费参数!$B$12*SUM(税费参数!$B$9:税费参数!$B$10)/税费参数!$B$11)/(1+SUM(税费参数!$B$6:税费参数!$B$8))</f>
        <v>0.0153423947498736</v>
      </c>
      <c r="J174" s="7">
        <v>0.0177160225792445</v>
      </c>
      <c r="K174" s="6" t="s">
        <v>154</v>
      </c>
    </row>
    <row r="175" ht="21" customHeight="1" spans="1:11">
      <c r="A175" s="5" t="s">
        <v>16</v>
      </c>
      <c r="B175" s="6" t="s">
        <v>110</v>
      </c>
      <c r="C175" s="6" t="s">
        <v>152</v>
      </c>
      <c r="D175" s="6" t="s">
        <v>160</v>
      </c>
      <c r="E175" s="6">
        <v>1</v>
      </c>
      <c r="F175" s="6">
        <v>1</v>
      </c>
      <c r="G175" s="8">
        <f t="shared" si="2"/>
        <v>1</v>
      </c>
      <c r="H175" s="6">
        <v>3</v>
      </c>
      <c r="I175" s="7">
        <f ca="1">(J175-税费参数!$B$12*SUM(税费参数!$B$9:税费参数!$B$10)/税费参数!$B$11)/(1+SUM(税费参数!$B$6:税费参数!$B$8))</f>
        <v>0.0304681194511703</v>
      </c>
      <c r="J175" s="7">
        <v>0.0333333333333333</v>
      </c>
      <c r="K175" s="6" t="s">
        <v>158</v>
      </c>
    </row>
    <row r="176" ht="21" customHeight="1" spans="1:11">
      <c r="A176" s="5" t="s">
        <v>16</v>
      </c>
      <c r="B176" s="6" t="s">
        <v>110</v>
      </c>
      <c r="C176" s="6" t="s">
        <v>152</v>
      </c>
      <c r="D176" s="6" t="s">
        <v>153</v>
      </c>
      <c r="E176" s="6">
        <v>3</v>
      </c>
      <c r="F176" s="6">
        <v>0</v>
      </c>
      <c r="G176" s="8">
        <f t="shared" si="2"/>
        <v>0</v>
      </c>
      <c r="H176" s="6">
        <v>1</v>
      </c>
      <c r="I176" s="7"/>
      <c r="J176" s="7"/>
      <c r="K176" s="6" t="s">
        <v>156</v>
      </c>
    </row>
    <row r="177" ht="21" customHeight="1" spans="1:11">
      <c r="A177" s="5" t="s">
        <v>16</v>
      </c>
      <c r="B177" s="6" t="s">
        <v>110</v>
      </c>
      <c r="C177" s="6" t="s">
        <v>159</v>
      </c>
      <c r="D177" s="6" t="s">
        <v>160</v>
      </c>
      <c r="E177" s="6">
        <v>1</v>
      </c>
      <c r="F177" s="6">
        <v>1</v>
      </c>
      <c r="G177" s="8">
        <f t="shared" si="2"/>
        <v>1</v>
      </c>
      <c r="H177" s="6">
        <v>1</v>
      </c>
      <c r="I177" s="7">
        <f ca="1">(J177-税费参数!$B$12*SUM(税费参数!$B$9:税费参数!$B$10)/税费参数!$B$11)/(1+SUM(税费参数!$B$6:税费参数!$B$8))</f>
        <v>0.0313526153437925</v>
      </c>
      <c r="J177" s="7">
        <v>0.0342465753424658</v>
      </c>
      <c r="K177" s="6" t="s">
        <v>158</v>
      </c>
    </row>
    <row r="178" ht="21" customHeight="1" spans="1:11">
      <c r="A178" s="5" t="s">
        <v>16</v>
      </c>
      <c r="B178" s="6" t="s">
        <v>110</v>
      </c>
      <c r="C178" s="6" t="s">
        <v>159</v>
      </c>
      <c r="D178" s="6" t="s">
        <v>153</v>
      </c>
      <c r="E178" s="6">
        <v>1</v>
      </c>
      <c r="F178" s="6">
        <v>1</v>
      </c>
      <c r="G178" s="8">
        <f t="shared" si="2"/>
        <v>1</v>
      </c>
      <c r="H178" s="6">
        <v>1</v>
      </c>
      <c r="I178" s="7">
        <f ca="1">(J178-税费参数!$B$12*SUM(税费参数!$B$9:税费参数!$B$10)/税费参数!$B$11)/(1+SUM(税费参数!$B$6:税费参数!$B$8))</f>
        <v>0.0297662911885462</v>
      </c>
      <c r="J178" s="7">
        <v>0.0326086956521739</v>
      </c>
      <c r="K178" s="6" t="s">
        <v>158</v>
      </c>
    </row>
    <row r="179" ht="21" customHeight="1" spans="1:11">
      <c r="A179" s="5" t="s">
        <v>16</v>
      </c>
      <c r="B179" s="6" t="s">
        <v>128</v>
      </c>
      <c r="C179" s="6" t="s">
        <v>152</v>
      </c>
      <c r="D179" s="6" t="s">
        <v>155</v>
      </c>
      <c r="E179" s="6">
        <v>1</v>
      </c>
      <c r="F179" s="6">
        <v>0</v>
      </c>
      <c r="G179" s="8">
        <f t="shared" si="2"/>
        <v>0</v>
      </c>
      <c r="H179" s="6">
        <v>0</v>
      </c>
      <c r="I179" s="7"/>
      <c r="J179" s="7"/>
      <c r="K179" s="6" t="s">
        <v>156</v>
      </c>
    </row>
    <row r="180" ht="21" customHeight="1" spans="1:11">
      <c r="A180" s="5" t="s">
        <v>16</v>
      </c>
      <c r="B180" s="6" t="s">
        <v>128</v>
      </c>
      <c r="C180" s="6" t="s">
        <v>157</v>
      </c>
      <c r="D180" s="6" t="s">
        <v>155</v>
      </c>
      <c r="E180" s="6">
        <v>2</v>
      </c>
      <c r="F180" s="6">
        <v>0</v>
      </c>
      <c r="G180" s="8">
        <f t="shared" si="2"/>
        <v>0</v>
      </c>
      <c r="H180" s="6">
        <v>1</v>
      </c>
      <c r="I180" s="7"/>
      <c r="J180" s="7"/>
      <c r="K180" s="6" t="s">
        <v>156</v>
      </c>
    </row>
    <row r="181" ht="21" customHeight="1" spans="1:11">
      <c r="A181" s="5" t="s">
        <v>16</v>
      </c>
      <c r="B181" s="6" t="s">
        <v>120</v>
      </c>
      <c r="C181" s="6" t="s">
        <v>152</v>
      </c>
      <c r="D181" s="6" t="s">
        <v>153</v>
      </c>
      <c r="E181" s="6">
        <v>3</v>
      </c>
      <c r="F181" s="6">
        <v>3</v>
      </c>
      <c r="G181" s="8">
        <f t="shared" si="2"/>
        <v>1</v>
      </c>
      <c r="H181" s="6">
        <v>6</v>
      </c>
      <c r="I181" s="7">
        <f ca="1">(J181-税费参数!$B$12*SUM(税费参数!$B$9:税费参数!$B$10)/税费参数!$B$11)/(1+SUM(税费参数!$B$6:税费参数!$B$8))</f>
        <v>0.0161831194154578</v>
      </c>
      <c r="J181" s="7">
        <v>0.0185840707964602</v>
      </c>
      <c r="K181" s="6" t="s">
        <v>154</v>
      </c>
    </row>
    <row r="182" ht="21" customHeight="1" spans="1:11">
      <c r="A182" s="5" t="s">
        <v>16</v>
      </c>
      <c r="B182" s="6" t="s">
        <v>114</v>
      </c>
      <c r="C182" s="6" t="s">
        <v>152</v>
      </c>
      <c r="D182" s="6" t="s">
        <v>160</v>
      </c>
      <c r="E182" s="6">
        <v>2</v>
      </c>
      <c r="F182" s="6">
        <v>0</v>
      </c>
      <c r="G182" s="8">
        <f t="shared" si="2"/>
        <v>0</v>
      </c>
      <c r="H182" s="6">
        <v>0</v>
      </c>
      <c r="I182" s="7"/>
      <c r="J182" s="7"/>
      <c r="K182" s="6" t="s">
        <v>156</v>
      </c>
    </row>
    <row r="183" ht="21" customHeight="1" spans="1:11">
      <c r="A183" s="5" t="s">
        <v>16</v>
      </c>
      <c r="B183" s="6" t="s">
        <v>114</v>
      </c>
      <c r="C183" s="6" t="s">
        <v>152</v>
      </c>
      <c r="D183" s="6" t="s">
        <v>153</v>
      </c>
      <c r="E183" s="6">
        <v>2</v>
      </c>
      <c r="F183" s="6">
        <v>2</v>
      </c>
      <c r="G183" s="8">
        <f t="shared" si="2"/>
        <v>1</v>
      </c>
      <c r="H183" s="6">
        <v>2</v>
      </c>
      <c r="I183" s="7">
        <f ca="1">(J183-税费参数!$B$12*SUM(税费参数!$B$9:税费参数!$B$10)/税费参数!$B$11)/(1+SUM(税费参数!$B$6:税费参数!$B$8))</f>
        <v>0.0172201295595598</v>
      </c>
      <c r="J183" s="7">
        <v>0.0196547837702454</v>
      </c>
      <c r="K183" s="6" t="s">
        <v>154</v>
      </c>
    </row>
    <row r="184" ht="21" customHeight="1" spans="1:11">
      <c r="A184" s="5" t="s">
        <v>16</v>
      </c>
      <c r="B184" s="6" t="s">
        <v>114</v>
      </c>
      <c r="C184" s="6" t="s">
        <v>159</v>
      </c>
      <c r="D184" s="6" t="s">
        <v>160</v>
      </c>
      <c r="E184" s="6">
        <v>3</v>
      </c>
      <c r="F184" s="6">
        <v>3</v>
      </c>
      <c r="G184" s="8">
        <f t="shared" si="2"/>
        <v>1</v>
      </c>
      <c r="H184" s="6">
        <v>1</v>
      </c>
      <c r="I184" s="7">
        <f ca="1">(J184-税费参数!$B$12*SUM(税费参数!$B$9:税费参数!$B$10)/税费参数!$B$11)/(1+SUM(税费参数!$B$6:税费参数!$B$8))</f>
        <v>0.02871354879461</v>
      </c>
      <c r="J184" s="7">
        <v>0.0315217391304348</v>
      </c>
      <c r="K184" s="6" t="s">
        <v>158</v>
      </c>
    </row>
    <row r="185" ht="21" customHeight="1" spans="1:11">
      <c r="A185" s="5" t="s">
        <v>16</v>
      </c>
      <c r="B185" s="6" t="s">
        <v>114</v>
      </c>
      <c r="C185" s="6" t="s">
        <v>159</v>
      </c>
      <c r="D185" s="6" t="s">
        <v>153</v>
      </c>
      <c r="E185" s="6">
        <v>2</v>
      </c>
      <c r="F185" s="6">
        <v>0</v>
      </c>
      <c r="G185" s="8">
        <f t="shared" si="2"/>
        <v>0</v>
      </c>
      <c r="H185" s="6">
        <v>0</v>
      </c>
      <c r="I185" s="7"/>
      <c r="J185" s="7"/>
      <c r="K185" s="6" t="s">
        <v>156</v>
      </c>
    </row>
    <row r="186" ht="21" customHeight="1" spans="1:11">
      <c r="A186" s="5" t="s">
        <v>16</v>
      </c>
      <c r="B186" s="6" t="s">
        <v>129</v>
      </c>
      <c r="C186" s="6" t="s">
        <v>157</v>
      </c>
      <c r="D186" s="6" t="s">
        <v>155</v>
      </c>
      <c r="E186" s="6">
        <v>1</v>
      </c>
      <c r="F186" s="6">
        <v>0</v>
      </c>
      <c r="G186" s="8">
        <f t="shared" si="2"/>
        <v>0</v>
      </c>
      <c r="H186" s="6">
        <v>0</v>
      </c>
      <c r="I186" s="7"/>
      <c r="J186" s="7"/>
      <c r="K186" s="6" t="s">
        <v>156</v>
      </c>
    </row>
    <row r="187" ht="21" customHeight="1" spans="1:11">
      <c r="A187" s="5" t="s">
        <v>16</v>
      </c>
      <c r="B187" s="6" t="s">
        <v>118</v>
      </c>
      <c r="C187" s="6" t="s">
        <v>152</v>
      </c>
      <c r="D187" s="6" t="s">
        <v>160</v>
      </c>
      <c r="E187" s="6">
        <v>1</v>
      </c>
      <c r="F187" s="6">
        <v>1</v>
      </c>
      <c r="G187" s="8">
        <f t="shared" si="2"/>
        <v>1</v>
      </c>
      <c r="H187" s="6">
        <v>1</v>
      </c>
      <c r="I187" s="7">
        <f ca="1">(J187-税费参数!$B$12*SUM(税费参数!$B$9:税费参数!$B$10)/税费参数!$B$11)/(1+SUM(税费参数!$B$6:税费参数!$B$8))</f>
        <v>0.046853516979571</v>
      </c>
      <c r="J187" s="7">
        <v>0.050251256281407</v>
      </c>
      <c r="K187" s="6" t="s">
        <v>158</v>
      </c>
    </row>
    <row r="188" ht="21" customHeight="1" spans="1:11">
      <c r="A188" s="5" t="s">
        <v>16</v>
      </c>
      <c r="B188" s="6" t="s">
        <v>118</v>
      </c>
      <c r="C188" s="6" t="s">
        <v>152</v>
      </c>
      <c r="D188" s="6" t="s">
        <v>153</v>
      </c>
      <c r="E188" s="6">
        <v>6</v>
      </c>
      <c r="F188" s="6">
        <v>6</v>
      </c>
      <c r="G188" s="8">
        <f t="shared" si="2"/>
        <v>1</v>
      </c>
      <c r="H188" s="6">
        <v>2</v>
      </c>
      <c r="I188" s="7">
        <f ca="1">(J188-税费参数!$B$12*SUM(税费参数!$B$9:税费参数!$B$10)/税费参数!$B$11)/(1+SUM(税费参数!$B$6:税费参数!$B$8))</f>
        <v>0.0295253650685409</v>
      </c>
      <c r="J188" s="7">
        <v>0.0323599394332684</v>
      </c>
      <c r="K188" s="6" t="s">
        <v>154</v>
      </c>
    </row>
    <row r="189" ht="21" customHeight="1" spans="1:11">
      <c r="A189" s="5" t="s">
        <v>16</v>
      </c>
      <c r="B189" s="6" t="s">
        <v>118</v>
      </c>
      <c r="C189" s="6" t="s">
        <v>157</v>
      </c>
      <c r="D189" s="6" t="s">
        <v>155</v>
      </c>
      <c r="E189" s="6">
        <v>10</v>
      </c>
      <c r="F189" s="6">
        <v>10</v>
      </c>
      <c r="G189" s="8">
        <f t="shared" si="2"/>
        <v>1</v>
      </c>
      <c r="H189" s="6">
        <v>1</v>
      </c>
      <c r="I189" s="7">
        <f ca="1">(J189-税费参数!$B$12*SUM(税费参数!$B$9:税费参数!$B$10)/税费参数!$B$11)/(1+SUM(税费参数!$B$6:税费参数!$B$8))</f>
        <v>0.0230888965755794</v>
      </c>
      <c r="J189" s="7">
        <v>0.0257142857142857</v>
      </c>
      <c r="K189" s="6" t="s">
        <v>158</v>
      </c>
    </row>
    <row r="190" ht="21" customHeight="1" spans="1:11">
      <c r="A190" s="5" t="s">
        <v>16</v>
      </c>
      <c r="B190" s="6" t="s">
        <v>118</v>
      </c>
      <c r="C190" s="6" t="s">
        <v>159</v>
      </c>
      <c r="D190" s="6" t="s">
        <v>153</v>
      </c>
      <c r="E190" s="6">
        <v>1</v>
      </c>
      <c r="F190" s="6">
        <v>0</v>
      </c>
      <c r="G190" s="8">
        <f t="shared" si="2"/>
        <v>0</v>
      </c>
      <c r="H190" s="6">
        <v>0</v>
      </c>
      <c r="I190" s="7"/>
      <c r="J190" s="7"/>
      <c r="K190" s="6" t="s">
        <v>156</v>
      </c>
    </row>
    <row r="191" ht="21" customHeight="1" spans="1:11">
      <c r="A191" s="5" t="s">
        <v>16</v>
      </c>
      <c r="B191" s="6" t="s">
        <v>119</v>
      </c>
      <c r="C191" s="6" t="s">
        <v>152</v>
      </c>
      <c r="D191" s="6" t="s">
        <v>160</v>
      </c>
      <c r="E191" s="6">
        <v>4</v>
      </c>
      <c r="F191" s="6">
        <v>3</v>
      </c>
      <c r="G191" s="8">
        <f t="shared" si="2"/>
        <v>0.75</v>
      </c>
      <c r="H191" s="6">
        <v>1</v>
      </c>
      <c r="I191" s="7">
        <f ca="1">(J191-税费参数!$B$12*SUM(税费参数!$B$9:税费参数!$B$10)/税费参数!$B$11)/(1+SUM(税费参数!$B$6:税费参数!$B$8))</f>
        <v>0.0235879014011829</v>
      </c>
      <c r="J191" s="7">
        <v>0.0262295081967213</v>
      </c>
      <c r="K191" s="6" t="s">
        <v>158</v>
      </c>
    </row>
    <row r="192" ht="21" customHeight="1" spans="1:11">
      <c r="A192" s="5" t="s">
        <v>16</v>
      </c>
      <c r="B192" s="6" t="s">
        <v>119</v>
      </c>
      <c r="C192" s="6" t="s">
        <v>166</v>
      </c>
      <c r="D192" s="6" t="s">
        <v>160</v>
      </c>
      <c r="E192" s="6">
        <v>2</v>
      </c>
      <c r="F192" s="6">
        <v>0</v>
      </c>
      <c r="G192" s="8">
        <f t="shared" si="2"/>
        <v>0</v>
      </c>
      <c r="H192" s="6">
        <v>0</v>
      </c>
      <c r="I192" s="7"/>
      <c r="J192" s="7"/>
      <c r="K192" s="6" t="s">
        <v>156</v>
      </c>
    </row>
    <row r="193" ht="21" customHeight="1" spans="1:11">
      <c r="A193" s="5" t="s">
        <v>16</v>
      </c>
      <c r="B193" s="6" t="s">
        <v>113</v>
      </c>
      <c r="C193" s="6" t="s">
        <v>152</v>
      </c>
      <c r="D193" s="6" t="s">
        <v>160</v>
      </c>
      <c r="E193" s="6">
        <v>1</v>
      </c>
      <c r="F193" s="6">
        <v>1</v>
      </c>
      <c r="G193" s="8">
        <f t="shared" si="2"/>
        <v>1</v>
      </c>
      <c r="H193" s="6">
        <v>5</v>
      </c>
      <c r="I193" s="7">
        <f ca="1">(J193-税费参数!$B$12*SUM(税费参数!$B$9:税费参数!$B$10)/税费参数!$B$11)/(1+SUM(税费参数!$B$6:税费参数!$B$8))</f>
        <v>0.0278602116452076</v>
      </c>
      <c r="J193" s="7">
        <v>0.0306406685236769</v>
      </c>
      <c r="K193" s="6" t="s">
        <v>158</v>
      </c>
    </row>
    <row r="194" ht="21" customHeight="1" spans="1:11">
      <c r="A194" s="5" t="s">
        <v>16</v>
      </c>
      <c r="B194" s="6" t="s">
        <v>113</v>
      </c>
      <c r="C194" s="6" t="s">
        <v>152</v>
      </c>
      <c r="D194" s="6" t="s">
        <v>153</v>
      </c>
      <c r="E194" s="6">
        <v>9</v>
      </c>
      <c r="F194" s="6">
        <v>3</v>
      </c>
      <c r="G194" s="8">
        <f t="shared" si="2"/>
        <v>0.333333333333333</v>
      </c>
      <c r="H194" s="6">
        <v>3</v>
      </c>
      <c r="I194" s="7">
        <f ca="1">(J194-税费参数!$B$12*SUM(税费参数!$B$9:税费参数!$B$10)/税费参数!$B$11)/(1+SUM(税费参数!$B$6:税费参数!$B$8))</f>
        <v>0.0232516735507762</v>
      </c>
      <c r="J194" s="7">
        <v>0.0258823529411765</v>
      </c>
      <c r="K194" s="6" t="s">
        <v>154</v>
      </c>
    </row>
    <row r="195" ht="21" customHeight="1" spans="1:11">
      <c r="A195" s="5" t="s">
        <v>16</v>
      </c>
      <c r="B195" s="6" t="s">
        <v>113</v>
      </c>
      <c r="C195" s="6" t="s">
        <v>152</v>
      </c>
      <c r="D195" s="6" t="s">
        <v>155</v>
      </c>
      <c r="E195" s="6">
        <v>2</v>
      </c>
      <c r="F195" s="6">
        <v>0</v>
      </c>
      <c r="G195" s="8">
        <f t="shared" si="2"/>
        <v>0</v>
      </c>
      <c r="H195" s="6">
        <v>0</v>
      </c>
      <c r="I195" s="7"/>
      <c r="J195" s="7"/>
      <c r="K195" s="6" t="s">
        <v>156</v>
      </c>
    </row>
    <row r="196" ht="21" customHeight="1" spans="1:11">
      <c r="A196" s="5" t="s">
        <v>16</v>
      </c>
      <c r="B196" s="6" t="s">
        <v>113</v>
      </c>
      <c r="C196" s="6" t="s">
        <v>157</v>
      </c>
      <c r="D196" s="6" t="s">
        <v>155</v>
      </c>
      <c r="E196" s="6">
        <v>2</v>
      </c>
      <c r="F196" s="6">
        <v>0</v>
      </c>
      <c r="G196" s="8">
        <f t="shared" si="2"/>
        <v>0</v>
      </c>
      <c r="H196" s="6">
        <v>0</v>
      </c>
      <c r="I196" s="7"/>
      <c r="J196" s="7"/>
      <c r="K196" s="6" t="s">
        <v>156</v>
      </c>
    </row>
    <row r="197" ht="21" customHeight="1" spans="1:11">
      <c r="A197" s="5" t="s">
        <v>16</v>
      </c>
      <c r="B197" s="6" t="s">
        <v>113</v>
      </c>
      <c r="C197" s="6" t="s">
        <v>159</v>
      </c>
      <c r="D197" s="6" t="s">
        <v>160</v>
      </c>
      <c r="E197" s="6">
        <v>2</v>
      </c>
      <c r="F197" s="6">
        <v>2</v>
      </c>
      <c r="G197" s="8">
        <f t="shared" si="2"/>
        <v>1</v>
      </c>
      <c r="H197" s="6">
        <v>1</v>
      </c>
      <c r="I197" s="7">
        <f ca="1">(J197-税费参数!$B$12*SUM(税费参数!$B$9:税费参数!$B$10)/税费参数!$B$11)/(1+SUM(税费参数!$B$6:税费参数!$B$8))</f>
        <v>0.032347741140396</v>
      </c>
      <c r="J197" s="7">
        <v>0.0352740427274589</v>
      </c>
      <c r="K197" s="6" t="s">
        <v>158</v>
      </c>
    </row>
    <row r="198" ht="21" customHeight="1" spans="1:11">
      <c r="A198" s="5" t="s">
        <v>16</v>
      </c>
      <c r="B198" s="6" t="s">
        <v>130</v>
      </c>
      <c r="C198" s="6" t="s">
        <v>159</v>
      </c>
      <c r="D198" s="6" t="s">
        <v>153</v>
      </c>
      <c r="E198" s="6">
        <v>1</v>
      </c>
      <c r="F198" s="6">
        <v>0</v>
      </c>
      <c r="G198" s="8">
        <f t="shared" si="2"/>
        <v>0</v>
      </c>
      <c r="H198" s="6">
        <v>0</v>
      </c>
      <c r="I198" s="7"/>
      <c r="J198" s="7"/>
      <c r="K198" s="6" t="s">
        <v>156</v>
      </c>
    </row>
    <row r="199" ht="21" customHeight="1" spans="1:11">
      <c r="A199" s="5" t="s">
        <v>16</v>
      </c>
      <c r="B199" s="6" t="s">
        <v>131</v>
      </c>
      <c r="C199" s="6" t="s">
        <v>152</v>
      </c>
      <c r="D199" s="6" t="s">
        <v>153</v>
      </c>
      <c r="E199" s="6">
        <v>1</v>
      </c>
      <c r="F199" s="6">
        <v>0</v>
      </c>
      <c r="G199" s="8">
        <f t="shared" ref="G199:G257" si="3">F199/E199</f>
        <v>0</v>
      </c>
      <c r="H199" s="6">
        <v>0</v>
      </c>
      <c r="I199" s="7"/>
      <c r="J199" s="7"/>
      <c r="K199" s="6" t="s">
        <v>156</v>
      </c>
    </row>
    <row r="200" ht="21" customHeight="1" spans="1:11">
      <c r="A200" s="5" t="s">
        <v>16</v>
      </c>
      <c r="B200" s="6" t="s">
        <v>115</v>
      </c>
      <c r="C200" s="6" t="s">
        <v>152</v>
      </c>
      <c r="D200" s="6" t="s">
        <v>153</v>
      </c>
      <c r="E200" s="6">
        <v>3</v>
      </c>
      <c r="F200" s="6">
        <v>3</v>
      </c>
      <c r="G200" s="8">
        <f t="shared" si="3"/>
        <v>1</v>
      </c>
      <c r="H200" s="6">
        <v>1</v>
      </c>
      <c r="I200" s="7">
        <f ca="1">(J200-税费参数!$B$12*SUM(税费参数!$B$9:税费参数!$B$10)/税费参数!$B$11)/(1+SUM(税费参数!$B$6:税费参数!$B$8))</f>
        <v>0.026494691748929</v>
      </c>
      <c r="J200" s="7">
        <v>0.0292307692307692</v>
      </c>
      <c r="K200" s="6" t="s">
        <v>158</v>
      </c>
    </row>
    <row r="201" ht="21" customHeight="1" spans="1:11">
      <c r="A201" s="5" t="s">
        <v>16</v>
      </c>
      <c r="B201" s="6" t="s">
        <v>115</v>
      </c>
      <c r="C201" s="6" t="s">
        <v>152</v>
      </c>
      <c r="D201" s="6" t="s">
        <v>155</v>
      </c>
      <c r="E201" s="6">
        <v>1</v>
      </c>
      <c r="F201" s="6">
        <v>0</v>
      </c>
      <c r="G201" s="8">
        <f t="shared" si="3"/>
        <v>0</v>
      </c>
      <c r="H201" s="6">
        <v>0</v>
      </c>
      <c r="I201" s="7"/>
      <c r="J201" s="7"/>
      <c r="K201" s="6" t="s">
        <v>156</v>
      </c>
    </row>
    <row r="202" ht="21" customHeight="1" spans="1:11">
      <c r="A202" s="5" t="s">
        <v>16</v>
      </c>
      <c r="B202" s="6" t="s">
        <v>115</v>
      </c>
      <c r="C202" s="6" t="s">
        <v>157</v>
      </c>
      <c r="D202" s="6" t="s">
        <v>155</v>
      </c>
      <c r="E202" s="6">
        <v>6</v>
      </c>
      <c r="F202" s="6">
        <v>5</v>
      </c>
      <c r="G202" s="8">
        <f t="shared" si="3"/>
        <v>0.833333333333333</v>
      </c>
      <c r="H202" s="6">
        <v>1</v>
      </c>
      <c r="I202" s="7">
        <f ca="1">(J202-税费参数!$B$12*SUM(税费参数!$B$9:税费参数!$B$10)/税费参数!$B$11)/(1+SUM(税费参数!$B$6:税费参数!$B$8))</f>
        <v>0.0257104625971709</v>
      </c>
      <c r="J202" s="7">
        <v>0.0284210526315789</v>
      </c>
      <c r="K202" s="6" t="s">
        <v>158</v>
      </c>
    </row>
    <row r="203" ht="21" customHeight="1" spans="1:11">
      <c r="A203" s="5" t="s">
        <v>16</v>
      </c>
      <c r="B203" s="6" t="s">
        <v>112</v>
      </c>
      <c r="C203" s="6" t="s">
        <v>152</v>
      </c>
      <c r="D203" s="6" t="s">
        <v>155</v>
      </c>
      <c r="E203" s="6">
        <v>4</v>
      </c>
      <c r="F203" s="6">
        <v>4</v>
      </c>
      <c r="G203" s="8">
        <f t="shared" si="3"/>
        <v>1</v>
      </c>
      <c r="H203" s="6">
        <v>5</v>
      </c>
      <c r="I203" s="7">
        <f ca="1">(J203-税费参数!$B$12*SUM(税费参数!$B$9:税费参数!$B$10)/税费参数!$B$11)/(1+SUM(税费参数!$B$6:税费参数!$B$8))</f>
        <v>0.0290181897314425</v>
      </c>
      <c r="J203" s="7">
        <v>0.0318362808977143</v>
      </c>
      <c r="K203" s="6" t="s">
        <v>154</v>
      </c>
    </row>
    <row r="204" ht="21" customHeight="1" spans="1:11">
      <c r="A204" s="5" t="s">
        <v>16</v>
      </c>
      <c r="B204" s="6" t="s">
        <v>126</v>
      </c>
      <c r="C204" s="6" t="s">
        <v>152</v>
      </c>
      <c r="D204" s="6" t="s">
        <v>160</v>
      </c>
      <c r="E204" s="6">
        <v>5</v>
      </c>
      <c r="F204" s="6">
        <v>5</v>
      </c>
      <c r="G204" s="8">
        <f t="shared" si="3"/>
        <v>1</v>
      </c>
      <c r="H204" s="6">
        <v>1</v>
      </c>
      <c r="I204" s="7">
        <f ca="1">(J204-税费参数!$B$12*SUM(税费参数!$B$9:税费参数!$B$10)/税费参数!$B$11)/(1+SUM(税费参数!$B$6:税费参数!$B$8))</f>
        <v>0.0110405194026013</v>
      </c>
      <c r="J204" s="7">
        <v>0.0132743362831858</v>
      </c>
      <c r="K204" s="6" t="s">
        <v>158</v>
      </c>
    </row>
    <row r="205" ht="21" customHeight="1" spans="1:11">
      <c r="A205" s="5" t="s">
        <v>16</v>
      </c>
      <c r="B205" s="6" t="s">
        <v>126</v>
      </c>
      <c r="C205" s="6" t="s">
        <v>152</v>
      </c>
      <c r="D205" s="6" t="s">
        <v>153</v>
      </c>
      <c r="E205" s="6">
        <v>3</v>
      </c>
      <c r="F205" s="6">
        <v>3</v>
      </c>
      <c r="G205" s="8">
        <f t="shared" si="3"/>
        <v>1</v>
      </c>
      <c r="H205" s="6">
        <v>1</v>
      </c>
      <c r="I205" s="7">
        <f ca="1">(J205-税费参数!$B$12*SUM(税费参数!$B$9:税费参数!$B$10)/税费参数!$B$11)/(1+SUM(税费参数!$B$6:税费参数!$B$8))</f>
        <v>0.0151771956856703</v>
      </c>
      <c r="J205" s="7">
        <v>0.0175454545454545</v>
      </c>
      <c r="K205" s="6" t="s">
        <v>158</v>
      </c>
    </row>
    <row r="206" ht="21" customHeight="1" spans="1:11">
      <c r="A206" s="5" t="s">
        <v>16</v>
      </c>
      <c r="B206" s="6" t="s">
        <v>126</v>
      </c>
      <c r="C206" s="6" t="s">
        <v>159</v>
      </c>
      <c r="D206" s="6" t="s">
        <v>160</v>
      </c>
      <c r="E206" s="6">
        <v>1</v>
      </c>
      <c r="F206" s="6">
        <v>1</v>
      </c>
      <c r="G206" s="8">
        <f t="shared" si="3"/>
        <v>1</v>
      </c>
      <c r="H206" s="6">
        <v>1</v>
      </c>
      <c r="I206" s="7">
        <f ca="1">(J206-税费参数!$B$12*SUM(税费参数!$B$9:税费参数!$B$10)/税费参数!$B$11)/(1+SUM(税费参数!$B$6:税费参数!$B$8))</f>
        <v>0.0113911512216597</v>
      </c>
      <c r="J206" s="7">
        <v>0.0136363636363636</v>
      </c>
      <c r="K206" s="6" t="s">
        <v>158</v>
      </c>
    </row>
    <row r="207" ht="21" customHeight="1" spans="1:11">
      <c r="A207" s="5" t="s">
        <v>16</v>
      </c>
      <c r="B207" s="6" t="s">
        <v>126</v>
      </c>
      <c r="C207" s="6" t="s">
        <v>159</v>
      </c>
      <c r="D207" s="6" t="s">
        <v>153</v>
      </c>
      <c r="E207" s="6">
        <v>1</v>
      </c>
      <c r="F207" s="6">
        <v>0</v>
      </c>
      <c r="G207" s="8">
        <f t="shared" si="3"/>
        <v>0</v>
      </c>
      <c r="H207" s="6">
        <v>0</v>
      </c>
      <c r="I207" s="7"/>
      <c r="J207" s="7"/>
      <c r="K207" s="6" t="s">
        <v>156</v>
      </c>
    </row>
    <row r="208" ht="21" customHeight="1" spans="1:11">
      <c r="A208" s="5" t="s">
        <v>16</v>
      </c>
      <c r="B208" s="6" t="s">
        <v>132</v>
      </c>
      <c r="C208" s="6" t="s">
        <v>157</v>
      </c>
      <c r="D208" s="6" t="s">
        <v>153</v>
      </c>
      <c r="E208" s="6">
        <v>2</v>
      </c>
      <c r="F208" s="6">
        <v>0</v>
      </c>
      <c r="G208" s="8">
        <f t="shared" si="3"/>
        <v>0</v>
      </c>
      <c r="H208" s="6">
        <v>0</v>
      </c>
      <c r="I208" s="7"/>
      <c r="J208" s="7"/>
      <c r="K208" s="6" t="s">
        <v>156</v>
      </c>
    </row>
    <row r="209" ht="21" customHeight="1" spans="1:11">
      <c r="A209" s="5" t="s">
        <v>16</v>
      </c>
      <c r="B209" s="6" t="s">
        <v>116</v>
      </c>
      <c r="C209" s="6" t="s">
        <v>152</v>
      </c>
      <c r="D209" s="6" t="s">
        <v>153</v>
      </c>
      <c r="E209" s="6">
        <v>3</v>
      </c>
      <c r="F209" s="6">
        <v>3</v>
      </c>
      <c r="G209" s="8">
        <f t="shared" si="3"/>
        <v>1</v>
      </c>
      <c r="H209" s="6">
        <v>3</v>
      </c>
      <c r="I209" s="7">
        <f ca="1">(J209-税费参数!$B$12*SUM(税费参数!$B$9:税费参数!$B$10)/税费参数!$B$11)/(1+SUM(税费参数!$B$6:税费参数!$B$8))</f>
        <v>0.0209146612640214</v>
      </c>
      <c r="J209" s="7">
        <v>0.023469387755102</v>
      </c>
      <c r="K209" s="6" t="s">
        <v>154</v>
      </c>
    </row>
    <row r="210" ht="21" customHeight="1" spans="1:11">
      <c r="A210" s="5" t="s">
        <v>16</v>
      </c>
      <c r="B210" s="6" t="s">
        <v>116</v>
      </c>
      <c r="C210" s="6" t="s">
        <v>152</v>
      </c>
      <c r="D210" s="6" t="s">
        <v>155</v>
      </c>
      <c r="E210" s="6">
        <v>5</v>
      </c>
      <c r="F210" s="6">
        <v>5</v>
      </c>
      <c r="G210" s="8">
        <f t="shared" si="3"/>
        <v>1</v>
      </c>
      <c r="H210" s="6">
        <v>2</v>
      </c>
      <c r="I210" s="7">
        <f ca="1">(J210-税费参数!$B$12*SUM(税费参数!$B$9:税费参数!$B$10)/税费参数!$B$11)/(1+SUM(税费参数!$B$6:税费参数!$B$8))</f>
        <v>0.0271759908245189</v>
      </c>
      <c r="J210" s="7">
        <v>0.0299342105263158</v>
      </c>
      <c r="K210" s="6" t="s">
        <v>154</v>
      </c>
    </row>
    <row r="211" ht="21" customHeight="1" spans="1:11">
      <c r="A211" s="5" t="s">
        <v>16</v>
      </c>
      <c r="B211" s="6" t="s">
        <v>116</v>
      </c>
      <c r="C211" s="6" t="s">
        <v>157</v>
      </c>
      <c r="D211" s="6" t="s">
        <v>155</v>
      </c>
      <c r="E211" s="6">
        <v>7</v>
      </c>
      <c r="F211" s="6">
        <v>7</v>
      </c>
      <c r="G211" s="8">
        <f t="shared" si="3"/>
        <v>1</v>
      </c>
      <c r="H211" s="6">
        <v>5</v>
      </c>
      <c r="I211" s="7">
        <f ca="1">(J211-税费参数!$B$12*SUM(税费参数!$B$9:税费参数!$B$10)/税费参数!$B$11)/(1+SUM(税费参数!$B$6:税费参数!$B$8))</f>
        <v>0.0256468644296654</v>
      </c>
      <c r="J211" s="7">
        <v>0.0283553875236295</v>
      </c>
      <c r="K211" s="6" t="s">
        <v>154</v>
      </c>
    </row>
    <row r="212" ht="21" customHeight="1" spans="1:11">
      <c r="A212" s="5" t="s">
        <v>16</v>
      </c>
      <c r="B212" s="6" t="s">
        <v>122</v>
      </c>
      <c r="C212" s="6" t="s">
        <v>152</v>
      </c>
      <c r="D212" s="6" t="s">
        <v>160</v>
      </c>
      <c r="E212" s="6">
        <v>3</v>
      </c>
      <c r="F212" s="6">
        <v>3</v>
      </c>
      <c r="G212" s="8">
        <f t="shared" si="3"/>
        <v>1</v>
      </c>
      <c r="H212" s="6">
        <v>3</v>
      </c>
      <c r="I212" s="7">
        <f ca="1">(J212-税费参数!$B$12*SUM(税费参数!$B$9:税费参数!$B$10)/税费参数!$B$11)/(1+SUM(税费参数!$B$6:税费参数!$B$8))</f>
        <v>0.0281871775976419</v>
      </c>
      <c r="J212" s="7">
        <v>0.0309782608695652</v>
      </c>
      <c r="K212" s="6" t="s">
        <v>154</v>
      </c>
    </row>
    <row r="213" ht="21" customHeight="1" spans="1:11">
      <c r="A213" s="5" t="s">
        <v>16</v>
      </c>
      <c r="B213" s="6" t="s">
        <v>122</v>
      </c>
      <c r="C213" s="6" t="s">
        <v>152</v>
      </c>
      <c r="D213" s="6" t="s">
        <v>153</v>
      </c>
      <c r="E213" s="6">
        <v>25</v>
      </c>
      <c r="F213" s="6">
        <v>25</v>
      </c>
      <c r="G213" s="8">
        <f t="shared" si="3"/>
        <v>1</v>
      </c>
      <c r="H213" s="6">
        <v>18</v>
      </c>
      <c r="I213" s="7">
        <f ca="1">(J213-税费参数!$B$12*SUM(税费参数!$B$9:税费参数!$B$10)/税费参数!$B$11)/(1+SUM(税费参数!$B$6:税费参数!$B$8))</f>
        <v>0.0156174334140436</v>
      </c>
      <c r="J213" s="7">
        <v>0.018</v>
      </c>
      <c r="K213" s="6" t="s">
        <v>154</v>
      </c>
    </row>
    <row r="214" ht="21" customHeight="1" spans="1:11">
      <c r="A214" s="5" t="s">
        <v>16</v>
      </c>
      <c r="B214" s="6" t="s">
        <v>122</v>
      </c>
      <c r="C214" s="6" t="s">
        <v>152</v>
      </c>
      <c r="D214" s="6" t="s">
        <v>155</v>
      </c>
      <c r="E214" s="6">
        <v>3</v>
      </c>
      <c r="F214" s="6">
        <v>3</v>
      </c>
      <c r="G214" s="8">
        <f t="shared" si="3"/>
        <v>1</v>
      </c>
      <c r="H214" s="6">
        <v>9</v>
      </c>
      <c r="I214" s="7">
        <f ca="1">(J214-税费参数!$B$12*SUM(税费参数!$B$9:税费参数!$B$10)/税费参数!$B$11)/(1+SUM(税费参数!$B$6:税费参数!$B$8))</f>
        <v>0.0223970944309927</v>
      </c>
      <c r="J214" s="7">
        <v>0.025</v>
      </c>
      <c r="K214" s="6" t="s">
        <v>154</v>
      </c>
    </row>
    <row r="215" ht="21" customHeight="1" spans="1:11">
      <c r="A215" s="5" t="s">
        <v>16</v>
      </c>
      <c r="B215" s="6" t="s">
        <v>122</v>
      </c>
      <c r="C215" s="6" t="s">
        <v>159</v>
      </c>
      <c r="D215" s="6" t="s">
        <v>160</v>
      </c>
      <c r="E215" s="6">
        <v>19</v>
      </c>
      <c r="F215" s="6">
        <v>19</v>
      </c>
      <c r="G215" s="8">
        <f t="shared" si="3"/>
        <v>1</v>
      </c>
      <c r="H215" s="6">
        <v>10</v>
      </c>
      <c r="I215" s="7">
        <f ca="1">(J215-税费参数!$B$12*SUM(税费参数!$B$9:税费参数!$B$10)/税费参数!$B$11)/(1+SUM(税费参数!$B$6:税费参数!$B$8))</f>
        <v>0.0133536567577817</v>
      </c>
      <c r="J215" s="7">
        <v>0.0156626506024096</v>
      </c>
      <c r="K215" s="6" t="s">
        <v>154</v>
      </c>
    </row>
    <row r="216" ht="21" customHeight="1" spans="1:11">
      <c r="A216" s="5" t="s">
        <v>16</v>
      </c>
      <c r="B216" s="6" t="s">
        <v>122</v>
      </c>
      <c r="C216" s="6" t="s">
        <v>159</v>
      </c>
      <c r="D216" s="6" t="s">
        <v>153</v>
      </c>
      <c r="E216" s="6">
        <v>2</v>
      </c>
      <c r="F216" s="6">
        <v>2</v>
      </c>
      <c r="G216" s="8">
        <f t="shared" si="3"/>
        <v>1</v>
      </c>
      <c r="H216" s="6">
        <v>2</v>
      </c>
      <c r="I216" s="7">
        <f ca="1">(J216-税费参数!$B$12*SUM(税费参数!$B$9:税费参数!$B$10)/税费参数!$B$11)/(1+SUM(税费参数!$B$6:税费参数!$B$8))</f>
        <v>0.0130671017722977</v>
      </c>
      <c r="J216" s="7">
        <v>0.0153667825798973</v>
      </c>
      <c r="K216" s="6" t="s">
        <v>154</v>
      </c>
    </row>
    <row r="217" ht="21" customHeight="1" spans="1:11">
      <c r="A217" s="5" t="s">
        <v>16</v>
      </c>
      <c r="B217" s="6" t="s">
        <v>117</v>
      </c>
      <c r="C217" s="6" t="s">
        <v>152</v>
      </c>
      <c r="D217" s="6" t="s">
        <v>160</v>
      </c>
      <c r="E217" s="6">
        <v>1</v>
      </c>
      <c r="F217" s="6">
        <v>0</v>
      </c>
      <c r="G217" s="8">
        <f t="shared" si="3"/>
        <v>0</v>
      </c>
      <c r="H217" s="6">
        <v>0</v>
      </c>
      <c r="I217" s="7"/>
      <c r="J217" s="7"/>
      <c r="K217" s="6" t="s">
        <v>156</v>
      </c>
    </row>
    <row r="218" ht="21" customHeight="1" spans="1:11">
      <c r="A218" s="5" t="s">
        <v>16</v>
      </c>
      <c r="B218" s="6" t="s">
        <v>117</v>
      </c>
      <c r="C218" s="6" t="s">
        <v>152</v>
      </c>
      <c r="D218" s="6" t="s">
        <v>153</v>
      </c>
      <c r="E218" s="6">
        <v>2</v>
      </c>
      <c r="F218" s="6">
        <v>2</v>
      </c>
      <c r="G218" s="8">
        <f t="shared" si="3"/>
        <v>1</v>
      </c>
      <c r="H218" s="6">
        <v>1</v>
      </c>
      <c r="I218" s="7">
        <f ca="1">(J218-税费参数!$B$12*SUM(税费参数!$B$9:税费参数!$B$10)/税费参数!$B$11)/(1+SUM(税费参数!$B$6:税费参数!$B$8))</f>
        <v>0.0255875231448512</v>
      </c>
      <c r="J218" s="7">
        <v>0.0282941176470588</v>
      </c>
      <c r="K218" s="6" t="s">
        <v>158</v>
      </c>
    </row>
    <row r="219" ht="21" customHeight="1" spans="1:11">
      <c r="A219" s="5" t="s">
        <v>16</v>
      </c>
      <c r="B219" s="6" t="s">
        <v>117</v>
      </c>
      <c r="C219" s="6" t="s">
        <v>157</v>
      </c>
      <c r="D219" s="6" t="s">
        <v>155</v>
      </c>
      <c r="E219" s="6">
        <v>1</v>
      </c>
      <c r="F219" s="6">
        <v>0</v>
      </c>
      <c r="G219" s="8">
        <f t="shared" si="3"/>
        <v>0</v>
      </c>
      <c r="H219" s="6">
        <v>0</v>
      </c>
      <c r="I219" s="7"/>
      <c r="J219" s="7"/>
      <c r="K219" s="6" t="s">
        <v>156</v>
      </c>
    </row>
    <row r="220" ht="21" customHeight="1" spans="1:11">
      <c r="A220" s="5" t="s">
        <v>16</v>
      </c>
      <c r="B220" s="6" t="s">
        <v>121</v>
      </c>
      <c r="C220" s="6" t="s">
        <v>152</v>
      </c>
      <c r="D220" s="6" t="s">
        <v>160</v>
      </c>
      <c r="E220" s="6">
        <v>1</v>
      </c>
      <c r="F220" s="6">
        <v>0</v>
      </c>
      <c r="G220" s="8">
        <f t="shared" si="3"/>
        <v>0</v>
      </c>
      <c r="H220" s="6">
        <v>1</v>
      </c>
      <c r="I220" s="7"/>
      <c r="J220" s="7"/>
      <c r="K220" s="6" t="s">
        <v>156</v>
      </c>
    </row>
    <row r="221" ht="21" customHeight="1" spans="1:11">
      <c r="A221" s="5" t="s">
        <v>16</v>
      </c>
      <c r="B221" s="6" t="s">
        <v>121</v>
      </c>
      <c r="C221" s="6" t="s">
        <v>152</v>
      </c>
      <c r="D221" s="6" t="s">
        <v>153</v>
      </c>
      <c r="E221" s="6">
        <v>8</v>
      </c>
      <c r="F221" s="6">
        <v>8</v>
      </c>
      <c r="G221" s="8">
        <f t="shared" si="3"/>
        <v>1</v>
      </c>
      <c r="H221" s="6">
        <v>11</v>
      </c>
      <c r="I221" s="7">
        <f ca="1">(J221-税费参数!$B$12*SUM(税费参数!$B$9:税费参数!$B$10)/税费参数!$B$11)/(1+SUM(税费参数!$B$6:税费参数!$B$8))</f>
        <v>0.0156776543750944</v>
      </c>
      <c r="J221" s="7">
        <v>0.018062178142285</v>
      </c>
      <c r="K221" s="6" t="s">
        <v>154</v>
      </c>
    </row>
    <row r="222" ht="21" customHeight="1" spans="1:11">
      <c r="A222" s="5" t="s">
        <v>16</v>
      </c>
      <c r="B222" s="6" t="s">
        <v>121</v>
      </c>
      <c r="C222" s="6" t="s">
        <v>157</v>
      </c>
      <c r="D222" s="6" t="s">
        <v>153</v>
      </c>
      <c r="E222" s="6">
        <v>1</v>
      </c>
      <c r="F222" s="6">
        <v>1</v>
      </c>
      <c r="G222" s="8">
        <f t="shared" si="3"/>
        <v>1</v>
      </c>
      <c r="H222" s="6">
        <v>1</v>
      </c>
      <c r="I222" s="7">
        <f ca="1">(J222-税费参数!$B$12*SUM(税费参数!$B$9:税费参数!$B$10)/税费参数!$B$11)/(1+SUM(税费参数!$B$6:税费参数!$B$8))</f>
        <v>0.0118895335556672</v>
      </c>
      <c r="J222" s="7">
        <v>0.0141509433962264</v>
      </c>
      <c r="K222" s="6" t="s">
        <v>158</v>
      </c>
    </row>
    <row r="223" ht="21" customHeight="1" spans="1:11">
      <c r="A223" s="5" t="s">
        <v>16</v>
      </c>
      <c r="B223" s="6" t="s">
        <v>133</v>
      </c>
      <c r="C223" s="6" t="s">
        <v>152</v>
      </c>
      <c r="D223" s="6" t="s">
        <v>160</v>
      </c>
      <c r="E223" s="6">
        <v>1</v>
      </c>
      <c r="F223" s="6">
        <v>0</v>
      </c>
      <c r="G223" s="8">
        <f t="shared" si="3"/>
        <v>0</v>
      </c>
      <c r="H223" s="6">
        <v>0</v>
      </c>
      <c r="I223" s="7"/>
      <c r="J223" s="7"/>
      <c r="K223" s="6" t="s">
        <v>156</v>
      </c>
    </row>
    <row r="224" ht="21" customHeight="1" spans="1:11">
      <c r="A224" s="5" t="s">
        <v>16</v>
      </c>
      <c r="B224" s="6" t="s">
        <v>133</v>
      </c>
      <c r="C224" s="6" t="s">
        <v>159</v>
      </c>
      <c r="D224" s="6" t="s">
        <v>160</v>
      </c>
      <c r="E224" s="6">
        <v>1</v>
      </c>
      <c r="F224" s="6">
        <v>0</v>
      </c>
      <c r="G224" s="8">
        <f t="shared" si="3"/>
        <v>0</v>
      </c>
      <c r="H224" s="6">
        <v>0</v>
      </c>
      <c r="I224" s="7"/>
      <c r="J224" s="7"/>
      <c r="K224" s="6" t="s">
        <v>156</v>
      </c>
    </row>
    <row r="225" ht="21" customHeight="1" spans="1:11">
      <c r="A225" s="5" t="s">
        <v>16</v>
      </c>
      <c r="B225" s="6" t="s">
        <v>124</v>
      </c>
      <c r="C225" s="6" t="s">
        <v>152</v>
      </c>
      <c r="D225" s="6" t="s">
        <v>160</v>
      </c>
      <c r="E225" s="6">
        <v>4</v>
      </c>
      <c r="F225" s="6">
        <v>4</v>
      </c>
      <c r="G225" s="8">
        <f t="shared" si="3"/>
        <v>1</v>
      </c>
      <c r="H225" s="6">
        <v>8</v>
      </c>
      <c r="I225" s="7">
        <f ca="1">(J225-税费参数!$B$12*SUM(税费参数!$B$9:税费参数!$B$10)/税费参数!$B$11)/(1+SUM(税费参数!$B$6:税费参数!$B$8))</f>
        <v>0.0146236375049934</v>
      </c>
      <c r="J225" s="7">
        <v>0.0169739057239057</v>
      </c>
      <c r="K225" s="6" t="s">
        <v>154</v>
      </c>
    </row>
    <row r="226" ht="21" customHeight="1" spans="1:11">
      <c r="A226" s="5" t="s">
        <v>16</v>
      </c>
      <c r="B226" s="6" t="s">
        <v>124</v>
      </c>
      <c r="C226" s="6" t="s">
        <v>152</v>
      </c>
      <c r="D226" s="6" t="s">
        <v>153</v>
      </c>
      <c r="E226" s="6">
        <v>1</v>
      </c>
      <c r="F226" s="6">
        <v>1</v>
      </c>
      <c r="G226" s="8">
        <f t="shared" si="3"/>
        <v>1</v>
      </c>
      <c r="H226" s="6">
        <v>1</v>
      </c>
      <c r="I226" s="7">
        <f ca="1">(J226-税费参数!$B$12*SUM(税费参数!$B$9:税费参数!$B$10)/税费参数!$B$11)/(1+SUM(税费参数!$B$6:税费参数!$B$8))</f>
        <v>0.014851839040701</v>
      </c>
      <c r="J226" s="7">
        <v>0.0172095238095238</v>
      </c>
      <c r="K226" s="6" t="s">
        <v>158</v>
      </c>
    </row>
    <row r="227" ht="21" customHeight="1" spans="1:11">
      <c r="A227" s="5" t="s">
        <v>16</v>
      </c>
      <c r="B227" s="6" t="s">
        <v>124</v>
      </c>
      <c r="C227" s="6" t="s">
        <v>159</v>
      </c>
      <c r="D227" s="6" t="s">
        <v>160</v>
      </c>
      <c r="E227" s="6">
        <v>9</v>
      </c>
      <c r="F227" s="6">
        <v>9</v>
      </c>
      <c r="G227" s="8">
        <f t="shared" si="3"/>
        <v>1</v>
      </c>
      <c r="H227" s="6">
        <v>6</v>
      </c>
      <c r="I227" s="7">
        <f ca="1">(J227-税费参数!$B$12*SUM(税费参数!$B$9:税费参数!$B$10)/税费参数!$B$11)/(1+SUM(税费参数!$B$6:税费参数!$B$8))</f>
        <v>0.0140886863219864</v>
      </c>
      <c r="J227" s="7">
        <v>0.016421568627451</v>
      </c>
      <c r="K227" s="6" t="s">
        <v>154</v>
      </c>
    </row>
    <row r="228" ht="21" customHeight="1" spans="1:11">
      <c r="A228" s="5" t="s">
        <v>16</v>
      </c>
      <c r="B228" s="6" t="s">
        <v>134</v>
      </c>
      <c r="C228" s="6" t="s">
        <v>152</v>
      </c>
      <c r="D228" s="6" t="s">
        <v>153</v>
      </c>
      <c r="E228" s="6">
        <v>1</v>
      </c>
      <c r="F228" s="6">
        <v>0</v>
      </c>
      <c r="G228" s="8">
        <f t="shared" si="3"/>
        <v>0</v>
      </c>
      <c r="H228" s="6">
        <v>3</v>
      </c>
      <c r="I228" s="7"/>
      <c r="J228" s="7"/>
      <c r="K228" s="6" t="s">
        <v>156</v>
      </c>
    </row>
    <row r="229" ht="21" customHeight="1" spans="1:11">
      <c r="A229" s="5" t="s">
        <v>16</v>
      </c>
      <c r="B229" s="6" t="s">
        <v>134</v>
      </c>
      <c r="C229" s="6" t="s">
        <v>152</v>
      </c>
      <c r="D229" s="6" t="s">
        <v>155</v>
      </c>
      <c r="E229" s="6">
        <v>1</v>
      </c>
      <c r="F229" s="6">
        <v>0</v>
      </c>
      <c r="G229" s="8">
        <f t="shared" si="3"/>
        <v>0</v>
      </c>
      <c r="H229" s="6">
        <v>0</v>
      </c>
      <c r="I229" s="7"/>
      <c r="J229" s="7"/>
      <c r="K229" s="6" t="s">
        <v>156</v>
      </c>
    </row>
    <row r="230" ht="21" customHeight="1" spans="1:11">
      <c r="A230" s="5" t="s">
        <v>11</v>
      </c>
      <c r="B230" s="6" t="s">
        <v>138</v>
      </c>
      <c r="C230" s="6" t="s">
        <v>152</v>
      </c>
      <c r="D230" s="6" t="s">
        <v>160</v>
      </c>
      <c r="E230" s="6">
        <v>3</v>
      </c>
      <c r="F230" s="6">
        <v>3</v>
      </c>
      <c r="G230" s="8">
        <f t="shared" si="3"/>
        <v>1</v>
      </c>
      <c r="H230" s="6">
        <v>8</v>
      </c>
      <c r="I230" s="7">
        <f ca="1">(J230-税费参数!$B$12*SUM(税费参数!$B$9:税费参数!$B$10)/税费参数!$B$11)/(1+SUM(税费参数!$B$6:税费参数!$B$8))</f>
        <v>0.0285690547405403</v>
      </c>
      <c r="J230" s="7">
        <v>0.0313725490196078</v>
      </c>
      <c r="K230" s="6" t="s">
        <v>154</v>
      </c>
    </row>
    <row r="231" ht="21" customHeight="1" spans="1:11">
      <c r="A231" s="5" t="s">
        <v>11</v>
      </c>
      <c r="B231" s="6" t="s">
        <v>138</v>
      </c>
      <c r="C231" s="6" t="s">
        <v>157</v>
      </c>
      <c r="D231" s="6" t="s">
        <v>153</v>
      </c>
      <c r="E231" s="6">
        <v>1</v>
      </c>
      <c r="F231" s="6">
        <v>0</v>
      </c>
      <c r="G231" s="8">
        <f t="shared" si="3"/>
        <v>0</v>
      </c>
      <c r="H231" s="6">
        <v>0</v>
      </c>
      <c r="I231" s="7"/>
      <c r="J231" s="7"/>
      <c r="K231" s="6" t="s">
        <v>156</v>
      </c>
    </row>
    <row r="232" ht="21" customHeight="1" spans="1:11">
      <c r="A232" s="5" t="s">
        <v>11</v>
      </c>
      <c r="B232" s="6" t="s">
        <v>136</v>
      </c>
      <c r="C232" s="6" t="s">
        <v>152</v>
      </c>
      <c r="D232" s="6" t="s">
        <v>160</v>
      </c>
      <c r="E232" s="6">
        <v>2</v>
      </c>
      <c r="F232" s="6">
        <v>2</v>
      </c>
      <c r="G232" s="8">
        <f t="shared" si="3"/>
        <v>1</v>
      </c>
      <c r="H232" s="6">
        <v>1</v>
      </c>
      <c r="I232" s="7">
        <f ca="1">(J232-税费参数!$B$12*SUM(税费参数!$B$9:税费参数!$B$10)/税费参数!$B$11)/(1+SUM(税费参数!$B$6:税费参数!$B$8))</f>
        <v>0.0375954553920656</v>
      </c>
      <c r="J232" s="7">
        <v>0.0406923076923077</v>
      </c>
      <c r="K232" s="6" t="s">
        <v>158</v>
      </c>
    </row>
    <row r="233" ht="21" customHeight="1" spans="1:11">
      <c r="A233" s="5" t="s">
        <v>11</v>
      </c>
      <c r="B233" s="6" t="s">
        <v>136</v>
      </c>
      <c r="C233" s="6" t="s">
        <v>152</v>
      </c>
      <c r="D233" s="6" t="s">
        <v>153</v>
      </c>
      <c r="E233" s="6">
        <v>2</v>
      </c>
      <c r="F233" s="6">
        <v>0</v>
      </c>
      <c r="G233" s="8">
        <f t="shared" si="3"/>
        <v>0</v>
      </c>
      <c r="H233" s="6">
        <v>0</v>
      </c>
      <c r="I233" s="7"/>
      <c r="J233" s="7"/>
      <c r="K233" s="6" t="s">
        <v>156</v>
      </c>
    </row>
    <row r="234" ht="21" customHeight="1" spans="1:11">
      <c r="A234" s="5" t="s">
        <v>11</v>
      </c>
      <c r="B234" s="6" t="s">
        <v>136</v>
      </c>
      <c r="C234" s="6" t="s">
        <v>166</v>
      </c>
      <c r="D234" s="6" t="s">
        <v>153</v>
      </c>
      <c r="E234" s="6">
        <v>1</v>
      </c>
      <c r="F234" s="6">
        <v>1</v>
      </c>
      <c r="G234" s="8">
        <f t="shared" si="3"/>
        <v>1</v>
      </c>
      <c r="H234" s="6">
        <v>2</v>
      </c>
      <c r="I234" s="7">
        <f ca="1">(J234-税费参数!$B$12*SUM(税费参数!$B$9:税费参数!$B$10)/税费参数!$B$11)/(1+SUM(税费参数!$B$6:税费参数!$B$8))</f>
        <v>0.046670777939737</v>
      </c>
      <c r="J234" s="7">
        <v>0.0500625782227785</v>
      </c>
      <c r="K234" s="6" t="s">
        <v>158</v>
      </c>
    </row>
    <row r="235" ht="21" customHeight="1" spans="1:11">
      <c r="A235" s="5" t="s">
        <v>11</v>
      </c>
      <c r="B235" s="6" t="s">
        <v>136</v>
      </c>
      <c r="C235" s="6" t="s">
        <v>166</v>
      </c>
      <c r="D235" s="6" t="s">
        <v>155</v>
      </c>
      <c r="E235" s="6">
        <v>2</v>
      </c>
      <c r="F235" s="6">
        <v>2</v>
      </c>
      <c r="G235" s="8">
        <f t="shared" si="3"/>
        <v>1</v>
      </c>
      <c r="H235" s="6">
        <v>1</v>
      </c>
      <c r="I235" s="7">
        <f ca="1">(J235-税费参数!$B$12*SUM(税费参数!$B$9:税费参数!$B$10)/税费参数!$B$11)/(1+SUM(税费参数!$B$6:税费参数!$B$8))</f>
        <v>0.0358488027979553</v>
      </c>
      <c r="J235" s="7">
        <v>0.0388888888888889</v>
      </c>
      <c r="K235" s="6" t="s">
        <v>158</v>
      </c>
    </row>
    <row r="236" ht="21" customHeight="1" spans="1:11">
      <c r="A236" s="5" t="s">
        <v>11</v>
      </c>
      <c r="B236" s="6" t="s">
        <v>141</v>
      </c>
      <c r="C236" s="6" t="s">
        <v>152</v>
      </c>
      <c r="D236" s="6" t="s">
        <v>153</v>
      </c>
      <c r="E236" s="6">
        <v>1</v>
      </c>
      <c r="F236" s="6">
        <v>1</v>
      </c>
      <c r="G236" s="8">
        <f t="shared" si="3"/>
        <v>1</v>
      </c>
      <c r="H236" s="6">
        <v>6</v>
      </c>
      <c r="I236" s="7">
        <f ca="1">(J236-税费参数!$B$12*SUM(税费参数!$B$9:税费参数!$B$10)/税费参数!$B$11)/(1+SUM(税费参数!$B$6:税费参数!$B$8))</f>
        <v>0.0221543568364009</v>
      </c>
      <c r="J236" s="7">
        <v>0.024749373433584</v>
      </c>
      <c r="K236" s="6" t="s">
        <v>158</v>
      </c>
    </row>
    <row r="237" ht="21" customHeight="1" spans="1:11">
      <c r="A237" s="5" t="s">
        <v>11</v>
      </c>
      <c r="B237" s="6" t="s">
        <v>141</v>
      </c>
      <c r="C237" s="6" t="s">
        <v>157</v>
      </c>
      <c r="D237" s="6" t="s">
        <v>155</v>
      </c>
      <c r="E237" s="6">
        <v>6</v>
      </c>
      <c r="F237" s="6">
        <v>6</v>
      </c>
      <c r="G237" s="8">
        <f t="shared" si="3"/>
        <v>1</v>
      </c>
      <c r="H237" s="6">
        <v>13</v>
      </c>
      <c r="I237" s="7">
        <f ca="1">(J237-税费参数!$B$12*SUM(税费参数!$B$9:税费参数!$B$10)/税费参数!$B$11)/(1+SUM(税费参数!$B$6:税费参数!$B$8))</f>
        <v>0.0181367920993871</v>
      </c>
      <c r="J237" s="7">
        <v>0.0206012378426172</v>
      </c>
      <c r="K237" s="6" t="s">
        <v>154</v>
      </c>
    </row>
    <row r="238" ht="21" customHeight="1" spans="1:11">
      <c r="A238" s="5" t="s">
        <v>11</v>
      </c>
      <c r="B238" s="6" t="s">
        <v>141</v>
      </c>
      <c r="C238" s="6" t="s">
        <v>157</v>
      </c>
      <c r="D238" s="6" t="s">
        <v>162</v>
      </c>
      <c r="E238" s="6">
        <v>6</v>
      </c>
      <c r="F238" s="6">
        <v>6</v>
      </c>
      <c r="G238" s="8">
        <f t="shared" si="3"/>
        <v>1</v>
      </c>
      <c r="H238" s="6">
        <v>2</v>
      </c>
      <c r="I238" s="7">
        <f ca="1">(J238-税费参数!$B$12*SUM(税费参数!$B$9:税费参数!$B$10)/税费参数!$B$11)/(1+SUM(税费参数!$B$6:税费参数!$B$8))</f>
        <v>0.020643568161728</v>
      </c>
      <c r="J238" s="7">
        <v>0.0231894841269841</v>
      </c>
      <c r="K238" s="6" t="s">
        <v>154</v>
      </c>
    </row>
    <row r="239" ht="21" customHeight="1" spans="1:11">
      <c r="A239" s="5" t="s">
        <v>11</v>
      </c>
      <c r="B239" s="6" t="s">
        <v>140</v>
      </c>
      <c r="C239" s="6" t="s">
        <v>152</v>
      </c>
      <c r="D239" s="6" t="s">
        <v>153</v>
      </c>
      <c r="E239" s="6">
        <v>2</v>
      </c>
      <c r="F239" s="6">
        <v>0</v>
      </c>
      <c r="G239" s="8">
        <f t="shared" si="3"/>
        <v>0</v>
      </c>
      <c r="H239" s="6">
        <v>0</v>
      </c>
      <c r="I239" s="7"/>
      <c r="J239" s="7"/>
      <c r="K239" s="6" t="s">
        <v>156</v>
      </c>
    </row>
    <row r="240" ht="21" customHeight="1" spans="1:11">
      <c r="A240" s="5" t="s">
        <v>11</v>
      </c>
      <c r="B240" s="6" t="s">
        <v>140</v>
      </c>
      <c r="C240" s="6" t="s">
        <v>157</v>
      </c>
      <c r="D240" s="6" t="s">
        <v>155</v>
      </c>
      <c r="E240" s="6">
        <v>3</v>
      </c>
      <c r="F240" s="6">
        <v>3</v>
      </c>
      <c r="G240" s="8">
        <f t="shared" si="3"/>
        <v>1</v>
      </c>
      <c r="H240" s="6">
        <v>1</v>
      </c>
      <c r="I240" s="7">
        <f ca="1">(J240-税费参数!$B$12*SUM(税费参数!$B$9:税费参数!$B$10)/税费参数!$B$11)/(1+SUM(税费参数!$B$6:税费参数!$B$8))</f>
        <v>0.0226321728296387</v>
      </c>
      <c r="J240" s="7">
        <v>0.0252427184466019</v>
      </c>
      <c r="K240" s="6" t="s">
        <v>158</v>
      </c>
    </row>
    <row r="241" ht="21" customHeight="1" spans="1:11">
      <c r="A241" s="5" t="s">
        <v>11</v>
      </c>
      <c r="B241" s="6" t="s">
        <v>142</v>
      </c>
      <c r="C241" s="6" t="s">
        <v>157</v>
      </c>
      <c r="D241" s="6" t="s">
        <v>155</v>
      </c>
      <c r="E241" s="6">
        <v>4</v>
      </c>
      <c r="F241" s="6">
        <v>0</v>
      </c>
      <c r="G241" s="8">
        <f t="shared" si="3"/>
        <v>0</v>
      </c>
      <c r="H241" s="6">
        <v>0</v>
      </c>
      <c r="I241" s="7"/>
      <c r="J241" s="7"/>
      <c r="K241" s="6" t="s">
        <v>156</v>
      </c>
    </row>
    <row r="242" ht="21" customHeight="1" spans="1:11">
      <c r="A242" s="5" t="s">
        <v>11</v>
      </c>
      <c r="B242" s="6" t="s">
        <v>142</v>
      </c>
      <c r="C242" s="6" t="s">
        <v>157</v>
      </c>
      <c r="D242" s="6" t="s">
        <v>162</v>
      </c>
      <c r="E242" s="6">
        <v>1</v>
      </c>
      <c r="F242" s="6">
        <v>0</v>
      </c>
      <c r="G242" s="8">
        <f t="shared" si="3"/>
        <v>0</v>
      </c>
      <c r="H242" s="6">
        <v>0</v>
      </c>
      <c r="I242" s="7"/>
      <c r="J242" s="7"/>
      <c r="K242" s="6" t="s">
        <v>156</v>
      </c>
    </row>
    <row r="243" ht="21" customHeight="1" spans="1:11">
      <c r="A243" s="5" t="s">
        <v>11</v>
      </c>
      <c r="B243" s="6" t="s">
        <v>137</v>
      </c>
      <c r="C243" s="6" t="s">
        <v>152</v>
      </c>
      <c r="D243" s="6" t="s">
        <v>160</v>
      </c>
      <c r="E243" s="6">
        <v>2</v>
      </c>
      <c r="F243" s="6">
        <v>2</v>
      </c>
      <c r="G243" s="8">
        <f t="shared" si="3"/>
        <v>1</v>
      </c>
      <c r="H243" s="6">
        <v>1</v>
      </c>
      <c r="I243" s="7">
        <f ca="1">(J243-税费参数!$B$12*SUM(税费参数!$B$9:税费参数!$B$10)/税费参数!$B$11)/(1+SUM(税费参数!$B$6:税费参数!$B$8))</f>
        <v>0.0289615281140705</v>
      </c>
      <c r="J243" s="7">
        <v>0.0317777777777778</v>
      </c>
      <c r="K243" s="6" t="s">
        <v>158</v>
      </c>
    </row>
    <row r="244" ht="21" customHeight="1" spans="1:11">
      <c r="A244" s="5" t="s">
        <v>11</v>
      </c>
      <c r="B244" s="6" t="s">
        <v>137</v>
      </c>
      <c r="C244" s="6" t="s">
        <v>152</v>
      </c>
      <c r="D244" s="6" t="s">
        <v>153</v>
      </c>
      <c r="E244" s="6">
        <v>6</v>
      </c>
      <c r="F244" s="6">
        <v>6</v>
      </c>
      <c r="G244" s="8">
        <f t="shared" si="3"/>
        <v>1</v>
      </c>
      <c r="H244" s="6">
        <v>10</v>
      </c>
      <c r="I244" s="7">
        <f ca="1">(J244-税费参数!$B$12*SUM(税费参数!$B$9:税费参数!$B$10)/税费参数!$B$11)/(1+SUM(税费参数!$B$6:税费参数!$B$8))</f>
        <v>0.0243626303559315</v>
      </c>
      <c r="J244" s="7">
        <v>0.0270294158424993</v>
      </c>
      <c r="K244" s="6" t="s">
        <v>154</v>
      </c>
    </row>
    <row r="245" ht="21" customHeight="1" spans="1:11">
      <c r="A245" s="5" t="s">
        <v>11</v>
      </c>
      <c r="B245" s="6" t="s">
        <v>137</v>
      </c>
      <c r="C245" s="6" t="s">
        <v>152</v>
      </c>
      <c r="D245" s="6" t="s">
        <v>155</v>
      </c>
      <c r="E245" s="6">
        <v>2</v>
      </c>
      <c r="F245" s="6">
        <v>0</v>
      </c>
      <c r="G245" s="8">
        <f t="shared" si="3"/>
        <v>0</v>
      </c>
      <c r="H245" s="6">
        <v>0</v>
      </c>
      <c r="I245" s="7"/>
      <c r="J245" s="7"/>
      <c r="K245" s="6" t="s">
        <v>156</v>
      </c>
    </row>
    <row r="246" ht="21" customHeight="1" spans="1:11">
      <c r="A246" s="5" t="s">
        <v>11</v>
      </c>
      <c r="B246" s="6" t="s">
        <v>137</v>
      </c>
      <c r="C246" s="6" t="s">
        <v>159</v>
      </c>
      <c r="D246" s="6" t="s">
        <v>160</v>
      </c>
      <c r="E246" s="6">
        <v>1</v>
      </c>
      <c r="F246" s="6">
        <v>0</v>
      </c>
      <c r="G246" s="8">
        <f t="shared" si="3"/>
        <v>0</v>
      </c>
      <c r="H246" s="6">
        <v>0</v>
      </c>
      <c r="I246" s="7"/>
      <c r="J246" s="7"/>
      <c r="K246" s="6" t="s">
        <v>156</v>
      </c>
    </row>
    <row r="247" ht="21" customHeight="1" spans="1:11">
      <c r="A247" s="5" t="s">
        <v>11</v>
      </c>
      <c r="B247" s="6" t="s">
        <v>137</v>
      </c>
      <c r="C247" s="6" t="s">
        <v>159</v>
      </c>
      <c r="D247" s="6" t="s">
        <v>153</v>
      </c>
      <c r="E247" s="6">
        <v>4</v>
      </c>
      <c r="F247" s="6">
        <v>4</v>
      </c>
      <c r="G247" s="8">
        <f t="shared" si="3"/>
        <v>1</v>
      </c>
      <c r="H247" s="6">
        <v>3</v>
      </c>
      <c r="I247" s="7">
        <f ca="1">(J247-税费参数!$B$12*SUM(税费参数!$B$9:税费参数!$B$10)/税费参数!$B$11)/(1+SUM(税费参数!$B$6:税费参数!$B$8))</f>
        <v>0.0344858483468078</v>
      </c>
      <c r="J247" s="7">
        <v>0.0374816384180791</v>
      </c>
      <c r="K247" s="6" t="s">
        <v>154</v>
      </c>
    </row>
    <row r="248" ht="21" customHeight="1" spans="1:11">
      <c r="A248" s="5" t="s">
        <v>11</v>
      </c>
      <c r="B248" s="6" t="s">
        <v>137</v>
      </c>
      <c r="C248" s="6" t="s">
        <v>159</v>
      </c>
      <c r="D248" s="6" t="s">
        <v>161</v>
      </c>
      <c r="E248" s="6">
        <v>1</v>
      </c>
      <c r="F248" s="6">
        <v>0</v>
      </c>
      <c r="G248" s="8">
        <f t="shared" si="3"/>
        <v>0</v>
      </c>
      <c r="H248" s="6">
        <v>0</v>
      </c>
      <c r="I248" s="7"/>
      <c r="J248" s="7"/>
      <c r="K248" s="6" t="s">
        <v>156</v>
      </c>
    </row>
    <row r="249" ht="21" customHeight="1" spans="1:11">
      <c r="A249" s="5" t="s">
        <v>11</v>
      </c>
      <c r="B249" s="6" t="s">
        <v>139</v>
      </c>
      <c r="C249" s="6" t="s">
        <v>152</v>
      </c>
      <c r="D249" s="6" t="s">
        <v>160</v>
      </c>
      <c r="E249" s="6">
        <v>1</v>
      </c>
      <c r="F249" s="6">
        <v>0</v>
      </c>
      <c r="G249" s="8">
        <f t="shared" si="3"/>
        <v>0</v>
      </c>
      <c r="H249" s="6">
        <v>0</v>
      </c>
      <c r="I249" s="7"/>
      <c r="J249" s="7"/>
      <c r="K249" s="6" t="s">
        <v>156</v>
      </c>
    </row>
    <row r="250" ht="21" customHeight="1" spans="1:11">
      <c r="A250" s="5" t="s">
        <v>11</v>
      </c>
      <c r="B250" s="6" t="s">
        <v>139</v>
      </c>
      <c r="C250" s="6" t="s">
        <v>152</v>
      </c>
      <c r="D250" s="6" t="s">
        <v>153</v>
      </c>
      <c r="E250" s="6">
        <v>2</v>
      </c>
      <c r="F250" s="6">
        <v>2</v>
      </c>
      <c r="G250" s="8">
        <f t="shared" si="3"/>
        <v>1</v>
      </c>
      <c r="H250" s="6">
        <v>1</v>
      </c>
      <c r="I250" s="7">
        <f ca="1">(J250-税费参数!$B$12*SUM(税费参数!$B$9:税费参数!$B$10)/税费参数!$B$11)/(1+SUM(税费参数!$B$6:税费参数!$B$8))</f>
        <v>0.0273459737223618</v>
      </c>
      <c r="J250" s="7">
        <v>0.0301097178683386</v>
      </c>
      <c r="K250" s="6" t="s">
        <v>158</v>
      </c>
    </row>
    <row r="251" ht="21" customHeight="1" spans="1:11">
      <c r="A251" s="5" t="s">
        <v>11</v>
      </c>
      <c r="B251" s="6" t="s">
        <v>139</v>
      </c>
      <c r="C251" s="6" t="s">
        <v>152</v>
      </c>
      <c r="D251" s="6" t="s">
        <v>155</v>
      </c>
      <c r="E251" s="6">
        <v>2</v>
      </c>
      <c r="F251" s="6">
        <v>0</v>
      </c>
      <c r="G251" s="8">
        <f t="shared" si="3"/>
        <v>0</v>
      </c>
      <c r="H251" s="6">
        <v>0</v>
      </c>
      <c r="I251" s="7"/>
      <c r="J251" s="7"/>
      <c r="K251" s="6" t="s">
        <v>156</v>
      </c>
    </row>
    <row r="252" ht="21" customHeight="1" spans="1:11">
      <c r="A252" s="5" t="s">
        <v>11</v>
      </c>
      <c r="B252" s="6" t="s">
        <v>139</v>
      </c>
      <c r="C252" s="6" t="s">
        <v>157</v>
      </c>
      <c r="D252" s="6" t="s">
        <v>155</v>
      </c>
      <c r="E252" s="6">
        <v>1</v>
      </c>
      <c r="F252" s="6">
        <v>0</v>
      </c>
      <c r="G252" s="8">
        <f t="shared" si="3"/>
        <v>0</v>
      </c>
      <c r="H252" s="6">
        <v>0</v>
      </c>
      <c r="I252" s="7"/>
      <c r="J252" s="7"/>
      <c r="K252" s="6" t="s">
        <v>156</v>
      </c>
    </row>
    <row r="253" ht="21" customHeight="1" spans="1:11">
      <c r="A253" s="5" t="s">
        <v>11</v>
      </c>
      <c r="B253" s="6" t="s">
        <v>135</v>
      </c>
      <c r="C253" s="6" t="s">
        <v>152</v>
      </c>
      <c r="D253" s="6" t="s">
        <v>160</v>
      </c>
      <c r="E253" s="6">
        <v>2</v>
      </c>
      <c r="F253" s="6">
        <v>2</v>
      </c>
      <c r="G253" s="8">
        <f t="shared" si="3"/>
        <v>1</v>
      </c>
      <c r="H253" s="6">
        <v>2</v>
      </c>
      <c r="I253" s="7">
        <f ca="1">(J253-税费参数!$B$12*SUM(税费参数!$B$9:税费参数!$B$10)/税费参数!$B$11)/(1+SUM(税费参数!$B$6:税费参数!$B$8))</f>
        <v>0.0438429609131788</v>
      </c>
      <c r="J253" s="7">
        <v>0.0471428571428571</v>
      </c>
      <c r="K253" s="6" t="s">
        <v>154</v>
      </c>
    </row>
    <row r="254" ht="21" customHeight="1" spans="1:11">
      <c r="A254" s="5" t="s">
        <v>11</v>
      </c>
      <c r="B254" s="6" t="s">
        <v>135</v>
      </c>
      <c r="C254" s="6" t="s">
        <v>152</v>
      </c>
      <c r="D254" s="6" t="s">
        <v>153</v>
      </c>
      <c r="E254" s="6">
        <v>1</v>
      </c>
      <c r="F254" s="6">
        <v>0</v>
      </c>
      <c r="G254" s="8">
        <f t="shared" si="3"/>
        <v>0</v>
      </c>
      <c r="H254" s="6">
        <v>0</v>
      </c>
      <c r="I254" s="7"/>
      <c r="J254" s="7"/>
      <c r="K254" s="6" t="s">
        <v>156</v>
      </c>
    </row>
    <row r="255" ht="21" customHeight="1" spans="1:11">
      <c r="A255" s="5" t="s">
        <v>11</v>
      </c>
      <c r="B255" s="6" t="s">
        <v>135</v>
      </c>
      <c r="C255" s="6" t="s">
        <v>157</v>
      </c>
      <c r="D255" s="6" t="s">
        <v>153</v>
      </c>
      <c r="E255" s="6">
        <v>1</v>
      </c>
      <c r="F255" s="6">
        <v>0</v>
      </c>
      <c r="G255" s="8">
        <f t="shared" si="3"/>
        <v>0</v>
      </c>
      <c r="H255" s="6">
        <v>0</v>
      </c>
      <c r="I255" s="7"/>
      <c r="J255" s="7"/>
      <c r="K255" s="6" t="s">
        <v>156</v>
      </c>
    </row>
    <row r="256" ht="21" customHeight="1" spans="1:11">
      <c r="A256" s="5" t="s">
        <v>11</v>
      </c>
      <c r="B256" s="6" t="s">
        <v>143</v>
      </c>
      <c r="C256" s="6" t="s">
        <v>152</v>
      </c>
      <c r="D256" s="6" t="s">
        <v>160</v>
      </c>
      <c r="E256" s="6">
        <v>1</v>
      </c>
      <c r="F256" s="6">
        <v>0</v>
      </c>
      <c r="G256" s="8">
        <f t="shared" si="3"/>
        <v>0</v>
      </c>
      <c r="H256" s="6">
        <v>0</v>
      </c>
      <c r="I256" s="7"/>
      <c r="J256" s="7"/>
      <c r="K256" s="6" t="s">
        <v>156</v>
      </c>
    </row>
    <row r="257" ht="21" customHeight="1" spans="1:11">
      <c r="A257" s="5" t="s">
        <v>11</v>
      </c>
      <c r="B257" s="6" t="s">
        <v>143</v>
      </c>
      <c r="C257" s="6" t="s">
        <v>152</v>
      </c>
      <c r="D257" s="6" t="s">
        <v>153</v>
      </c>
      <c r="E257" s="6">
        <v>1</v>
      </c>
      <c r="F257" s="6">
        <v>0</v>
      </c>
      <c r="G257" s="8">
        <f t="shared" si="3"/>
        <v>0</v>
      </c>
      <c r="H257" s="6">
        <v>0</v>
      </c>
      <c r="I257" s="7"/>
      <c r="J257" s="7"/>
      <c r="K257" s="6" t="s">
        <v>156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707"/>
  <sheetViews>
    <sheetView showGridLines="0" topLeftCell="B1" workbookViewId="0">
      <pane ySplit="6" topLeftCell="A683" activePane="bottomLeft" state="frozen"/>
      <selection/>
      <selection pane="bottomLeft" activeCell="B6" sqref="B6:L707"/>
    </sheetView>
  </sheetViews>
  <sheetFormatPr defaultColWidth="9" defaultRowHeight="16.8"/>
  <cols>
    <col min="1" max="1" width="13" customWidth="1"/>
    <col min="2" max="2" width="25" customWidth="1"/>
    <col min="3" max="4" width="13" customWidth="1"/>
    <col min="5" max="5" width="25" customWidth="1"/>
    <col min="6" max="6" width="11" customWidth="1"/>
    <col min="7" max="7" width="15" customWidth="1"/>
    <col min="8" max="9" width="16" customWidth="1"/>
    <col min="10" max="10" width="22" customWidth="1"/>
    <col min="11" max="11" width="60" customWidth="1"/>
    <col min="12" max="12" width="19" customWidth="1"/>
  </cols>
  <sheetData>
    <row r="2" ht="22" spans="1:12">
      <c r="A2" s="1" t="s">
        <v>167</v>
      </c>
    </row>
    <row r="3" spans="1:12">
      <c r="A3" s="2" t="s">
        <v>168</v>
      </c>
    </row>
    <row r="6" ht="28" customHeight="1" spans="1:12">
      <c r="A6" s="3" t="s">
        <v>2</v>
      </c>
      <c r="B6" s="4" t="s">
        <v>35</v>
      </c>
      <c r="C6" s="4" t="s">
        <v>146</v>
      </c>
      <c r="D6" s="4" t="s">
        <v>169</v>
      </c>
      <c r="E6" s="4" t="s">
        <v>170</v>
      </c>
      <c r="F6" s="4" t="s">
        <v>171</v>
      </c>
      <c r="G6" s="4" t="s">
        <v>172</v>
      </c>
      <c r="H6" s="4" t="s">
        <v>173</v>
      </c>
      <c r="I6" s="4" t="s">
        <v>174</v>
      </c>
      <c r="J6" s="4" t="s">
        <v>175</v>
      </c>
      <c r="K6" s="4" t="s">
        <v>176</v>
      </c>
      <c r="L6" s="4" t="s">
        <v>39</v>
      </c>
    </row>
    <row r="7" ht="21" customHeight="1" spans="1:12">
      <c r="A7" s="5" t="s">
        <v>13</v>
      </c>
      <c r="B7" s="6" t="s">
        <v>50</v>
      </c>
      <c r="C7" s="6" t="s">
        <v>152</v>
      </c>
      <c r="D7" s="6" t="s">
        <v>153</v>
      </c>
      <c r="E7" s="6" t="s">
        <v>177</v>
      </c>
      <c r="F7" s="6" t="s">
        <v>178</v>
      </c>
      <c r="G7" s="6">
        <v>57.93</v>
      </c>
      <c r="H7" s="6">
        <v>95</v>
      </c>
      <c r="I7" s="6">
        <v>2</v>
      </c>
      <c r="J7" s="7">
        <f>MEDIAN(租金配对!K9:K10)</f>
        <v>0.0211227220593858</v>
      </c>
      <c r="K7" s="6" t="s">
        <v>179</v>
      </c>
      <c r="L7" s="6">
        <f>MEDIAN(租金配对!L9:L10)</f>
        <v>0.0236842105263158</v>
      </c>
    </row>
    <row r="8" ht="21" customHeight="1" spans="1:12">
      <c r="A8" s="5" t="s">
        <v>13</v>
      </c>
      <c r="B8" s="6" t="s">
        <v>50</v>
      </c>
      <c r="C8" s="6" t="s">
        <v>152</v>
      </c>
      <c r="D8" s="6" t="s">
        <v>153</v>
      </c>
      <c r="E8" s="6" t="s">
        <v>180</v>
      </c>
      <c r="F8" s="6" t="s">
        <v>181</v>
      </c>
      <c r="G8" s="6">
        <v>59.3</v>
      </c>
      <c r="H8" s="6">
        <v>97</v>
      </c>
      <c r="I8" s="6">
        <v>2</v>
      </c>
      <c r="J8" s="7">
        <f>MEDIAN(租金配对!K7:K8)</f>
        <v>0.020649759117346</v>
      </c>
      <c r="K8" s="6" t="s">
        <v>182</v>
      </c>
      <c r="L8" s="6">
        <f>MEDIAN(租金配对!L7:L8)</f>
        <v>0.0231958762886598</v>
      </c>
    </row>
    <row r="9" ht="21" customHeight="1" spans="1:12">
      <c r="A9" s="5" t="s">
        <v>13</v>
      </c>
      <c r="B9" s="6" t="s">
        <v>50</v>
      </c>
      <c r="C9" s="6" t="s">
        <v>152</v>
      </c>
      <c r="D9" s="6" t="s">
        <v>155</v>
      </c>
      <c r="E9" s="6" t="s">
        <v>183</v>
      </c>
      <c r="F9" s="6" t="s">
        <v>178</v>
      </c>
      <c r="G9" s="6">
        <v>56.34</v>
      </c>
      <c r="H9" s="6">
        <v>102</v>
      </c>
      <c r="I9" s="6">
        <v>0</v>
      </c>
      <c r="J9" s="7"/>
      <c r="K9" s="6" t="s">
        <v>184</v>
      </c>
      <c r="L9" s="6"/>
    </row>
    <row r="10" ht="21" customHeight="1" spans="1:12">
      <c r="A10" s="5" t="s">
        <v>13</v>
      </c>
      <c r="B10" s="6" t="s">
        <v>50</v>
      </c>
      <c r="C10" s="6" t="s">
        <v>152</v>
      </c>
      <c r="D10" s="6" t="s">
        <v>155</v>
      </c>
      <c r="E10" s="6" t="s">
        <v>185</v>
      </c>
      <c r="F10" s="6" t="s">
        <v>178</v>
      </c>
      <c r="G10" s="6">
        <v>58.52</v>
      </c>
      <c r="H10" s="6">
        <v>117</v>
      </c>
      <c r="I10" s="6">
        <v>0</v>
      </c>
      <c r="J10" s="7"/>
      <c r="K10" s="6" t="s">
        <v>186</v>
      </c>
      <c r="L10" s="6"/>
    </row>
    <row r="11" ht="21" customHeight="1" spans="1:12">
      <c r="A11" s="5" t="s">
        <v>13</v>
      </c>
      <c r="B11" s="6" t="s">
        <v>50</v>
      </c>
      <c r="C11" s="6" t="s">
        <v>157</v>
      </c>
      <c r="D11" s="6" t="s">
        <v>153</v>
      </c>
      <c r="E11" s="6" t="s">
        <v>187</v>
      </c>
      <c r="F11" s="6" t="s">
        <v>181</v>
      </c>
      <c r="G11" s="6">
        <v>60.74</v>
      </c>
      <c r="H11" s="6">
        <v>120</v>
      </c>
      <c r="I11" s="6">
        <v>1</v>
      </c>
      <c r="J11" s="7">
        <f>MEDIAN(租金配对!K12:K12)</f>
        <v>0.0175544794188862</v>
      </c>
      <c r="K11" s="6" t="s">
        <v>188</v>
      </c>
      <c r="L11" s="6">
        <f>MEDIAN(租金配对!L12:L12)</f>
        <v>0.02</v>
      </c>
    </row>
    <row r="12" ht="21" customHeight="1" spans="1:12">
      <c r="A12" s="5" t="s">
        <v>13</v>
      </c>
      <c r="B12" s="6" t="s">
        <v>50</v>
      </c>
      <c r="C12" s="6" t="s">
        <v>157</v>
      </c>
      <c r="D12" s="6" t="s">
        <v>153</v>
      </c>
      <c r="E12" s="6" t="s">
        <v>189</v>
      </c>
      <c r="F12" s="6" t="s">
        <v>178</v>
      </c>
      <c r="G12" s="6">
        <v>60.74</v>
      </c>
      <c r="H12" s="6">
        <v>110</v>
      </c>
      <c r="I12" s="6">
        <v>1</v>
      </c>
      <c r="J12" s="7">
        <f>MEDIAN(租金配对!K11:K11)</f>
        <v>0.0193154303323795</v>
      </c>
      <c r="K12" s="6" t="s">
        <v>190</v>
      </c>
      <c r="L12" s="6">
        <f>MEDIAN(租金配对!L11:L11)</f>
        <v>0.0218181818181818</v>
      </c>
    </row>
    <row r="13" ht="21" customHeight="1" spans="1:12">
      <c r="A13" s="5" t="s">
        <v>13</v>
      </c>
      <c r="B13" s="6" t="s">
        <v>50</v>
      </c>
      <c r="C13" s="6" t="s">
        <v>157</v>
      </c>
      <c r="D13" s="6" t="s">
        <v>155</v>
      </c>
      <c r="E13" s="6" t="s">
        <v>191</v>
      </c>
      <c r="F13" s="6" t="s">
        <v>178</v>
      </c>
      <c r="G13" s="6">
        <v>60.4</v>
      </c>
      <c r="H13" s="6">
        <v>108</v>
      </c>
      <c r="I13" s="6">
        <v>0</v>
      </c>
      <c r="J13" s="7"/>
      <c r="K13" s="6" t="s">
        <v>192</v>
      </c>
      <c r="L13" s="6"/>
    </row>
    <row r="14" ht="21" customHeight="1" spans="1:12">
      <c r="A14" s="5" t="s">
        <v>13</v>
      </c>
      <c r="B14" s="6" t="s">
        <v>50</v>
      </c>
      <c r="C14" s="6" t="s">
        <v>157</v>
      </c>
      <c r="D14" s="6" t="s">
        <v>155</v>
      </c>
      <c r="E14" s="6" t="s">
        <v>193</v>
      </c>
      <c r="F14" s="6" t="s">
        <v>181</v>
      </c>
      <c r="G14" s="6">
        <v>75.8</v>
      </c>
      <c r="H14" s="6">
        <v>112</v>
      </c>
      <c r="I14" s="6">
        <v>0</v>
      </c>
      <c r="J14" s="7"/>
      <c r="K14" s="6" t="s">
        <v>194</v>
      </c>
      <c r="L14" s="6"/>
    </row>
    <row r="15" ht="21" customHeight="1" spans="1:12">
      <c r="A15" s="5" t="s">
        <v>13</v>
      </c>
      <c r="B15" s="6" t="s">
        <v>50</v>
      </c>
      <c r="C15" s="6" t="s">
        <v>157</v>
      </c>
      <c r="D15" s="6" t="s">
        <v>155</v>
      </c>
      <c r="E15" s="6" t="s">
        <v>195</v>
      </c>
      <c r="F15" s="6" t="s">
        <v>181</v>
      </c>
      <c r="G15" s="6">
        <v>75.8</v>
      </c>
      <c r="H15" s="6">
        <v>108</v>
      </c>
      <c r="I15" s="6">
        <v>0</v>
      </c>
      <c r="J15" s="7"/>
      <c r="K15" s="6" t="s">
        <v>196</v>
      </c>
      <c r="L15" s="6"/>
    </row>
    <row r="16" ht="21" customHeight="1" spans="1:12">
      <c r="A16" s="5" t="s">
        <v>13</v>
      </c>
      <c r="B16" s="6" t="s">
        <v>51</v>
      </c>
      <c r="C16" s="6" t="s">
        <v>157</v>
      </c>
      <c r="D16" s="6" t="s">
        <v>155</v>
      </c>
      <c r="E16" s="6" t="s">
        <v>197</v>
      </c>
      <c r="F16" s="6" t="s">
        <v>181</v>
      </c>
      <c r="G16" s="6">
        <v>77</v>
      </c>
      <c r="H16" s="6">
        <v>110</v>
      </c>
      <c r="I16" s="6">
        <v>0</v>
      </c>
      <c r="J16" s="7"/>
      <c r="K16" s="6" t="s">
        <v>198</v>
      </c>
      <c r="L16" s="6"/>
    </row>
    <row r="17" ht="21" customHeight="1" spans="1:12">
      <c r="A17" s="5" t="s">
        <v>13</v>
      </c>
      <c r="B17" s="6" t="s">
        <v>47</v>
      </c>
      <c r="C17" s="6" t="s">
        <v>152</v>
      </c>
      <c r="D17" s="6" t="s">
        <v>153</v>
      </c>
      <c r="E17" s="6" t="s">
        <v>199</v>
      </c>
      <c r="F17" s="6" t="s">
        <v>178</v>
      </c>
      <c r="G17" s="6">
        <v>55.41</v>
      </c>
      <c r="H17" s="6">
        <v>95</v>
      </c>
      <c r="I17" s="6">
        <v>2</v>
      </c>
      <c r="J17" s="7">
        <f>MEDIAN(租金配对!K13:K14)</f>
        <v>0.0236714668025997</v>
      </c>
      <c r="K17" s="6" t="s">
        <v>200</v>
      </c>
      <c r="L17" s="6">
        <f>MEDIAN(租金配对!L13:L14)</f>
        <v>0.0263157894736842</v>
      </c>
    </row>
    <row r="18" ht="21" customHeight="1" spans="1:12">
      <c r="A18" s="5" t="s">
        <v>13</v>
      </c>
      <c r="B18" s="6" t="s">
        <v>47</v>
      </c>
      <c r="C18" s="6" t="s">
        <v>152</v>
      </c>
      <c r="D18" s="6" t="s">
        <v>153</v>
      </c>
      <c r="E18" s="6" t="s">
        <v>201</v>
      </c>
      <c r="F18" s="6" t="s">
        <v>178</v>
      </c>
      <c r="G18" s="6">
        <v>59.44</v>
      </c>
      <c r="H18" s="6">
        <v>95</v>
      </c>
      <c r="I18" s="6">
        <v>2</v>
      </c>
      <c r="J18" s="7">
        <f>MEDIAN(租金配对!K15:K16)</f>
        <v>0.0236714668025997</v>
      </c>
      <c r="K18" s="6" t="s">
        <v>202</v>
      </c>
      <c r="L18" s="6">
        <f>MEDIAN(租金配对!L15:L16)</f>
        <v>0.0263157894736842</v>
      </c>
    </row>
    <row r="19" ht="21" customHeight="1" spans="1:12">
      <c r="A19" s="5" t="s">
        <v>13</v>
      </c>
      <c r="B19" s="6" t="s">
        <v>45</v>
      </c>
      <c r="C19" s="6" t="s">
        <v>152</v>
      </c>
      <c r="D19" s="6" t="s">
        <v>153</v>
      </c>
      <c r="E19" s="6" t="s">
        <v>203</v>
      </c>
      <c r="F19" s="6" t="s">
        <v>181</v>
      </c>
      <c r="G19" s="6">
        <v>51.94</v>
      </c>
      <c r="H19" s="6">
        <v>98</v>
      </c>
      <c r="I19" s="6">
        <v>2</v>
      </c>
      <c r="J19" s="7">
        <f>MEDIAN(租金配对!K17:K18)</f>
        <v>0.0248678163759451</v>
      </c>
      <c r="K19" s="6" t="s">
        <v>204</v>
      </c>
      <c r="L19" s="6">
        <f>MEDIAN(租金配对!L17:L18)</f>
        <v>0.0275510204081633</v>
      </c>
    </row>
    <row r="20" ht="21" customHeight="1" spans="1:12">
      <c r="A20" s="5" t="s">
        <v>13</v>
      </c>
      <c r="B20" s="6" t="s">
        <v>45</v>
      </c>
      <c r="C20" s="6" t="s">
        <v>152</v>
      </c>
      <c r="D20" s="6" t="s">
        <v>153</v>
      </c>
      <c r="E20" s="6" t="s">
        <v>205</v>
      </c>
      <c r="F20" s="6" t="s">
        <v>181</v>
      </c>
      <c r="G20" s="6">
        <v>48.56</v>
      </c>
      <c r="H20" s="6">
        <v>92</v>
      </c>
      <c r="I20" s="6">
        <v>2</v>
      </c>
      <c r="J20" s="7">
        <f>MEDIAN(租金配对!K19:K20)</f>
        <v>0.0266080640067375</v>
      </c>
      <c r="K20" s="6" t="s">
        <v>206</v>
      </c>
      <c r="L20" s="6">
        <f>MEDIAN(租金配对!L19:L20)</f>
        <v>0.0293478260869565</v>
      </c>
    </row>
    <row r="21" ht="21" customHeight="1" spans="1:12">
      <c r="A21" s="5" t="s">
        <v>13</v>
      </c>
      <c r="B21" s="6" t="s">
        <v>46</v>
      </c>
      <c r="C21" s="6" t="s">
        <v>157</v>
      </c>
      <c r="D21" s="6" t="s">
        <v>155</v>
      </c>
      <c r="E21" s="6" t="s">
        <v>207</v>
      </c>
      <c r="F21" s="6" t="s">
        <v>181</v>
      </c>
      <c r="G21" s="6">
        <v>68.61</v>
      </c>
      <c r="H21" s="6">
        <v>103</v>
      </c>
      <c r="I21" s="6">
        <v>1</v>
      </c>
      <c r="J21" s="7">
        <f>MEDIAN(租金配对!K21:K21)</f>
        <v>0.0254531136133901</v>
      </c>
      <c r="K21" s="6" t="s">
        <v>208</v>
      </c>
      <c r="L21" s="6">
        <f>MEDIAN(租金配对!L21:L21)</f>
        <v>0.0281553398058252</v>
      </c>
    </row>
    <row r="22" ht="21" customHeight="1" spans="1:12">
      <c r="A22" s="5" t="s">
        <v>13</v>
      </c>
      <c r="B22" s="6" t="s">
        <v>42</v>
      </c>
      <c r="C22" s="6" t="s">
        <v>152</v>
      </c>
      <c r="D22" s="6" t="s">
        <v>153</v>
      </c>
      <c r="E22" s="6" t="s">
        <v>209</v>
      </c>
      <c r="F22" s="6" t="s">
        <v>181</v>
      </c>
      <c r="G22" s="6">
        <v>44.29</v>
      </c>
      <c r="H22" s="6">
        <v>55</v>
      </c>
      <c r="I22" s="6">
        <v>1</v>
      </c>
      <c r="J22" s="7">
        <f>MEDIAN(租金配对!K22:K22)</f>
        <v>0.0298811358133392</v>
      </c>
      <c r="K22" s="6" t="s">
        <v>210</v>
      </c>
      <c r="L22" s="6">
        <f>MEDIAN(租金配对!L22:L22)</f>
        <v>0.0327272727272727</v>
      </c>
    </row>
    <row r="23" ht="21" customHeight="1" spans="1:12">
      <c r="A23" s="5" t="s">
        <v>13</v>
      </c>
      <c r="B23" s="6" t="s">
        <v>43</v>
      </c>
      <c r="C23" s="6" t="s">
        <v>152</v>
      </c>
      <c r="D23" s="6" t="s">
        <v>153</v>
      </c>
      <c r="E23" s="6" t="s">
        <v>211</v>
      </c>
      <c r="F23" s="6" t="s">
        <v>181</v>
      </c>
      <c r="G23" s="6">
        <v>47.04</v>
      </c>
      <c r="H23" s="6">
        <v>75</v>
      </c>
      <c r="I23" s="6">
        <v>1</v>
      </c>
      <c r="J23" s="7">
        <f>MEDIAN(租金配对!K23:K23)</f>
        <v>0.0265940274414851</v>
      </c>
      <c r="K23" s="6" t="s">
        <v>212</v>
      </c>
      <c r="L23" s="6">
        <f>MEDIAN(租金配对!L23:L23)</f>
        <v>0.0293333333333333</v>
      </c>
    </row>
    <row r="24" ht="21" customHeight="1" spans="1:12">
      <c r="A24" s="5" t="s">
        <v>13</v>
      </c>
      <c r="B24" s="6" t="s">
        <v>43</v>
      </c>
      <c r="C24" s="6" t="s">
        <v>157</v>
      </c>
      <c r="D24" s="6" t="s">
        <v>155</v>
      </c>
      <c r="E24" s="6" t="s">
        <v>213</v>
      </c>
      <c r="F24" s="6" t="s">
        <v>178</v>
      </c>
      <c r="G24" s="6">
        <v>61.5</v>
      </c>
      <c r="H24" s="6">
        <v>91</v>
      </c>
      <c r="I24" s="6">
        <v>0</v>
      </c>
      <c r="J24" s="7"/>
      <c r="K24" s="6" t="s">
        <v>214</v>
      </c>
      <c r="L24" s="6"/>
    </row>
    <row r="25" ht="21" customHeight="1" spans="1:12">
      <c r="A25" s="5" t="s">
        <v>13</v>
      </c>
      <c r="B25" s="6" t="s">
        <v>48</v>
      </c>
      <c r="C25" s="6" t="s">
        <v>152</v>
      </c>
      <c r="D25" s="6" t="s">
        <v>153</v>
      </c>
      <c r="E25" s="6" t="s">
        <v>215</v>
      </c>
      <c r="F25" s="6" t="s">
        <v>181</v>
      </c>
      <c r="G25" s="6">
        <v>52.51</v>
      </c>
      <c r="H25" s="6">
        <v>73</v>
      </c>
      <c r="I25" s="6">
        <v>2</v>
      </c>
      <c r="J25" s="7">
        <f>MEDIAN(租金配对!K24:K25)</f>
        <v>0.0260456399880593</v>
      </c>
      <c r="K25" s="6" t="s">
        <v>216</v>
      </c>
      <c r="L25" s="6">
        <f>MEDIAN(租金配对!L24:L25)</f>
        <v>0.0287671232876712</v>
      </c>
    </row>
    <row r="26" ht="21" customHeight="1" spans="1:12">
      <c r="A26" s="5" t="s">
        <v>13</v>
      </c>
      <c r="B26" s="6" t="s">
        <v>48</v>
      </c>
      <c r="C26" s="6" t="s">
        <v>152</v>
      </c>
      <c r="D26" s="6" t="s">
        <v>155</v>
      </c>
      <c r="E26" s="6" t="s">
        <v>217</v>
      </c>
      <c r="F26" s="6" t="s">
        <v>178</v>
      </c>
      <c r="G26" s="6">
        <v>52.51</v>
      </c>
      <c r="H26" s="6">
        <v>80</v>
      </c>
      <c r="I26" s="6">
        <v>1</v>
      </c>
      <c r="J26" s="7">
        <f>MEDIAN(租金配对!K26:K26)</f>
        <v>0.0236077481840194</v>
      </c>
      <c r="K26" s="6" t="s">
        <v>218</v>
      </c>
      <c r="L26" s="6">
        <f>MEDIAN(租金配对!L26:L26)</f>
        <v>0.02625</v>
      </c>
    </row>
    <row r="27" ht="21" customHeight="1" spans="1:12">
      <c r="A27" s="5" t="s">
        <v>13</v>
      </c>
      <c r="B27" s="6" t="s">
        <v>48</v>
      </c>
      <c r="C27" s="6" t="s">
        <v>157</v>
      </c>
      <c r="D27" s="6" t="s">
        <v>155</v>
      </c>
      <c r="E27" s="6" t="s">
        <v>219</v>
      </c>
      <c r="F27" s="6" t="s">
        <v>178</v>
      </c>
      <c r="G27" s="6">
        <v>69.69</v>
      </c>
      <c r="H27" s="6">
        <v>105</v>
      </c>
      <c r="I27" s="6">
        <v>2</v>
      </c>
      <c r="J27" s="7">
        <f>MEDIAN(租金配对!K29:K30)</f>
        <v>0.0193992851377839</v>
      </c>
      <c r="K27" s="6" t="s">
        <v>220</v>
      </c>
      <c r="L27" s="6">
        <f>MEDIAN(租金配对!L29:L30)</f>
        <v>0.0219047619047619</v>
      </c>
    </row>
    <row r="28" ht="21" customHeight="1" spans="1:12">
      <c r="A28" s="5" t="s">
        <v>13</v>
      </c>
      <c r="B28" s="6" t="s">
        <v>48</v>
      </c>
      <c r="C28" s="6" t="s">
        <v>157</v>
      </c>
      <c r="D28" s="6" t="s">
        <v>155</v>
      </c>
      <c r="E28" s="6" t="s">
        <v>221</v>
      </c>
      <c r="F28" s="6" t="s">
        <v>181</v>
      </c>
      <c r="G28" s="6">
        <v>69.88</v>
      </c>
      <c r="H28" s="6">
        <v>105</v>
      </c>
      <c r="I28" s="6">
        <v>2</v>
      </c>
      <c r="J28" s="7">
        <f>MEDIAN(租金配对!K27:K28)</f>
        <v>0.0193992851377839</v>
      </c>
      <c r="K28" s="6" t="s">
        <v>222</v>
      </c>
      <c r="L28" s="6">
        <f>MEDIAN(租金配对!L27:L28)</f>
        <v>0.0219047619047619</v>
      </c>
    </row>
    <row r="29" ht="21" customHeight="1" spans="1:12">
      <c r="A29" s="5" t="s">
        <v>13</v>
      </c>
      <c r="B29" s="6" t="s">
        <v>48</v>
      </c>
      <c r="C29" s="6" t="s">
        <v>159</v>
      </c>
      <c r="D29" s="6" t="s">
        <v>153</v>
      </c>
      <c r="E29" s="6" t="s">
        <v>223</v>
      </c>
      <c r="F29" s="6" t="s">
        <v>181</v>
      </c>
      <c r="G29" s="6">
        <v>37.07</v>
      </c>
      <c r="H29" s="6">
        <v>75</v>
      </c>
      <c r="I29" s="6">
        <v>0</v>
      </c>
      <c r="J29" s="7"/>
      <c r="K29" s="6" t="s">
        <v>224</v>
      </c>
      <c r="L29" s="6"/>
    </row>
    <row r="30" ht="21" customHeight="1" spans="1:12">
      <c r="A30" s="5" t="s">
        <v>13</v>
      </c>
      <c r="B30" s="6" t="s">
        <v>40</v>
      </c>
      <c r="C30" s="6" t="s">
        <v>152</v>
      </c>
      <c r="D30" s="6" t="s">
        <v>160</v>
      </c>
      <c r="E30" s="6" t="s">
        <v>225</v>
      </c>
      <c r="F30" s="6" t="s">
        <v>178</v>
      </c>
      <c r="G30" s="6">
        <v>41.74</v>
      </c>
      <c r="H30" s="6">
        <v>50</v>
      </c>
      <c r="I30" s="6">
        <v>1</v>
      </c>
      <c r="J30" s="7">
        <f>MEDIAN(租金配对!K33:K33)</f>
        <v>0.038861985472155</v>
      </c>
      <c r="K30" s="6" t="s">
        <v>226</v>
      </c>
      <c r="L30" s="6">
        <f>MEDIAN(租金配对!L33:L33)</f>
        <v>0.042</v>
      </c>
    </row>
    <row r="31" ht="21" customHeight="1" spans="1:12">
      <c r="A31" s="5" t="s">
        <v>13</v>
      </c>
      <c r="B31" s="6" t="s">
        <v>40</v>
      </c>
      <c r="C31" s="6" t="s">
        <v>152</v>
      </c>
      <c r="D31" s="6" t="s">
        <v>160</v>
      </c>
      <c r="E31" s="6" t="s">
        <v>227</v>
      </c>
      <c r="F31" s="6" t="s">
        <v>181</v>
      </c>
      <c r="G31" s="6">
        <v>48.01</v>
      </c>
      <c r="H31" s="6">
        <v>59.8</v>
      </c>
      <c r="I31" s="6">
        <v>1</v>
      </c>
      <c r="J31" s="7">
        <f>MEDIAN(租金配对!K32:K32)</f>
        <v>0.0321956967130143</v>
      </c>
      <c r="K31" s="6" t="s">
        <v>228</v>
      </c>
      <c r="L31" s="6">
        <f>MEDIAN(租金配对!L32:L32)</f>
        <v>0.0351170568561873</v>
      </c>
    </row>
    <row r="32" ht="21" customHeight="1" spans="1:12">
      <c r="A32" s="5" t="s">
        <v>13</v>
      </c>
      <c r="B32" s="6" t="s">
        <v>40</v>
      </c>
      <c r="C32" s="6" t="s">
        <v>152</v>
      </c>
      <c r="D32" s="6" t="s">
        <v>160</v>
      </c>
      <c r="E32" s="6" t="s">
        <v>229</v>
      </c>
      <c r="F32" s="6" t="s">
        <v>181</v>
      </c>
      <c r="G32" s="6">
        <v>47.97</v>
      </c>
      <c r="H32" s="6">
        <v>58</v>
      </c>
      <c r="I32" s="6">
        <v>1</v>
      </c>
      <c r="J32" s="7">
        <f>MEDIAN(租金配对!K35:K35)</f>
        <v>0.0332512315270936</v>
      </c>
      <c r="K32" s="6" t="s">
        <v>230</v>
      </c>
      <c r="L32" s="6">
        <f>MEDIAN(租金配对!L35:L35)</f>
        <v>0.0362068965517241</v>
      </c>
    </row>
    <row r="33" ht="21" customHeight="1" spans="1:12">
      <c r="A33" s="5" t="s">
        <v>13</v>
      </c>
      <c r="B33" s="6" t="s">
        <v>40</v>
      </c>
      <c r="C33" s="6" t="s">
        <v>152</v>
      </c>
      <c r="D33" s="6" t="s">
        <v>160</v>
      </c>
      <c r="E33" s="6" t="s">
        <v>231</v>
      </c>
      <c r="F33" s="6" t="s">
        <v>181</v>
      </c>
      <c r="G33" s="6">
        <v>47.97</v>
      </c>
      <c r="H33" s="6">
        <v>63</v>
      </c>
      <c r="I33" s="6">
        <v>1</v>
      </c>
      <c r="J33" s="7">
        <f>MEDIAN(租金配对!K34:K34)</f>
        <v>0.0304681194511703</v>
      </c>
      <c r="K33" s="6" t="s">
        <v>232</v>
      </c>
      <c r="L33" s="6">
        <f>MEDIAN(租金配对!L34:L34)</f>
        <v>0.0333333333333333</v>
      </c>
    </row>
    <row r="34" ht="21" customHeight="1" spans="1:12">
      <c r="A34" s="5" t="s">
        <v>13</v>
      </c>
      <c r="B34" s="6" t="s">
        <v>40</v>
      </c>
      <c r="C34" s="6" t="s">
        <v>152</v>
      </c>
      <c r="D34" s="6" t="s">
        <v>160</v>
      </c>
      <c r="E34" s="6" t="s">
        <v>233</v>
      </c>
      <c r="F34" s="6" t="s">
        <v>181</v>
      </c>
      <c r="G34" s="6">
        <v>47.97</v>
      </c>
      <c r="H34" s="6">
        <v>58</v>
      </c>
      <c r="I34" s="6">
        <v>1</v>
      </c>
      <c r="J34" s="7">
        <f>MEDIAN(租金配对!K31:K31)</f>
        <v>0.0332512315270936</v>
      </c>
      <c r="K34" s="6" t="s">
        <v>234</v>
      </c>
      <c r="L34" s="6">
        <f>MEDIAN(租金配对!L31:L31)</f>
        <v>0.0362068965517241</v>
      </c>
    </row>
    <row r="35" ht="21" customHeight="1" spans="1:12">
      <c r="A35" s="5" t="s">
        <v>13</v>
      </c>
      <c r="B35" s="6" t="s">
        <v>40</v>
      </c>
      <c r="C35" s="6" t="s">
        <v>152</v>
      </c>
      <c r="D35" s="6" t="s">
        <v>153</v>
      </c>
      <c r="E35" s="6" t="s">
        <v>235</v>
      </c>
      <c r="F35" s="6" t="s">
        <v>178</v>
      </c>
      <c r="G35" s="6">
        <v>44.72</v>
      </c>
      <c r="H35" s="6">
        <v>77.8</v>
      </c>
      <c r="I35" s="6">
        <v>0</v>
      </c>
      <c r="J35" s="7"/>
      <c r="K35" s="6" t="s">
        <v>236</v>
      </c>
      <c r="L35" s="6"/>
    </row>
    <row r="36" ht="21" customHeight="1" spans="1:12">
      <c r="A36" s="5" t="s">
        <v>13</v>
      </c>
      <c r="B36" s="6" t="s">
        <v>40</v>
      </c>
      <c r="C36" s="6" t="s">
        <v>152</v>
      </c>
      <c r="D36" s="6" t="s">
        <v>155</v>
      </c>
      <c r="E36" s="6" t="s">
        <v>237</v>
      </c>
      <c r="F36" s="6" t="s">
        <v>181</v>
      </c>
      <c r="G36" s="6">
        <v>42.17</v>
      </c>
      <c r="H36" s="6">
        <v>63</v>
      </c>
      <c r="I36" s="6">
        <v>1</v>
      </c>
      <c r="J36" s="7">
        <f>MEDIAN(租金配对!K37:K37)</f>
        <v>0.0673642338291249</v>
      </c>
      <c r="K36" s="6" t="s">
        <v>238</v>
      </c>
      <c r="L36" s="6">
        <f>MEDIAN(租金配对!L37:L37)</f>
        <v>0.0714285714285714</v>
      </c>
    </row>
    <row r="37" ht="21" customHeight="1" spans="1:12">
      <c r="A37" s="5" t="s">
        <v>13</v>
      </c>
      <c r="B37" s="6" t="s">
        <v>40</v>
      </c>
      <c r="C37" s="6" t="s">
        <v>152</v>
      </c>
      <c r="D37" s="6" t="s">
        <v>155</v>
      </c>
      <c r="E37" s="6" t="s">
        <v>239</v>
      </c>
      <c r="F37" s="6" t="s">
        <v>181</v>
      </c>
      <c r="G37" s="6">
        <v>53.95</v>
      </c>
      <c r="H37" s="6">
        <v>100</v>
      </c>
      <c r="I37" s="6">
        <v>1</v>
      </c>
      <c r="J37" s="7">
        <f>MEDIAN(租金配对!K36:K36)</f>
        <v>0.0417675544794189</v>
      </c>
      <c r="K37" s="6" t="s">
        <v>240</v>
      </c>
      <c r="L37" s="6">
        <f>MEDIAN(租金配对!L36:L36)</f>
        <v>0.045</v>
      </c>
    </row>
    <row r="38" ht="21" customHeight="1" spans="1:12">
      <c r="A38" s="5" t="s">
        <v>13</v>
      </c>
      <c r="B38" s="6" t="s">
        <v>40</v>
      </c>
      <c r="C38" s="6" t="s">
        <v>159</v>
      </c>
      <c r="D38" s="6" t="s">
        <v>153</v>
      </c>
      <c r="E38" s="6" t="s">
        <v>241</v>
      </c>
      <c r="F38" s="6" t="s">
        <v>181</v>
      </c>
      <c r="G38" s="6">
        <v>35.66</v>
      </c>
      <c r="H38" s="6">
        <v>68</v>
      </c>
      <c r="I38" s="6">
        <v>0</v>
      </c>
      <c r="J38" s="7"/>
      <c r="K38" s="6" t="s">
        <v>242</v>
      </c>
      <c r="L38" s="6"/>
    </row>
    <row r="39" ht="21" customHeight="1" spans="1:12">
      <c r="A39" s="5" t="s">
        <v>13</v>
      </c>
      <c r="B39" s="6" t="s">
        <v>49</v>
      </c>
      <c r="C39" s="6" t="s">
        <v>157</v>
      </c>
      <c r="D39" s="6" t="s">
        <v>155</v>
      </c>
      <c r="E39" s="6" t="s">
        <v>243</v>
      </c>
      <c r="F39" s="6" t="s">
        <v>181</v>
      </c>
      <c r="G39" s="6">
        <v>82.74</v>
      </c>
      <c r="H39" s="6">
        <v>98</v>
      </c>
      <c r="I39" s="6">
        <v>1</v>
      </c>
      <c r="J39" s="7">
        <f>MEDIAN(租金配对!K38:K38)</f>
        <v>0.0209146612640213</v>
      </c>
      <c r="K39" s="6" t="s">
        <v>244</v>
      </c>
      <c r="L39" s="6">
        <f>MEDIAN(租金配对!L38:L38)</f>
        <v>0.023469387755102</v>
      </c>
    </row>
    <row r="40" ht="21" customHeight="1" spans="1:12">
      <c r="A40" s="5" t="s">
        <v>13</v>
      </c>
      <c r="B40" s="6" t="s">
        <v>41</v>
      </c>
      <c r="C40" s="6" t="s">
        <v>152</v>
      </c>
      <c r="D40" s="6" t="s">
        <v>153</v>
      </c>
      <c r="E40" s="6" t="s">
        <v>245</v>
      </c>
      <c r="F40" s="6" t="s">
        <v>181</v>
      </c>
      <c r="G40" s="6">
        <v>44.51</v>
      </c>
      <c r="H40" s="6">
        <v>61</v>
      </c>
      <c r="I40" s="6">
        <v>16</v>
      </c>
      <c r="J40" s="7">
        <f>MEDIAN(租金配对!K41:K56)</f>
        <v>0.0325586472432819</v>
      </c>
      <c r="K40" s="6" t="s">
        <v>246</v>
      </c>
      <c r="L40" s="6">
        <f>MEDIAN(租金配对!L41:L56)</f>
        <v>0.0354918032786885</v>
      </c>
    </row>
    <row r="41" ht="21" customHeight="1" spans="1:12">
      <c r="A41" s="5" t="s">
        <v>13</v>
      </c>
      <c r="B41" s="6" t="s">
        <v>41</v>
      </c>
      <c r="C41" s="6" t="s">
        <v>152</v>
      </c>
      <c r="D41" s="6" t="s">
        <v>153</v>
      </c>
      <c r="E41" s="6" t="s">
        <v>247</v>
      </c>
      <c r="F41" s="6" t="s">
        <v>178</v>
      </c>
      <c r="G41" s="6">
        <v>44.14</v>
      </c>
      <c r="H41" s="6">
        <v>62</v>
      </c>
      <c r="I41" s="6">
        <v>16</v>
      </c>
      <c r="J41" s="7">
        <f>MEDIAN(租金配对!K73:K88)</f>
        <v>0.0320042177614622</v>
      </c>
      <c r="K41" s="6" t="s">
        <v>248</v>
      </c>
      <c r="L41" s="6">
        <f>MEDIAN(租金配对!L73:L88)</f>
        <v>0.0349193548387097</v>
      </c>
    </row>
    <row r="42" ht="21" customHeight="1" spans="1:12">
      <c r="A42" s="5" t="s">
        <v>13</v>
      </c>
      <c r="B42" s="6" t="s">
        <v>41</v>
      </c>
      <c r="C42" s="6" t="s">
        <v>152</v>
      </c>
      <c r="D42" s="6" t="s">
        <v>153</v>
      </c>
      <c r="E42" s="6" t="s">
        <v>249</v>
      </c>
      <c r="F42" s="6" t="s">
        <v>181</v>
      </c>
      <c r="G42" s="6">
        <v>48.73</v>
      </c>
      <c r="H42" s="6">
        <v>70</v>
      </c>
      <c r="I42" s="6">
        <v>16</v>
      </c>
      <c r="J42" s="7">
        <f>MEDIAN(租金配对!K57:K72)</f>
        <v>0.0281390522310619</v>
      </c>
      <c r="K42" s="6" t="s">
        <v>250</v>
      </c>
      <c r="L42" s="6">
        <f>MEDIAN(租金配对!L57:L72)</f>
        <v>0.0309285714285714</v>
      </c>
    </row>
    <row r="43" ht="21" customHeight="1" spans="1:12">
      <c r="A43" s="5" t="s">
        <v>13</v>
      </c>
      <c r="B43" s="6" t="s">
        <v>41</v>
      </c>
      <c r="C43" s="6" t="s">
        <v>157</v>
      </c>
      <c r="D43" s="6" t="s">
        <v>155</v>
      </c>
      <c r="E43" s="6" t="s">
        <v>251</v>
      </c>
      <c r="F43" s="6" t="s">
        <v>178</v>
      </c>
      <c r="G43" s="6">
        <v>63.43</v>
      </c>
      <c r="H43" s="6">
        <v>109</v>
      </c>
      <c r="I43" s="6">
        <v>2</v>
      </c>
      <c r="J43" s="7">
        <f>MEDIAN(租金配对!K91:K92)</f>
        <v>0.0257291689806073</v>
      </c>
      <c r="K43" s="6" t="s">
        <v>252</v>
      </c>
      <c r="L43" s="6">
        <f>MEDIAN(租金配对!L91:L92)</f>
        <v>0.0284403669724771</v>
      </c>
    </row>
    <row r="44" ht="21" customHeight="1" spans="1:12">
      <c r="A44" s="5" t="s">
        <v>13</v>
      </c>
      <c r="B44" s="6" t="s">
        <v>41</v>
      </c>
      <c r="C44" s="6" t="s">
        <v>157</v>
      </c>
      <c r="D44" s="6" t="s">
        <v>155</v>
      </c>
      <c r="E44" s="6" t="s">
        <v>253</v>
      </c>
      <c r="F44" s="6" t="s">
        <v>181</v>
      </c>
      <c r="G44" s="6">
        <v>62.96</v>
      </c>
      <c r="H44" s="6">
        <v>105</v>
      </c>
      <c r="I44" s="6">
        <v>2</v>
      </c>
      <c r="J44" s="7">
        <f>MEDIAN(租金配对!K89:K90)</f>
        <v>0.0267785080133748</v>
      </c>
      <c r="K44" s="6" t="s">
        <v>254</v>
      </c>
      <c r="L44" s="6">
        <f>MEDIAN(租金配对!L89:L90)</f>
        <v>0.0295238095238095</v>
      </c>
    </row>
    <row r="45" ht="21" customHeight="1" spans="1:12">
      <c r="A45" s="5" t="s">
        <v>13</v>
      </c>
      <c r="B45" s="6" t="s">
        <v>41</v>
      </c>
      <c r="C45" s="6" t="s">
        <v>159</v>
      </c>
      <c r="D45" s="6" t="s">
        <v>153</v>
      </c>
      <c r="E45" s="6" t="s">
        <v>255</v>
      </c>
      <c r="F45" s="6" t="s">
        <v>181</v>
      </c>
      <c r="G45" s="6">
        <v>31.03</v>
      </c>
      <c r="H45" s="6">
        <v>44</v>
      </c>
      <c r="I45" s="6">
        <v>2</v>
      </c>
      <c r="J45" s="7">
        <f>MEDIAN(租金配对!K39:K40)</f>
        <v>0.0510125467752586</v>
      </c>
      <c r="K45" s="6" t="s">
        <v>256</v>
      </c>
      <c r="L45" s="6">
        <f>MEDIAN(租金配对!L39:L40)</f>
        <v>0.0545454545454545</v>
      </c>
    </row>
    <row r="46" ht="21" customHeight="1" spans="1:12">
      <c r="A46" s="5" t="s">
        <v>13</v>
      </c>
      <c r="B46" s="6" t="s">
        <v>52</v>
      </c>
      <c r="C46" s="6" t="s">
        <v>157</v>
      </c>
      <c r="D46" s="6" t="s">
        <v>153</v>
      </c>
      <c r="E46" s="6" t="s">
        <v>257</v>
      </c>
      <c r="F46" s="6" t="s">
        <v>181</v>
      </c>
      <c r="G46" s="6">
        <v>63.74</v>
      </c>
      <c r="H46" s="6">
        <v>89</v>
      </c>
      <c r="I46" s="6">
        <v>0</v>
      </c>
      <c r="J46" s="7"/>
      <c r="K46" s="6" t="s">
        <v>258</v>
      </c>
      <c r="L46" s="6"/>
    </row>
    <row r="47" ht="21" customHeight="1" spans="1:12">
      <c r="A47" s="5" t="s">
        <v>13</v>
      </c>
      <c r="B47" s="6" t="s">
        <v>53</v>
      </c>
      <c r="C47" s="6" t="s">
        <v>157</v>
      </c>
      <c r="D47" s="6" t="s">
        <v>155</v>
      </c>
      <c r="E47" s="6" t="s">
        <v>259</v>
      </c>
      <c r="F47" s="6" t="s">
        <v>178</v>
      </c>
      <c r="G47" s="6">
        <v>82.86</v>
      </c>
      <c r="H47" s="6">
        <v>118</v>
      </c>
      <c r="I47" s="6">
        <v>0</v>
      </c>
      <c r="J47" s="7"/>
      <c r="K47" s="6" t="s">
        <v>260</v>
      </c>
      <c r="L47" s="6"/>
    </row>
    <row r="48" ht="21" customHeight="1" spans="1:12">
      <c r="A48" s="5" t="s">
        <v>13</v>
      </c>
      <c r="B48" s="6" t="s">
        <v>44</v>
      </c>
      <c r="C48" s="6" t="s">
        <v>152</v>
      </c>
      <c r="D48" s="6" t="s">
        <v>153</v>
      </c>
      <c r="E48" s="6" t="s">
        <v>261</v>
      </c>
      <c r="F48" s="6" t="s">
        <v>178</v>
      </c>
      <c r="G48" s="6">
        <v>50.09</v>
      </c>
      <c r="H48" s="6">
        <v>85</v>
      </c>
      <c r="I48" s="6">
        <v>8</v>
      </c>
      <c r="J48" s="7">
        <f>MEDIAN(租金配对!K101:K108)</f>
        <v>0.0249095570431562</v>
      </c>
      <c r="K48" s="6" t="s">
        <v>262</v>
      </c>
      <c r="L48" s="6">
        <f>MEDIAN(租金配对!L101:L108)</f>
        <v>0.0275941176470588</v>
      </c>
    </row>
    <row r="49" ht="21" customHeight="1" spans="1:12">
      <c r="A49" s="5" t="s">
        <v>13</v>
      </c>
      <c r="B49" s="6" t="s">
        <v>44</v>
      </c>
      <c r="C49" s="6" t="s">
        <v>152</v>
      </c>
      <c r="D49" s="6" t="s">
        <v>153</v>
      </c>
      <c r="E49" s="6" t="s">
        <v>263</v>
      </c>
      <c r="F49" s="6" t="s">
        <v>181</v>
      </c>
      <c r="G49" s="6">
        <v>50.09</v>
      </c>
      <c r="H49" s="6">
        <v>78</v>
      </c>
      <c r="I49" s="6">
        <v>8</v>
      </c>
      <c r="J49" s="7">
        <f>MEDIAN(租金配对!K93:K100)</f>
        <v>0.0273080027317315</v>
      </c>
      <c r="K49" s="6" t="s">
        <v>264</v>
      </c>
      <c r="L49" s="6">
        <f>MEDIAN(租金配对!L93:L100)</f>
        <v>0.0300705128205128</v>
      </c>
    </row>
    <row r="50" ht="21" customHeight="1" spans="1:12">
      <c r="A50" s="5" t="s">
        <v>13</v>
      </c>
      <c r="B50" s="6" t="s">
        <v>44</v>
      </c>
      <c r="C50" s="6" t="s">
        <v>157</v>
      </c>
      <c r="D50" s="6" t="s">
        <v>153</v>
      </c>
      <c r="E50" s="6" t="s">
        <v>265</v>
      </c>
      <c r="F50" s="6" t="s">
        <v>181</v>
      </c>
      <c r="G50" s="6">
        <v>62.19</v>
      </c>
      <c r="H50" s="6">
        <v>98</v>
      </c>
      <c r="I50" s="6">
        <v>0</v>
      </c>
      <c r="J50" s="7"/>
      <c r="K50" s="6" t="s">
        <v>266</v>
      </c>
      <c r="L50" s="6"/>
    </row>
    <row r="51" ht="21" customHeight="1" spans="1:12">
      <c r="A51" s="5" t="s">
        <v>15</v>
      </c>
      <c r="B51" s="6" t="s">
        <v>56</v>
      </c>
      <c r="C51" s="6" t="s">
        <v>152</v>
      </c>
      <c r="D51" s="6" t="s">
        <v>153</v>
      </c>
      <c r="E51" s="6" t="s">
        <v>267</v>
      </c>
      <c r="F51" s="6" t="s">
        <v>178</v>
      </c>
      <c r="G51" s="6">
        <v>42.99</v>
      </c>
      <c r="H51" s="6">
        <v>75</v>
      </c>
      <c r="I51" s="6">
        <v>2</v>
      </c>
      <c r="J51" s="7">
        <f>MEDIAN(租金配对!K115:K116)</f>
        <v>0.0278853914447135</v>
      </c>
      <c r="K51" s="6" t="s">
        <v>268</v>
      </c>
      <c r="L51" s="6">
        <f>MEDIAN(租金配对!L115:L116)</f>
        <v>0.0306666666666667</v>
      </c>
    </row>
    <row r="52" ht="21" customHeight="1" spans="1:12">
      <c r="A52" s="5" t="s">
        <v>15</v>
      </c>
      <c r="B52" s="6" t="s">
        <v>56</v>
      </c>
      <c r="C52" s="6" t="s">
        <v>152</v>
      </c>
      <c r="D52" s="6" t="s">
        <v>153</v>
      </c>
      <c r="E52" s="6" t="s">
        <v>269</v>
      </c>
      <c r="F52" s="6" t="s">
        <v>178</v>
      </c>
      <c r="G52" s="6">
        <v>48.75</v>
      </c>
      <c r="H52" s="6">
        <v>80</v>
      </c>
      <c r="I52" s="6">
        <v>2</v>
      </c>
      <c r="J52" s="7">
        <f>MEDIAN(租金配对!K113:K114)</f>
        <v>0.0260290556900726</v>
      </c>
      <c r="K52" s="6" t="s">
        <v>270</v>
      </c>
      <c r="L52" s="6">
        <f>MEDIAN(租金配对!L113:L114)</f>
        <v>0.02875</v>
      </c>
    </row>
    <row r="53" ht="21" customHeight="1" spans="1:12">
      <c r="A53" s="5" t="s">
        <v>15</v>
      </c>
      <c r="B53" s="6" t="s">
        <v>56</v>
      </c>
      <c r="C53" s="6" t="s">
        <v>152</v>
      </c>
      <c r="D53" s="6" t="s">
        <v>155</v>
      </c>
      <c r="E53" s="6" t="s">
        <v>271</v>
      </c>
      <c r="F53" s="6" t="s">
        <v>181</v>
      </c>
      <c r="G53" s="6">
        <v>48.68</v>
      </c>
      <c r="H53" s="6">
        <v>80</v>
      </c>
      <c r="I53" s="6">
        <v>0</v>
      </c>
      <c r="J53" s="7"/>
      <c r="K53" s="6" t="s">
        <v>272</v>
      </c>
      <c r="L53" s="6"/>
    </row>
    <row r="54" ht="21" customHeight="1" spans="1:12">
      <c r="A54" s="5" t="s">
        <v>15</v>
      </c>
      <c r="B54" s="6" t="s">
        <v>56</v>
      </c>
      <c r="C54" s="6" t="s">
        <v>159</v>
      </c>
      <c r="D54" s="6" t="s">
        <v>153</v>
      </c>
      <c r="E54" s="6" t="s">
        <v>273</v>
      </c>
      <c r="F54" s="6" t="s">
        <v>178</v>
      </c>
      <c r="G54" s="6">
        <v>36.81</v>
      </c>
      <c r="H54" s="6">
        <v>81</v>
      </c>
      <c r="I54" s="6">
        <v>2</v>
      </c>
      <c r="J54" s="7">
        <f>MEDIAN(租金配对!K109:K110)</f>
        <v>0.0220981675783936</v>
      </c>
      <c r="K54" s="6" t="s">
        <v>274</v>
      </c>
      <c r="L54" s="6">
        <f>MEDIAN(租金配对!L109:L110)</f>
        <v>0.0246913580246914</v>
      </c>
    </row>
    <row r="55" ht="21" customHeight="1" spans="1:12">
      <c r="A55" s="5" t="s">
        <v>15</v>
      </c>
      <c r="B55" s="6" t="s">
        <v>56</v>
      </c>
      <c r="C55" s="6" t="s">
        <v>159</v>
      </c>
      <c r="D55" s="6" t="s">
        <v>153</v>
      </c>
      <c r="E55" s="6" t="s">
        <v>275</v>
      </c>
      <c r="F55" s="6" t="s">
        <v>178</v>
      </c>
      <c r="G55" s="6">
        <v>36.84</v>
      </c>
      <c r="H55" s="6">
        <v>78</v>
      </c>
      <c r="I55" s="6">
        <v>2</v>
      </c>
      <c r="J55" s="7">
        <f>MEDIAN(租金配对!K111:K112)</f>
        <v>0.0230179425094679</v>
      </c>
      <c r="K55" s="6" t="s">
        <v>276</v>
      </c>
      <c r="L55" s="6">
        <f>MEDIAN(租金配对!L111:L112)</f>
        <v>0.0256410256410256</v>
      </c>
    </row>
    <row r="56" ht="21" customHeight="1" spans="1:12">
      <c r="A56" s="5" t="s">
        <v>15</v>
      </c>
      <c r="B56" s="6" t="s">
        <v>56</v>
      </c>
      <c r="C56" s="6" t="s">
        <v>159</v>
      </c>
      <c r="D56" s="6" t="s">
        <v>153</v>
      </c>
      <c r="E56" s="6" t="s">
        <v>277</v>
      </c>
      <c r="F56" s="6" t="s">
        <v>178</v>
      </c>
      <c r="G56" s="6">
        <v>28.01</v>
      </c>
      <c r="H56" s="6">
        <v>55</v>
      </c>
      <c r="I56" s="6">
        <v>0</v>
      </c>
      <c r="J56" s="7"/>
      <c r="K56" s="6" t="s">
        <v>278</v>
      </c>
      <c r="L56" s="6"/>
    </row>
    <row r="57" ht="21" customHeight="1" spans="1:12">
      <c r="A57" s="5" t="s">
        <v>15</v>
      </c>
      <c r="B57" s="6" t="s">
        <v>69</v>
      </c>
      <c r="C57" s="6" t="s">
        <v>157</v>
      </c>
      <c r="D57" s="6" t="s">
        <v>155</v>
      </c>
      <c r="E57" s="6" t="s">
        <v>279</v>
      </c>
      <c r="F57" s="6" t="s">
        <v>181</v>
      </c>
      <c r="G57" s="6">
        <v>65.63</v>
      </c>
      <c r="H57" s="6">
        <v>116</v>
      </c>
      <c r="I57" s="6">
        <v>0</v>
      </c>
      <c r="J57" s="7"/>
      <c r="K57" s="6" t="s">
        <v>280</v>
      </c>
      <c r="L57" s="6"/>
    </row>
    <row r="58" ht="21" customHeight="1" spans="1:12">
      <c r="A58" s="5" t="s">
        <v>15</v>
      </c>
      <c r="B58" s="6" t="s">
        <v>60</v>
      </c>
      <c r="C58" s="6" t="s">
        <v>152</v>
      </c>
      <c r="D58" s="6" t="s">
        <v>153</v>
      </c>
      <c r="E58" s="6" t="s">
        <v>281</v>
      </c>
      <c r="F58" s="6" t="s">
        <v>181</v>
      </c>
      <c r="G58" s="6">
        <v>59.66</v>
      </c>
      <c r="H58" s="6">
        <v>109</v>
      </c>
      <c r="I58" s="6">
        <v>2</v>
      </c>
      <c r="J58" s="7">
        <f>MEDIAN(租金配对!K117:K118)</f>
        <v>0.020397849701224</v>
      </c>
      <c r="K58" s="6" t="s">
        <v>282</v>
      </c>
      <c r="L58" s="6">
        <f>MEDIAN(租金配对!L117:L118)</f>
        <v>0.0229357798165138</v>
      </c>
    </row>
    <row r="59" ht="21" customHeight="1" spans="1:12">
      <c r="A59" s="5" t="s">
        <v>15</v>
      </c>
      <c r="B59" s="6" t="s">
        <v>60</v>
      </c>
      <c r="C59" s="6" t="s">
        <v>152</v>
      </c>
      <c r="D59" s="6" t="s">
        <v>153</v>
      </c>
      <c r="E59" s="6" t="s">
        <v>283</v>
      </c>
      <c r="F59" s="6" t="s">
        <v>181</v>
      </c>
      <c r="G59" s="6">
        <v>50.57</v>
      </c>
      <c r="H59" s="6">
        <v>93</v>
      </c>
      <c r="I59" s="6">
        <v>0</v>
      </c>
      <c r="J59" s="7"/>
      <c r="K59" s="6" t="s">
        <v>284</v>
      </c>
      <c r="L59" s="6"/>
    </row>
    <row r="60" ht="21" customHeight="1" spans="1:12">
      <c r="A60" s="5" t="s">
        <v>15</v>
      </c>
      <c r="B60" s="6" t="s">
        <v>63</v>
      </c>
      <c r="C60" s="6" t="s">
        <v>157</v>
      </c>
      <c r="D60" s="6" t="s">
        <v>153</v>
      </c>
      <c r="E60" s="6" t="s">
        <v>285</v>
      </c>
      <c r="F60" s="6" t="s">
        <v>181</v>
      </c>
      <c r="G60" s="6">
        <v>65.51</v>
      </c>
      <c r="H60" s="6">
        <v>86</v>
      </c>
      <c r="I60" s="6">
        <v>1</v>
      </c>
      <c r="J60" s="7">
        <f>MEDIAN(租金配对!K119:K119)</f>
        <v>0.0200320964018244</v>
      </c>
      <c r="K60" s="6" t="s">
        <v>286</v>
      </c>
      <c r="L60" s="6">
        <f>MEDIAN(租金配对!L119:L119)</f>
        <v>0.0225581395348837</v>
      </c>
    </row>
    <row r="61" ht="21" customHeight="1" spans="1:12">
      <c r="A61" s="5" t="s">
        <v>15</v>
      </c>
      <c r="B61" s="6" t="s">
        <v>63</v>
      </c>
      <c r="C61" s="6" t="s">
        <v>157</v>
      </c>
      <c r="D61" s="6" t="s">
        <v>153</v>
      </c>
      <c r="E61" s="6" t="s">
        <v>287</v>
      </c>
      <c r="F61" s="6" t="s">
        <v>181</v>
      </c>
      <c r="G61" s="6">
        <v>60.6</v>
      </c>
      <c r="H61" s="6">
        <v>88</v>
      </c>
      <c r="I61" s="6">
        <v>1</v>
      </c>
      <c r="J61" s="7">
        <f>MEDIAN(租金配对!K120:K120)</f>
        <v>0.0195355491965661</v>
      </c>
      <c r="K61" s="6" t="s">
        <v>288</v>
      </c>
      <c r="L61" s="6">
        <f>MEDIAN(租金配对!L120:L120)</f>
        <v>0.0220454545454545</v>
      </c>
    </row>
    <row r="62" ht="21" customHeight="1" spans="1:12">
      <c r="A62" s="5" t="s">
        <v>15</v>
      </c>
      <c r="B62" s="6" t="s">
        <v>63</v>
      </c>
      <c r="C62" s="6" t="s">
        <v>157</v>
      </c>
      <c r="D62" s="6" t="s">
        <v>153</v>
      </c>
      <c r="E62" s="6" t="s">
        <v>289</v>
      </c>
      <c r="F62" s="6" t="s">
        <v>178</v>
      </c>
      <c r="G62" s="6">
        <v>70.66</v>
      </c>
      <c r="H62" s="6">
        <v>108</v>
      </c>
      <c r="I62" s="6">
        <v>1</v>
      </c>
      <c r="J62" s="7">
        <f>MEDIAN(租金配对!K121:K121)</f>
        <v>0.0155815621917317</v>
      </c>
      <c r="K62" s="6" t="s">
        <v>290</v>
      </c>
      <c r="L62" s="6">
        <f>MEDIAN(租金配对!L121:L121)</f>
        <v>0.017962962962963</v>
      </c>
    </row>
    <row r="63" ht="21" customHeight="1" spans="1:12">
      <c r="A63" s="5" t="s">
        <v>15</v>
      </c>
      <c r="B63" s="6" t="s">
        <v>63</v>
      </c>
      <c r="C63" s="6" t="s">
        <v>157</v>
      </c>
      <c r="D63" s="6" t="s">
        <v>155</v>
      </c>
      <c r="E63" s="6" t="s">
        <v>291</v>
      </c>
      <c r="F63" s="6" t="s">
        <v>178</v>
      </c>
      <c r="G63" s="6">
        <v>65.74</v>
      </c>
      <c r="H63" s="6">
        <v>102</v>
      </c>
      <c r="I63" s="6">
        <v>0</v>
      </c>
      <c r="J63" s="7"/>
      <c r="K63" s="6" t="s">
        <v>292</v>
      </c>
      <c r="L63" s="6"/>
    </row>
    <row r="64" ht="21" customHeight="1" spans="1:12">
      <c r="A64" s="5" t="s">
        <v>15</v>
      </c>
      <c r="B64" s="6" t="s">
        <v>58</v>
      </c>
      <c r="C64" s="6" t="s">
        <v>152</v>
      </c>
      <c r="D64" s="6" t="s">
        <v>160</v>
      </c>
      <c r="E64" s="6" t="s">
        <v>293</v>
      </c>
      <c r="F64" s="6" t="s">
        <v>178</v>
      </c>
      <c r="G64" s="6">
        <v>47.39</v>
      </c>
      <c r="H64" s="6">
        <v>105.5</v>
      </c>
      <c r="I64" s="6">
        <v>6</v>
      </c>
      <c r="J64" s="7">
        <f>MEDIAN(租金配对!K200:K205)</f>
        <v>0.0220528327002743</v>
      </c>
      <c r="K64" s="6" t="s">
        <v>294</v>
      </c>
      <c r="L64" s="6">
        <f>MEDIAN(租金配对!L200:L205)</f>
        <v>0.0246445497630332</v>
      </c>
    </row>
    <row r="65" ht="21" customHeight="1" spans="1:12">
      <c r="A65" s="5" t="s">
        <v>15</v>
      </c>
      <c r="B65" s="6" t="s">
        <v>58</v>
      </c>
      <c r="C65" s="6" t="s">
        <v>152</v>
      </c>
      <c r="D65" s="6" t="s">
        <v>160</v>
      </c>
      <c r="E65" s="6" t="s">
        <v>295</v>
      </c>
      <c r="F65" s="6" t="s">
        <v>178</v>
      </c>
      <c r="G65" s="6">
        <v>47.06</v>
      </c>
      <c r="H65" s="6">
        <v>116</v>
      </c>
      <c r="I65" s="6">
        <v>6</v>
      </c>
      <c r="J65" s="7">
        <f>MEDIAN(租金配对!K140:K145)</f>
        <v>0.0198922935626618</v>
      </c>
      <c r="K65" s="6" t="s">
        <v>296</v>
      </c>
      <c r="L65" s="6">
        <f>MEDIAN(租金配对!L140:L145)</f>
        <v>0.0224137931034483</v>
      </c>
    </row>
    <row r="66" ht="21" customHeight="1" spans="1:12">
      <c r="A66" s="5" t="s">
        <v>15</v>
      </c>
      <c r="B66" s="6" t="s">
        <v>58</v>
      </c>
      <c r="C66" s="6" t="s">
        <v>152</v>
      </c>
      <c r="D66" s="6" t="s">
        <v>160</v>
      </c>
      <c r="E66" s="6" t="s">
        <v>297</v>
      </c>
      <c r="F66" s="6" t="s">
        <v>178</v>
      </c>
      <c r="G66" s="6">
        <v>46.76</v>
      </c>
      <c r="H66" s="6">
        <v>108</v>
      </c>
      <c r="I66" s="6">
        <v>6</v>
      </c>
      <c r="J66" s="7">
        <f>MEDIAN(租金配对!K146:K151)</f>
        <v>0.0215003138731952</v>
      </c>
      <c r="K66" s="6" t="s">
        <v>298</v>
      </c>
      <c r="L66" s="6">
        <f>MEDIAN(租金配对!L146:L151)</f>
        <v>0.0240740740740741</v>
      </c>
    </row>
    <row r="67" ht="21" customHeight="1" spans="1:12">
      <c r="A67" s="5" t="s">
        <v>15</v>
      </c>
      <c r="B67" s="6" t="s">
        <v>58</v>
      </c>
      <c r="C67" s="6" t="s">
        <v>152</v>
      </c>
      <c r="D67" s="6" t="s">
        <v>160</v>
      </c>
      <c r="E67" s="6" t="s">
        <v>299</v>
      </c>
      <c r="F67" s="6" t="s">
        <v>178</v>
      </c>
      <c r="G67" s="6">
        <v>46.76</v>
      </c>
      <c r="H67" s="6">
        <v>100</v>
      </c>
      <c r="I67" s="6">
        <v>6</v>
      </c>
      <c r="J67" s="7">
        <f>MEDIAN(租金配对!K152:K157)</f>
        <v>0.023365617433414</v>
      </c>
      <c r="K67" s="6" t="s">
        <v>300</v>
      </c>
      <c r="L67" s="6">
        <f>MEDIAN(租金配对!L152:L157)</f>
        <v>0.026</v>
      </c>
    </row>
    <row r="68" ht="21" customHeight="1" spans="1:12">
      <c r="A68" s="5" t="s">
        <v>15</v>
      </c>
      <c r="B68" s="6" t="s">
        <v>58</v>
      </c>
      <c r="C68" s="6" t="s">
        <v>152</v>
      </c>
      <c r="D68" s="6" t="s">
        <v>160</v>
      </c>
      <c r="E68" s="6" t="s">
        <v>301</v>
      </c>
      <c r="F68" s="6" t="s">
        <v>178</v>
      </c>
      <c r="G68" s="6">
        <v>47.48</v>
      </c>
      <c r="H68" s="6">
        <v>100</v>
      </c>
      <c r="I68" s="6">
        <v>6</v>
      </c>
      <c r="J68" s="7">
        <f>MEDIAN(租金配对!K194:K199)</f>
        <v>0.023365617433414</v>
      </c>
      <c r="K68" s="6" t="s">
        <v>302</v>
      </c>
      <c r="L68" s="6">
        <f>MEDIAN(租金配对!L194:L199)</f>
        <v>0.026</v>
      </c>
    </row>
    <row r="69" ht="21" customHeight="1" spans="1:12">
      <c r="A69" s="5" t="s">
        <v>15</v>
      </c>
      <c r="B69" s="6" t="s">
        <v>58</v>
      </c>
      <c r="C69" s="6" t="s">
        <v>152</v>
      </c>
      <c r="D69" s="6" t="s">
        <v>160</v>
      </c>
      <c r="E69" s="6" t="s">
        <v>303</v>
      </c>
      <c r="F69" s="6" t="s">
        <v>178</v>
      </c>
      <c r="G69" s="6">
        <v>46.81</v>
      </c>
      <c r="H69" s="6">
        <v>86</v>
      </c>
      <c r="I69" s="6">
        <v>6</v>
      </c>
      <c r="J69" s="7">
        <f>MEDIAN(租金配对!K122:K127)</f>
        <v>0.0274649473506391</v>
      </c>
      <c r="K69" s="6" t="s">
        <v>304</v>
      </c>
      <c r="L69" s="6">
        <f>MEDIAN(租金配对!L122:L127)</f>
        <v>0.0302325581395349</v>
      </c>
    </row>
    <row r="70" ht="21" customHeight="1" spans="1:12">
      <c r="A70" s="5" t="s">
        <v>15</v>
      </c>
      <c r="B70" s="6" t="s">
        <v>58</v>
      </c>
      <c r="C70" s="6" t="s">
        <v>152</v>
      </c>
      <c r="D70" s="6" t="s">
        <v>160</v>
      </c>
      <c r="E70" s="6" t="s">
        <v>305</v>
      </c>
      <c r="F70" s="6" t="s">
        <v>178</v>
      </c>
      <c r="G70" s="6">
        <v>46.83</v>
      </c>
      <c r="H70" s="6">
        <v>103</v>
      </c>
      <c r="I70" s="6">
        <v>6</v>
      </c>
      <c r="J70" s="7">
        <f>MEDIAN(租金配对!K164:K169)</f>
        <v>0.0226321728296387</v>
      </c>
      <c r="K70" s="6" t="s">
        <v>306</v>
      </c>
      <c r="L70" s="6">
        <f>MEDIAN(租金配对!L164:L169)</f>
        <v>0.0252427184466019</v>
      </c>
    </row>
    <row r="71" ht="21" customHeight="1" spans="1:12">
      <c r="A71" s="5" t="s">
        <v>15</v>
      </c>
      <c r="B71" s="6" t="s">
        <v>58</v>
      </c>
      <c r="C71" s="6" t="s">
        <v>152</v>
      </c>
      <c r="D71" s="6" t="s">
        <v>160</v>
      </c>
      <c r="E71" s="6" t="s">
        <v>307</v>
      </c>
      <c r="F71" s="6" t="s">
        <v>178</v>
      </c>
      <c r="G71" s="6">
        <v>46.76</v>
      </c>
      <c r="H71" s="6">
        <v>115</v>
      </c>
      <c r="I71" s="6">
        <v>6</v>
      </c>
      <c r="J71" s="7">
        <f>MEDIAN(租金配对!K182:K187)</f>
        <v>0.0200810611643331</v>
      </c>
      <c r="K71" s="6" t="s">
        <v>308</v>
      </c>
      <c r="L71" s="6">
        <f>MEDIAN(租金配对!L182:L187)</f>
        <v>0.0226086956521739</v>
      </c>
    </row>
    <row r="72" ht="21" customHeight="1" spans="1:12">
      <c r="A72" s="5" t="s">
        <v>15</v>
      </c>
      <c r="B72" s="6" t="s">
        <v>58</v>
      </c>
      <c r="C72" s="6" t="s">
        <v>152</v>
      </c>
      <c r="D72" s="6" t="s">
        <v>160</v>
      </c>
      <c r="E72" s="6" t="s">
        <v>309</v>
      </c>
      <c r="F72" s="6" t="s">
        <v>178</v>
      </c>
      <c r="G72" s="6">
        <v>46.15</v>
      </c>
      <c r="H72" s="6">
        <v>93</v>
      </c>
      <c r="I72" s="6">
        <v>6</v>
      </c>
      <c r="J72" s="7">
        <f>MEDIAN(租金配对!K128:K133)</f>
        <v>0.0252610065349267</v>
      </c>
      <c r="K72" s="6" t="s">
        <v>310</v>
      </c>
      <c r="L72" s="6">
        <f>MEDIAN(租金配对!L128:L133)</f>
        <v>0.0279569892473118</v>
      </c>
    </row>
    <row r="73" ht="21" customHeight="1" spans="1:12">
      <c r="A73" s="5" t="s">
        <v>15</v>
      </c>
      <c r="B73" s="6" t="s">
        <v>58</v>
      </c>
      <c r="C73" s="6" t="s">
        <v>152</v>
      </c>
      <c r="D73" s="6" t="s">
        <v>160</v>
      </c>
      <c r="E73" s="6" t="s">
        <v>311</v>
      </c>
      <c r="F73" s="6" t="s">
        <v>178</v>
      </c>
      <c r="G73" s="6">
        <v>47.03</v>
      </c>
      <c r="H73" s="6">
        <v>94.5</v>
      </c>
      <c r="I73" s="6">
        <v>6</v>
      </c>
      <c r="J73" s="7">
        <f>MEDIAN(租金配对!K134:K139)</f>
        <v>0.0248312130878717</v>
      </c>
      <c r="K73" s="6" t="s">
        <v>312</v>
      </c>
      <c r="L73" s="6">
        <f>MEDIAN(租金配对!L134:L139)</f>
        <v>0.0275132275132275</v>
      </c>
    </row>
    <row r="74" ht="21" customHeight="1" spans="1:12">
      <c r="A74" s="5" t="s">
        <v>15</v>
      </c>
      <c r="B74" s="6" t="s">
        <v>58</v>
      </c>
      <c r="C74" s="6" t="s">
        <v>152</v>
      </c>
      <c r="D74" s="6" t="s">
        <v>160</v>
      </c>
      <c r="E74" s="6" t="s">
        <v>313</v>
      </c>
      <c r="F74" s="6" t="s">
        <v>181</v>
      </c>
      <c r="G74" s="6">
        <v>47.48</v>
      </c>
      <c r="H74" s="6">
        <v>110</v>
      </c>
      <c r="I74" s="6">
        <v>6</v>
      </c>
      <c r="J74" s="7">
        <f>MEDIAN(租金配对!K170:K175)</f>
        <v>0.0210763812458728</v>
      </c>
      <c r="K74" s="6" t="s">
        <v>314</v>
      </c>
      <c r="L74" s="6">
        <f>MEDIAN(租金配对!L170:L175)</f>
        <v>0.0236363636363636</v>
      </c>
    </row>
    <row r="75" ht="21" customHeight="1" spans="1:12">
      <c r="A75" s="5" t="s">
        <v>15</v>
      </c>
      <c r="B75" s="6" t="s">
        <v>58</v>
      </c>
      <c r="C75" s="6" t="s">
        <v>152</v>
      </c>
      <c r="D75" s="6" t="s">
        <v>160</v>
      </c>
      <c r="E75" s="6" t="s">
        <v>315</v>
      </c>
      <c r="F75" s="6" t="s">
        <v>178</v>
      </c>
      <c r="G75" s="6">
        <v>46.57</v>
      </c>
      <c r="H75" s="6">
        <v>95</v>
      </c>
      <c r="I75" s="6">
        <v>6</v>
      </c>
      <c r="J75" s="7">
        <f>MEDIAN(租金配对!K188:K193)</f>
        <v>0.0246909646998853</v>
      </c>
      <c r="K75" s="6" t="s">
        <v>316</v>
      </c>
      <c r="L75" s="6">
        <f>MEDIAN(租金配对!L188:L193)</f>
        <v>0.0273684210526316</v>
      </c>
    </row>
    <row r="76" ht="21" customHeight="1" spans="1:12">
      <c r="A76" s="5" t="s">
        <v>15</v>
      </c>
      <c r="B76" s="6" t="s">
        <v>58</v>
      </c>
      <c r="C76" s="6" t="s">
        <v>152</v>
      </c>
      <c r="D76" s="6" t="s">
        <v>160</v>
      </c>
      <c r="E76" s="6" t="s">
        <v>317</v>
      </c>
      <c r="F76" s="6" t="s">
        <v>178</v>
      </c>
      <c r="G76" s="6">
        <v>46.84</v>
      </c>
      <c r="H76" s="6">
        <v>105</v>
      </c>
      <c r="I76" s="6">
        <v>6</v>
      </c>
      <c r="J76" s="7">
        <f>MEDIAN(租金配对!K158:K163)</f>
        <v>0.0221664937161305</v>
      </c>
      <c r="K76" s="6" t="s">
        <v>318</v>
      </c>
      <c r="L76" s="6">
        <f>MEDIAN(租金配对!L158:L163)</f>
        <v>0.0247619047619048</v>
      </c>
    </row>
    <row r="77" ht="21" customHeight="1" spans="1:12">
      <c r="A77" s="5" t="s">
        <v>15</v>
      </c>
      <c r="B77" s="6" t="s">
        <v>58</v>
      </c>
      <c r="C77" s="6" t="s">
        <v>152</v>
      </c>
      <c r="D77" s="6" t="s">
        <v>160</v>
      </c>
      <c r="E77" s="6" t="s">
        <v>319</v>
      </c>
      <c r="F77" s="6" t="s">
        <v>178</v>
      </c>
      <c r="G77" s="6">
        <v>46.89</v>
      </c>
      <c r="H77" s="6">
        <v>105</v>
      </c>
      <c r="I77" s="6">
        <v>6</v>
      </c>
      <c r="J77" s="7">
        <f>MEDIAN(租金配对!K176:K181)</f>
        <v>0.0221664937161305</v>
      </c>
      <c r="K77" s="6" t="s">
        <v>320</v>
      </c>
      <c r="L77" s="6">
        <f>MEDIAN(租金配对!L176:L181)</f>
        <v>0.0247619047619048</v>
      </c>
    </row>
    <row r="78" ht="21" customHeight="1" spans="1:12">
      <c r="A78" s="5" t="s">
        <v>15</v>
      </c>
      <c r="B78" s="6" t="s">
        <v>58</v>
      </c>
      <c r="C78" s="6" t="s">
        <v>152</v>
      </c>
      <c r="D78" s="6" t="s">
        <v>160</v>
      </c>
      <c r="E78" s="6" t="s">
        <v>321</v>
      </c>
      <c r="F78" s="6" t="s">
        <v>178</v>
      </c>
      <c r="G78" s="6">
        <v>46.89</v>
      </c>
      <c r="H78" s="6">
        <v>105</v>
      </c>
      <c r="I78" s="6">
        <v>6</v>
      </c>
      <c r="J78" s="7">
        <f>MEDIAN(租金配对!K206:K211)</f>
        <v>0.0221664937161305</v>
      </c>
      <c r="K78" s="6" t="s">
        <v>322</v>
      </c>
      <c r="L78" s="6">
        <f>MEDIAN(租金配对!L206:L211)</f>
        <v>0.0247619047619048</v>
      </c>
    </row>
    <row r="79" ht="21" customHeight="1" spans="1:12">
      <c r="A79" s="5" t="s">
        <v>15</v>
      </c>
      <c r="B79" s="6" t="s">
        <v>58</v>
      </c>
      <c r="C79" s="6" t="s">
        <v>152</v>
      </c>
      <c r="D79" s="6" t="s">
        <v>153</v>
      </c>
      <c r="E79" s="6" t="s">
        <v>323</v>
      </c>
      <c r="F79" s="6" t="s">
        <v>178</v>
      </c>
      <c r="G79" s="6">
        <v>48.73</v>
      </c>
      <c r="H79" s="6">
        <v>120</v>
      </c>
      <c r="I79" s="6">
        <v>4</v>
      </c>
      <c r="J79" s="7">
        <f>MEDIAN(租金配对!K228:K231)</f>
        <v>0.0191686844229217</v>
      </c>
      <c r="K79" s="6" t="s">
        <v>324</v>
      </c>
      <c r="L79" s="6">
        <f>MEDIAN(租金配对!L228:L231)</f>
        <v>0.0216666666666667</v>
      </c>
    </row>
    <row r="80" ht="21" customHeight="1" spans="1:12">
      <c r="A80" s="5" t="s">
        <v>15</v>
      </c>
      <c r="B80" s="6" t="s">
        <v>58</v>
      </c>
      <c r="C80" s="6" t="s">
        <v>152</v>
      </c>
      <c r="D80" s="6" t="s">
        <v>153</v>
      </c>
      <c r="E80" s="6" t="s">
        <v>325</v>
      </c>
      <c r="F80" s="6" t="s">
        <v>178</v>
      </c>
      <c r="G80" s="6">
        <v>46.89</v>
      </c>
      <c r="H80" s="6">
        <v>106</v>
      </c>
      <c r="I80" s="6">
        <v>4</v>
      </c>
      <c r="J80" s="7">
        <f>MEDIAN(租金配对!K256:K259)</f>
        <v>0.0219402439581525</v>
      </c>
      <c r="K80" s="6" t="s">
        <v>326</v>
      </c>
      <c r="L80" s="6">
        <f>MEDIAN(租金配对!L256:L259)</f>
        <v>0.0245283018867925</v>
      </c>
    </row>
    <row r="81" ht="21" customHeight="1" spans="1:12">
      <c r="A81" s="5" t="s">
        <v>15</v>
      </c>
      <c r="B81" s="6" t="s">
        <v>58</v>
      </c>
      <c r="C81" s="6" t="s">
        <v>152</v>
      </c>
      <c r="D81" s="6" t="s">
        <v>153</v>
      </c>
      <c r="E81" s="6" t="s">
        <v>327</v>
      </c>
      <c r="F81" s="6" t="s">
        <v>178</v>
      </c>
      <c r="G81" s="6">
        <v>46.89</v>
      </c>
      <c r="H81" s="6">
        <v>98</v>
      </c>
      <c r="I81" s="6">
        <v>4</v>
      </c>
      <c r="J81" s="7">
        <f>MEDIAN(租金配对!K248:K251)</f>
        <v>0.0238795275979641</v>
      </c>
      <c r="K81" s="6" t="s">
        <v>328</v>
      </c>
      <c r="L81" s="6">
        <f>MEDIAN(租金配对!L248:L251)</f>
        <v>0.026530612244898</v>
      </c>
    </row>
    <row r="82" ht="21" customHeight="1" spans="1:12">
      <c r="A82" s="5" t="s">
        <v>15</v>
      </c>
      <c r="B82" s="6" t="s">
        <v>58</v>
      </c>
      <c r="C82" s="6" t="s">
        <v>152</v>
      </c>
      <c r="D82" s="6" t="s">
        <v>153</v>
      </c>
      <c r="E82" s="6" t="s">
        <v>329</v>
      </c>
      <c r="F82" s="6" t="s">
        <v>178</v>
      </c>
      <c r="G82" s="6">
        <v>46.77</v>
      </c>
      <c r="H82" s="6">
        <v>104</v>
      </c>
      <c r="I82" s="6">
        <v>4</v>
      </c>
      <c r="J82" s="7">
        <f>MEDIAN(租金配对!K216:K219)</f>
        <v>0.0223970944309927</v>
      </c>
      <c r="K82" s="6" t="s">
        <v>330</v>
      </c>
      <c r="L82" s="6">
        <f>MEDIAN(租金配对!L216:L219)</f>
        <v>0.025</v>
      </c>
    </row>
    <row r="83" ht="21" customHeight="1" spans="1:12">
      <c r="A83" s="5" t="s">
        <v>15</v>
      </c>
      <c r="B83" s="6" t="s">
        <v>58</v>
      </c>
      <c r="C83" s="6" t="s">
        <v>152</v>
      </c>
      <c r="D83" s="6" t="s">
        <v>153</v>
      </c>
      <c r="E83" s="6" t="s">
        <v>331</v>
      </c>
      <c r="F83" s="6" t="s">
        <v>178</v>
      </c>
      <c r="G83" s="6">
        <v>46.77</v>
      </c>
      <c r="H83" s="6">
        <v>105</v>
      </c>
      <c r="I83" s="6">
        <v>4</v>
      </c>
      <c r="J83" s="7">
        <f>MEDIAN(租金配对!K232:K235)</f>
        <v>0.0221664937161305</v>
      </c>
      <c r="K83" s="6" t="s">
        <v>332</v>
      </c>
      <c r="L83" s="6">
        <f>MEDIAN(租金配对!L232:L235)</f>
        <v>0.0247619047619048</v>
      </c>
    </row>
    <row r="84" ht="21" customHeight="1" spans="1:12">
      <c r="A84" s="5" t="s">
        <v>15</v>
      </c>
      <c r="B84" s="6" t="s">
        <v>58</v>
      </c>
      <c r="C84" s="6" t="s">
        <v>152</v>
      </c>
      <c r="D84" s="6" t="s">
        <v>153</v>
      </c>
      <c r="E84" s="6" t="s">
        <v>333</v>
      </c>
      <c r="F84" s="6" t="s">
        <v>178</v>
      </c>
      <c r="G84" s="6">
        <v>47.06</v>
      </c>
      <c r="H84" s="6">
        <v>115</v>
      </c>
      <c r="I84" s="6">
        <v>4</v>
      </c>
      <c r="J84" s="7">
        <f>MEDIAN(租金配对!K240:K243)</f>
        <v>0.0200810611643331</v>
      </c>
      <c r="K84" s="6" t="s">
        <v>334</v>
      </c>
      <c r="L84" s="6">
        <f>MEDIAN(租金配对!L240:L243)</f>
        <v>0.0226086956521739</v>
      </c>
    </row>
    <row r="85" ht="21" customHeight="1" spans="1:12">
      <c r="A85" s="5" t="s">
        <v>15</v>
      </c>
      <c r="B85" s="6" t="s">
        <v>58</v>
      </c>
      <c r="C85" s="6" t="s">
        <v>152</v>
      </c>
      <c r="D85" s="6" t="s">
        <v>153</v>
      </c>
      <c r="E85" s="6" t="s">
        <v>335</v>
      </c>
      <c r="F85" s="6" t="s">
        <v>178</v>
      </c>
      <c r="G85" s="6">
        <v>46.89</v>
      </c>
      <c r="H85" s="6">
        <v>115</v>
      </c>
      <c r="I85" s="6">
        <v>4</v>
      </c>
      <c r="J85" s="7">
        <f>MEDIAN(租金配对!K236:K239)</f>
        <v>0.0200810611643331</v>
      </c>
      <c r="K85" s="6" t="s">
        <v>336</v>
      </c>
      <c r="L85" s="6">
        <f>MEDIAN(租金配对!L236:L239)</f>
        <v>0.0226086956521739</v>
      </c>
    </row>
    <row r="86" ht="21" customHeight="1" spans="1:12">
      <c r="A86" s="5" t="s">
        <v>15</v>
      </c>
      <c r="B86" s="6" t="s">
        <v>58</v>
      </c>
      <c r="C86" s="6" t="s">
        <v>152</v>
      </c>
      <c r="D86" s="6" t="s">
        <v>153</v>
      </c>
      <c r="E86" s="6" t="s">
        <v>337</v>
      </c>
      <c r="F86" s="6" t="s">
        <v>178</v>
      </c>
      <c r="G86" s="6">
        <v>46.81</v>
      </c>
      <c r="H86" s="6">
        <v>105</v>
      </c>
      <c r="I86" s="6">
        <v>4</v>
      </c>
      <c r="J86" s="7">
        <f>MEDIAN(租金配对!K224:K227)</f>
        <v>0.0221664937161305</v>
      </c>
      <c r="K86" s="6" t="s">
        <v>338</v>
      </c>
      <c r="L86" s="6">
        <f>MEDIAN(租金配对!L224:L227)</f>
        <v>0.0247619047619048</v>
      </c>
    </row>
    <row r="87" ht="21" customHeight="1" spans="1:12">
      <c r="A87" s="5" t="s">
        <v>15</v>
      </c>
      <c r="B87" s="6" t="s">
        <v>58</v>
      </c>
      <c r="C87" s="6" t="s">
        <v>152</v>
      </c>
      <c r="D87" s="6" t="s">
        <v>153</v>
      </c>
      <c r="E87" s="6" t="s">
        <v>339</v>
      </c>
      <c r="F87" s="6" t="s">
        <v>178</v>
      </c>
      <c r="G87" s="6">
        <v>46.89</v>
      </c>
      <c r="H87" s="6">
        <v>98</v>
      </c>
      <c r="I87" s="6">
        <v>4</v>
      </c>
      <c r="J87" s="7">
        <f>MEDIAN(租金配对!K220:K223)</f>
        <v>0.0238795275979641</v>
      </c>
      <c r="K87" s="6" t="s">
        <v>340</v>
      </c>
      <c r="L87" s="6">
        <f>MEDIAN(租金配对!L220:L223)</f>
        <v>0.026530612244898</v>
      </c>
    </row>
    <row r="88" ht="21" customHeight="1" spans="1:12">
      <c r="A88" s="5" t="s">
        <v>15</v>
      </c>
      <c r="B88" s="6" t="s">
        <v>58</v>
      </c>
      <c r="C88" s="6" t="s">
        <v>152</v>
      </c>
      <c r="D88" s="6" t="s">
        <v>153</v>
      </c>
      <c r="E88" s="6" t="s">
        <v>341</v>
      </c>
      <c r="F88" s="6" t="s">
        <v>178</v>
      </c>
      <c r="G88" s="6">
        <v>46.89</v>
      </c>
      <c r="H88" s="6">
        <v>88</v>
      </c>
      <c r="I88" s="6">
        <v>4</v>
      </c>
      <c r="J88" s="7">
        <f>MEDIAN(租金配对!K212:K215)</f>
        <v>0.026799471714726</v>
      </c>
      <c r="K88" s="6" t="s">
        <v>342</v>
      </c>
      <c r="L88" s="6">
        <f>MEDIAN(租金配对!L212:L215)</f>
        <v>0.0295454545454545</v>
      </c>
    </row>
    <row r="89" ht="21" customHeight="1" spans="1:12">
      <c r="A89" s="5" t="s">
        <v>15</v>
      </c>
      <c r="B89" s="6" t="s">
        <v>58</v>
      </c>
      <c r="C89" s="6" t="s">
        <v>152</v>
      </c>
      <c r="D89" s="6" t="s">
        <v>153</v>
      </c>
      <c r="E89" s="6" t="s">
        <v>343</v>
      </c>
      <c r="F89" s="6" t="s">
        <v>178</v>
      </c>
      <c r="G89" s="6">
        <v>46.78</v>
      </c>
      <c r="H89" s="6">
        <v>99</v>
      </c>
      <c r="I89" s="6">
        <v>4</v>
      </c>
      <c r="J89" s="7">
        <f>MEDIAN(租金配对!K244:K247)</f>
        <v>0.0236199770098075</v>
      </c>
      <c r="K89" s="6" t="s">
        <v>344</v>
      </c>
      <c r="L89" s="6">
        <f>MEDIAN(租金配对!L244:L247)</f>
        <v>0.0262626262626263</v>
      </c>
    </row>
    <row r="90" ht="21" customHeight="1" spans="1:12">
      <c r="A90" s="5" t="s">
        <v>15</v>
      </c>
      <c r="B90" s="6" t="s">
        <v>58</v>
      </c>
      <c r="C90" s="6" t="s">
        <v>152</v>
      </c>
      <c r="D90" s="6" t="s">
        <v>153</v>
      </c>
      <c r="E90" s="6" t="s">
        <v>345</v>
      </c>
      <c r="F90" s="6" t="s">
        <v>178</v>
      </c>
      <c r="G90" s="6">
        <v>46.89</v>
      </c>
      <c r="H90" s="6">
        <v>88</v>
      </c>
      <c r="I90" s="6">
        <v>4</v>
      </c>
      <c r="J90" s="7">
        <f>MEDIAN(租金配对!K252:K255)</f>
        <v>0.026799471714726</v>
      </c>
      <c r="K90" s="6" t="s">
        <v>346</v>
      </c>
      <c r="L90" s="6">
        <f>MEDIAN(租金配对!L252:L255)</f>
        <v>0.0295454545454545</v>
      </c>
    </row>
    <row r="91" ht="21" customHeight="1" spans="1:12">
      <c r="A91" s="5" t="s">
        <v>15</v>
      </c>
      <c r="B91" s="6" t="s">
        <v>68</v>
      </c>
      <c r="C91" s="6" t="s">
        <v>152</v>
      </c>
      <c r="D91" s="6" t="s">
        <v>160</v>
      </c>
      <c r="E91" s="6" t="s">
        <v>347</v>
      </c>
      <c r="F91" s="6" t="s">
        <v>178</v>
      </c>
      <c r="G91" s="6">
        <v>44.54</v>
      </c>
      <c r="H91" s="6">
        <v>110</v>
      </c>
      <c r="I91" s="6">
        <v>4</v>
      </c>
      <c r="J91" s="7">
        <f>MEDIAN(租金配对!K260:K263)</f>
        <v>0.0157935285053929</v>
      </c>
      <c r="K91" s="6" t="s">
        <v>348</v>
      </c>
      <c r="L91" s="6">
        <f>MEDIAN(租金配对!L260:L263)</f>
        <v>0.0181818181818182</v>
      </c>
    </row>
    <row r="92" ht="21" customHeight="1" spans="1:12">
      <c r="A92" s="5" t="s">
        <v>15</v>
      </c>
      <c r="B92" s="6" t="s">
        <v>68</v>
      </c>
      <c r="C92" s="6" t="s">
        <v>152</v>
      </c>
      <c r="D92" s="6" t="s">
        <v>153</v>
      </c>
      <c r="E92" s="6" t="s">
        <v>349</v>
      </c>
      <c r="F92" s="6" t="s">
        <v>178</v>
      </c>
      <c r="G92" s="6">
        <v>56.15</v>
      </c>
      <c r="H92" s="6">
        <v>108</v>
      </c>
      <c r="I92" s="6">
        <v>0</v>
      </c>
      <c r="J92" s="7"/>
      <c r="K92" s="6" t="s">
        <v>350</v>
      </c>
      <c r="L92" s="6"/>
    </row>
    <row r="93" ht="21" customHeight="1" spans="1:12">
      <c r="A93" s="5" t="s">
        <v>15</v>
      </c>
      <c r="B93" s="6" t="s">
        <v>68</v>
      </c>
      <c r="C93" s="6" t="s">
        <v>152</v>
      </c>
      <c r="D93" s="6" t="s">
        <v>153</v>
      </c>
      <c r="E93" s="6" t="s">
        <v>351</v>
      </c>
      <c r="F93" s="6" t="s">
        <v>178</v>
      </c>
      <c r="G93" s="6">
        <v>58.54</v>
      </c>
      <c r="H93" s="6">
        <v>109</v>
      </c>
      <c r="I93" s="6">
        <v>0</v>
      </c>
      <c r="J93" s="7"/>
      <c r="K93" s="6" t="s">
        <v>352</v>
      </c>
      <c r="L93" s="6"/>
    </row>
    <row r="94" ht="21" customHeight="1" spans="1:12">
      <c r="A94" s="5" t="s">
        <v>15</v>
      </c>
      <c r="B94" s="6" t="s">
        <v>68</v>
      </c>
      <c r="C94" s="6" t="s">
        <v>152</v>
      </c>
      <c r="D94" s="6" t="s">
        <v>153</v>
      </c>
      <c r="E94" s="6" t="s">
        <v>353</v>
      </c>
      <c r="F94" s="6" t="s">
        <v>181</v>
      </c>
      <c r="G94" s="6">
        <v>42.94</v>
      </c>
      <c r="H94" s="6">
        <v>103</v>
      </c>
      <c r="I94" s="6">
        <v>1</v>
      </c>
      <c r="J94" s="7">
        <f>MEDIAN(租金配对!K266:K266)</f>
        <v>0.0169902912621359</v>
      </c>
      <c r="K94" s="6" t="s">
        <v>354</v>
      </c>
      <c r="L94" s="6">
        <f>MEDIAN(租金配对!L266:L266)</f>
        <v>0.0194174757281553</v>
      </c>
    </row>
    <row r="95" ht="21" customHeight="1" spans="1:12">
      <c r="A95" s="5" t="s">
        <v>15</v>
      </c>
      <c r="B95" s="6" t="s">
        <v>68</v>
      </c>
      <c r="C95" s="6" t="s">
        <v>152</v>
      </c>
      <c r="D95" s="6" t="s">
        <v>153</v>
      </c>
      <c r="E95" s="6" t="s">
        <v>355</v>
      </c>
      <c r="F95" s="6" t="s">
        <v>181</v>
      </c>
      <c r="G95" s="6">
        <v>42.94</v>
      </c>
      <c r="H95" s="6">
        <v>103</v>
      </c>
      <c r="I95" s="6">
        <v>1</v>
      </c>
      <c r="J95" s="7">
        <f>MEDIAN(租金配对!K265:K265)</f>
        <v>0.0169902912621359</v>
      </c>
      <c r="K95" s="6" t="s">
        <v>356</v>
      </c>
      <c r="L95" s="6">
        <f>MEDIAN(租金配对!L265:L265)</f>
        <v>0.0194174757281553</v>
      </c>
    </row>
    <row r="96" ht="21" customHeight="1" spans="1:12">
      <c r="A96" s="5" t="s">
        <v>15</v>
      </c>
      <c r="B96" s="6" t="s">
        <v>68</v>
      </c>
      <c r="C96" s="6" t="s">
        <v>152</v>
      </c>
      <c r="D96" s="6" t="s">
        <v>153</v>
      </c>
      <c r="E96" s="6" t="s">
        <v>357</v>
      </c>
      <c r="F96" s="6" t="s">
        <v>181</v>
      </c>
      <c r="G96" s="6">
        <v>44.54</v>
      </c>
      <c r="H96" s="6">
        <v>88.8</v>
      </c>
      <c r="I96" s="6">
        <v>1</v>
      </c>
      <c r="J96" s="7">
        <f>MEDIAN(租金配对!K264:K264)</f>
        <v>0.0199976005060751</v>
      </c>
      <c r="K96" s="6" t="s">
        <v>358</v>
      </c>
      <c r="L96" s="6">
        <f>MEDIAN(租金配对!L264:L264)</f>
        <v>0.0225225225225225</v>
      </c>
    </row>
    <row r="97" ht="21" customHeight="1" spans="1:12">
      <c r="A97" s="5" t="s">
        <v>15</v>
      </c>
      <c r="B97" s="6" t="s">
        <v>68</v>
      </c>
      <c r="C97" s="6" t="s">
        <v>152</v>
      </c>
      <c r="D97" s="6" t="s">
        <v>153</v>
      </c>
      <c r="E97" s="6" t="s">
        <v>359</v>
      </c>
      <c r="F97" s="6" t="s">
        <v>178</v>
      </c>
      <c r="G97" s="6">
        <v>45.71</v>
      </c>
      <c r="H97" s="6">
        <v>108</v>
      </c>
      <c r="I97" s="6">
        <v>1</v>
      </c>
      <c r="J97" s="7">
        <f>MEDIAN(租金配对!K267:K267)</f>
        <v>0.0161196305264102</v>
      </c>
      <c r="K97" s="6" t="s">
        <v>360</v>
      </c>
      <c r="L97" s="6">
        <f>MEDIAN(租金配对!L267:L267)</f>
        <v>0.0185185185185185</v>
      </c>
    </row>
    <row r="98" ht="21" customHeight="1" spans="1:12">
      <c r="A98" s="5" t="s">
        <v>15</v>
      </c>
      <c r="B98" s="6" t="s">
        <v>57</v>
      </c>
      <c r="C98" s="6" t="s">
        <v>157</v>
      </c>
      <c r="D98" s="6" t="s">
        <v>161</v>
      </c>
      <c r="E98" s="6" t="s">
        <v>361</v>
      </c>
      <c r="F98" s="6" t="s">
        <v>178</v>
      </c>
      <c r="G98" s="6">
        <v>87.32</v>
      </c>
      <c r="H98" s="6">
        <v>115</v>
      </c>
      <c r="I98" s="6">
        <v>0</v>
      </c>
      <c r="J98" s="7"/>
      <c r="K98" s="6" t="s">
        <v>362</v>
      </c>
      <c r="L98" s="6"/>
    </row>
    <row r="99" ht="21" customHeight="1" spans="1:12">
      <c r="A99" s="5" t="s">
        <v>15</v>
      </c>
      <c r="B99" s="6" t="s">
        <v>57</v>
      </c>
      <c r="C99" s="6" t="s">
        <v>157</v>
      </c>
      <c r="D99" s="6" t="s">
        <v>155</v>
      </c>
      <c r="E99" s="6" t="s">
        <v>363</v>
      </c>
      <c r="F99" s="6" t="s">
        <v>181</v>
      </c>
      <c r="G99" s="6">
        <v>68.75</v>
      </c>
      <c r="H99" s="6">
        <v>102</v>
      </c>
      <c r="I99" s="6">
        <v>3</v>
      </c>
      <c r="J99" s="7">
        <f>MEDIAN(租金配对!K271:K273)</f>
        <v>0.0228718606086502</v>
      </c>
      <c r="K99" s="6" t="s">
        <v>364</v>
      </c>
      <c r="L99" s="6">
        <f>MEDIAN(租金配对!L271:L273)</f>
        <v>0.0254901960784314</v>
      </c>
    </row>
    <row r="100" ht="21" customHeight="1" spans="1:12">
      <c r="A100" s="5" t="s">
        <v>15</v>
      </c>
      <c r="B100" s="6" t="s">
        <v>57</v>
      </c>
      <c r="C100" s="6" t="s">
        <v>157</v>
      </c>
      <c r="D100" s="6" t="s">
        <v>155</v>
      </c>
      <c r="E100" s="6" t="s">
        <v>365</v>
      </c>
      <c r="F100" s="6" t="s">
        <v>181</v>
      </c>
      <c r="G100" s="6">
        <v>68.75</v>
      </c>
      <c r="H100" s="6">
        <v>118</v>
      </c>
      <c r="I100" s="6">
        <v>3</v>
      </c>
      <c r="J100" s="7">
        <f>MEDIAN(租金配对!K268:K270)</f>
        <v>0.0195243567119465</v>
      </c>
      <c r="K100" s="6" t="s">
        <v>366</v>
      </c>
      <c r="L100" s="6">
        <f>MEDIAN(租金配对!L268:L270)</f>
        <v>0.0220338983050847</v>
      </c>
    </row>
    <row r="101" ht="21" customHeight="1" spans="1:12">
      <c r="A101" s="5" t="s">
        <v>15</v>
      </c>
      <c r="B101" s="6" t="s">
        <v>57</v>
      </c>
      <c r="C101" s="6" t="s">
        <v>157</v>
      </c>
      <c r="D101" s="6" t="s">
        <v>162</v>
      </c>
      <c r="E101" s="6" t="s">
        <v>367</v>
      </c>
      <c r="F101" s="6" t="s">
        <v>181</v>
      </c>
      <c r="G101" s="6">
        <v>83.51</v>
      </c>
      <c r="H101" s="6">
        <v>115</v>
      </c>
      <c r="I101" s="6">
        <v>2</v>
      </c>
      <c r="J101" s="7">
        <f>MEDIAN(租金配对!K274:K275)</f>
        <v>0.0348194546794399</v>
      </c>
      <c r="K101" s="6" t="s">
        <v>368</v>
      </c>
      <c r="L101" s="6">
        <f>MEDIAN(租金配对!L274:L275)</f>
        <v>0.0378260869565217</v>
      </c>
    </row>
    <row r="102" ht="21" customHeight="1" spans="1:12">
      <c r="A102" s="5" t="s">
        <v>15</v>
      </c>
      <c r="B102" s="6" t="s">
        <v>64</v>
      </c>
      <c r="C102" s="6" t="s">
        <v>152</v>
      </c>
      <c r="D102" s="6" t="s">
        <v>160</v>
      </c>
      <c r="E102" s="6" t="s">
        <v>369</v>
      </c>
      <c r="F102" s="6" t="s">
        <v>178</v>
      </c>
      <c r="G102" s="6">
        <v>46.8</v>
      </c>
      <c r="H102" s="6">
        <v>118</v>
      </c>
      <c r="I102" s="6">
        <v>1</v>
      </c>
      <c r="J102" s="7">
        <f>MEDIAN(租金配对!K280:K280)</f>
        <v>0.0129580990684122</v>
      </c>
      <c r="K102" s="6" t="s">
        <v>370</v>
      </c>
      <c r="L102" s="6">
        <f>MEDIAN(租金配对!L280:L280)</f>
        <v>0.0152542372881356</v>
      </c>
    </row>
    <row r="103" ht="21" customHeight="1" spans="1:12">
      <c r="A103" s="5" t="s">
        <v>15</v>
      </c>
      <c r="B103" s="6" t="s">
        <v>64</v>
      </c>
      <c r="C103" s="6" t="s">
        <v>152</v>
      </c>
      <c r="D103" s="6" t="s">
        <v>160</v>
      </c>
      <c r="E103" s="6" t="s">
        <v>371</v>
      </c>
      <c r="F103" s="6" t="s">
        <v>178</v>
      </c>
      <c r="G103" s="6">
        <v>50.61</v>
      </c>
      <c r="H103" s="6">
        <v>88</v>
      </c>
      <c r="I103" s="6">
        <v>1</v>
      </c>
      <c r="J103" s="7">
        <f>MEDIAN(租金配对!K279:K279)</f>
        <v>0.0179947171472595</v>
      </c>
      <c r="K103" s="6" t="s">
        <v>372</v>
      </c>
      <c r="L103" s="6">
        <f>MEDIAN(租金配对!L279:L279)</f>
        <v>0.0204545454545455</v>
      </c>
    </row>
    <row r="104" ht="21" customHeight="1" spans="1:12">
      <c r="A104" s="5" t="s">
        <v>15</v>
      </c>
      <c r="B104" s="6" t="s">
        <v>64</v>
      </c>
      <c r="C104" s="6" t="s">
        <v>152</v>
      </c>
      <c r="D104" s="6" t="s">
        <v>153</v>
      </c>
      <c r="E104" s="6" t="s">
        <v>373</v>
      </c>
      <c r="F104" s="6" t="s">
        <v>181</v>
      </c>
      <c r="G104" s="6">
        <v>56.44</v>
      </c>
      <c r="H104" s="6">
        <v>109</v>
      </c>
      <c r="I104" s="6">
        <v>1</v>
      </c>
      <c r="J104" s="7">
        <f>MEDIAN(租金配对!K281:K281)</f>
        <v>0.0197758624519626</v>
      </c>
      <c r="K104" s="6" t="s">
        <v>374</v>
      </c>
      <c r="L104" s="6">
        <f>MEDIAN(租金配对!L281:L281)</f>
        <v>0.0222935779816514</v>
      </c>
    </row>
    <row r="105" ht="21" customHeight="1" spans="1:12">
      <c r="A105" s="5" t="s">
        <v>15</v>
      </c>
      <c r="B105" s="6" t="s">
        <v>64</v>
      </c>
      <c r="C105" s="6" t="s">
        <v>152</v>
      </c>
      <c r="D105" s="6" t="s">
        <v>153</v>
      </c>
      <c r="E105" s="6" t="s">
        <v>375</v>
      </c>
      <c r="F105" s="6" t="s">
        <v>178</v>
      </c>
      <c r="G105" s="6">
        <v>44.39</v>
      </c>
      <c r="H105" s="6">
        <v>95</v>
      </c>
      <c r="I105" s="6">
        <v>3</v>
      </c>
      <c r="J105" s="7">
        <f>MEDIAN(租金配对!K291:K293)</f>
        <v>0.0195934752134574</v>
      </c>
      <c r="K105" s="6" t="s">
        <v>376</v>
      </c>
      <c r="L105" s="6">
        <f>MEDIAN(租金配对!L291:L293)</f>
        <v>0.0221052631578947</v>
      </c>
    </row>
    <row r="106" ht="21" customHeight="1" spans="1:12">
      <c r="A106" s="5" t="s">
        <v>15</v>
      </c>
      <c r="B106" s="6" t="s">
        <v>64</v>
      </c>
      <c r="C106" s="6" t="s">
        <v>152</v>
      </c>
      <c r="D106" s="6" t="s">
        <v>153</v>
      </c>
      <c r="E106" s="6" t="s">
        <v>377</v>
      </c>
      <c r="F106" s="6" t="s">
        <v>181</v>
      </c>
      <c r="G106" s="6">
        <v>45.2</v>
      </c>
      <c r="H106" s="6">
        <v>86</v>
      </c>
      <c r="I106" s="6">
        <v>3</v>
      </c>
      <c r="J106" s="7">
        <f>MEDIAN(租金配对!K282:K284)</f>
        <v>0.0218339996621431</v>
      </c>
      <c r="K106" s="6" t="s">
        <v>378</v>
      </c>
      <c r="L106" s="6">
        <f>MEDIAN(租金配对!L282:L284)</f>
        <v>0.0244186046511628</v>
      </c>
    </row>
    <row r="107" ht="21" customHeight="1" spans="1:12">
      <c r="A107" s="5" t="s">
        <v>15</v>
      </c>
      <c r="B107" s="6" t="s">
        <v>64</v>
      </c>
      <c r="C107" s="6" t="s">
        <v>152</v>
      </c>
      <c r="D107" s="6" t="s">
        <v>153</v>
      </c>
      <c r="E107" s="6" t="s">
        <v>379</v>
      </c>
      <c r="F107" s="6" t="s">
        <v>178</v>
      </c>
      <c r="G107" s="6">
        <v>46.67</v>
      </c>
      <c r="H107" s="6">
        <v>92</v>
      </c>
      <c r="I107" s="6">
        <v>3</v>
      </c>
      <c r="J107" s="7">
        <f>MEDIAN(租金配对!K288:K290)</f>
        <v>0.0202916096431203</v>
      </c>
      <c r="K107" s="6" t="s">
        <v>380</v>
      </c>
      <c r="L107" s="6">
        <f>MEDIAN(租金配对!L288:L290)</f>
        <v>0.0228260869565217</v>
      </c>
    </row>
    <row r="108" ht="21" customHeight="1" spans="1:12">
      <c r="A108" s="5" t="s">
        <v>15</v>
      </c>
      <c r="B108" s="6" t="s">
        <v>64</v>
      </c>
      <c r="C108" s="6" t="s">
        <v>152</v>
      </c>
      <c r="D108" s="6" t="s">
        <v>153</v>
      </c>
      <c r="E108" s="6" t="s">
        <v>381</v>
      </c>
      <c r="F108" s="6" t="s">
        <v>181</v>
      </c>
      <c r="G108" s="6">
        <v>46.8</v>
      </c>
      <c r="H108" s="6">
        <v>91.8</v>
      </c>
      <c r="I108" s="6">
        <v>3</v>
      </c>
      <c r="J108" s="7">
        <f>MEDIAN(租金配对!K285:K287)</f>
        <v>0.0203397743278102</v>
      </c>
      <c r="K108" s="6" t="s">
        <v>382</v>
      </c>
      <c r="L108" s="6">
        <f>MEDIAN(租金配对!L285:L287)</f>
        <v>0.0228758169934641</v>
      </c>
    </row>
    <row r="109" ht="21" customHeight="1" spans="1:12">
      <c r="A109" s="5" t="s">
        <v>15</v>
      </c>
      <c r="B109" s="6" t="s">
        <v>64</v>
      </c>
      <c r="C109" s="6" t="s">
        <v>152</v>
      </c>
      <c r="D109" s="6" t="s">
        <v>153</v>
      </c>
      <c r="E109" s="6" t="s">
        <v>383</v>
      </c>
      <c r="F109" s="6" t="s">
        <v>181</v>
      </c>
      <c r="G109" s="6">
        <v>42.57</v>
      </c>
      <c r="H109" s="6">
        <v>108</v>
      </c>
      <c r="I109" s="6">
        <v>3</v>
      </c>
      <c r="J109" s="7">
        <f>MEDIAN(租金配对!K294:K296)</f>
        <v>0.0170164110842077</v>
      </c>
      <c r="K109" s="6" t="s">
        <v>384</v>
      </c>
      <c r="L109" s="6">
        <f>MEDIAN(租金配对!L294:L296)</f>
        <v>0.0194444444444444</v>
      </c>
    </row>
    <row r="110" ht="21" customHeight="1" spans="1:12">
      <c r="A110" s="5" t="s">
        <v>15</v>
      </c>
      <c r="B110" s="6" t="s">
        <v>64</v>
      </c>
      <c r="C110" s="6" t="s">
        <v>152</v>
      </c>
      <c r="D110" s="6" t="s">
        <v>155</v>
      </c>
      <c r="E110" s="6" t="s">
        <v>385</v>
      </c>
      <c r="F110" s="6" t="s">
        <v>178</v>
      </c>
      <c r="G110" s="6">
        <v>42.57</v>
      </c>
      <c r="H110" s="6">
        <v>76</v>
      </c>
      <c r="I110" s="6">
        <v>1</v>
      </c>
      <c r="J110" s="7">
        <f>MEDIAN(租金配对!K299:K299)</f>
        <v>0.0236714668025997</v>
      </c>
      <c r="K110" s="6" t="s">
        <v>386</v>
      </c>
      <c r="L110" s="6">
        <f>MEDIAN(租金配对!L299:L299)</f>
        <v>0.0263157894736842</v>
      </c>
    </row>
    <row r="111" ht="21" customHeight="1" spans="1:12">
      <c r="A111" s="5" t="s">
        <v>15</v>
      </c>
      <c r="B111" s="6" t="s">
        <v>64</v>
      </c>
      <c r="C111" s="6" t="s">
        <v>152</v>
      </c>
      <c r="D111" s="6" t="s">
        <v>155</v>
      </c>
      <c r="E111" s="6" t="s">
        <v>387</v>
      </c>
      <c r="F111" s="6" t="s">
        <v>178</v>
      </c>
      <c r="G111" s="6">
        <v>56.46</v>
      </c>
      <c r="H111" s="6">
        <v>118</v>
      </c>
      <c r="I111" s="6">
        <v>1</v>
      </c>
      <c r="J111" s="7">
        <f>MEDIAN(租金配对!K298:K298)</f>
        <v>0.0145996634792958</v>
      </c>
      <c r="K111" s="6" t="s">
        <v>388</v>
      </c>
      <c r="L111" s="6">
        <f>MEDIAN(租金配对!L298:L298)</f>
        <v>0.0169491525423729</v>
      </c>
    </row>
    <row r="112" ht="21" customHeight="1" spans="1:12">
      <c r="A112" s="5" t="s">
        <v>15</v>
      </c>
      <c r="B112" s="6" t="s">
        <v>64</v>
      </c>
      <c r="C112" s="6" t="s">
        <v>152</v>
      </c>
      <c r="D112" s="6" t="s">
        <v>155</v>
      </c>
      <c r="E112" s="6" t="s">
        <v>389</v>
      </c>
      <c r="F112" s="6" t="s">
        <v>178</v>
      </c>
      <c r="G112" s="6">
        <v>56.14</v>
      </c>
      <c r="H112" s="6">
        <v>78</v>
      </c>
      <c r="I112" s="6">
        <v>1</v>
      </c>
      <c r="J112" s="7">
        <f>MEDIAN(租金配对!K297:K297)</f>
        <v>0.0230179425094679</v>
      </c>
      <c r="K112" s="6" t="s">
        <v>390</v>
      </c>
      <c r="L112" s="6">
        <f>MEDIAN(租金配对!L297:L297)</f>
        <v>0.0256410256410256</v>
      </c>
    </row>
    <row r="113" ht="21" customHeight="1" spans="1:12">
      <c r="A113" s="5" t="s">
        <v>15</v>
      </c>
      <c r="B113" s="6" t="s">
        <v>64</v>
      </c>
      <c r="C113" s="6" t="s">
        <v>159</v>
      </c>
      <c r="D113" s="6" t="s">
        <v>160</v>
      </c>
      <c r="E113" s="6" t="s">
        <v>391</v>
      </c>
      <c r="F113" s="6" t="s">
        <v>181</v>
      </c>
      <c r="G113" s="6">
        <v>29.44</v>
      </c>
      <c r="H113" s="6">
        <v>94</v>
      </c>
      <c r="I113" s="6">
        <v>0</v>
      </c>
      <c r="J113" s="7"/>
      <c r="K113" s="6" t="s">
        <v>392</v>
      </c>
      <c r="L113" s="6"/>
    </row>
    <row r="114" ht="21" customHeight="1" spans="1:12">
      <c r="A114" s="5" t="s">
        <v>15</v>
      </c>
      <c r="B114" s="6" t="s">
        <v>64</v>
      </c>
      <c r="C114" s="6" t="s">
        <v>159</v>
      </c>
      <c r="D114" s="6" t="s">
        <v>160</v>
      </c>
      <c r="E114" s="6" t="s">
        <v>393</v>
      </c>
      <c r="F114" s="6" t="s">
        <v>178</v>
      </c>
      <c r="G114" s="6">
        <v>37.82</v>
      </c>
      <c r="H114" s="6">
        <v>95</v>
      </c>
      <c r="I114" s="6">
        <v>1</v>
      </c>
      <c r="J114" s="7">
        <f>MEDIAN(租金配对!K276:K276)</f>
        <v>0.0165349815216006</v>
      </c>
      <c r="K114" s="6" t="s">
        <v>394</v>
      </c>
      <c r="L114" s="6">
        <f>MEDIAN(租金配对!L276:L276)</f>
        <v>0.0189473684210526</v>
      </c>
    </row>
    <row r="115" ht="21" customHeight="1" spans="1:12">
      <c r="A115" s="5" t="s">
        <v>15</v>
      </c>
      <c r="B115" s="6" t="s">
        <v>64</v>
      </c>
      <c r="C115" s="6" t="s">
        <v>159</v>
      </c>
      <c r="D115" s="6" t="s">
        <v>160</v>
      </c>
      <c r="E115" s="6" t="s">
        <v>395</v>
      </c>
      <c r="F115" s="6" t="s">
        <v>181</v>
      </c>
      <c r="G115" s="6">
        <v>28.6</v>
      </c>
      <c r="H115" s="6">
        <v>81</v>
      </c>
      <c r="I115" s="6">
        <v>0</v>
      </c>
      <c r="J115" s="7"/>
      <c r="K115" s="6" t="s">
        <v>396</v>
      </c>
      <c r="L115" s="6"/>
    </row>
    <row r="116" ht="21" customHeight="1" spans="1:12">
      <c r="A116" s="5" t="s">
        <v>15</v>
      </c>
      <c r="B116" s="6" t="s">
        <v>64</v>
      </c>
      <c r="C116" s="6" t="s">
        <v>159</v>
      </c>
      <c r="D116" s="6" t="s">
        <v>160</v>
      </c>
      <c r="E116" s="6" t="s">
        <v>397</v>
      </c>
      <c r="F116" s="6" t="s">
        <v>178</v>
      </c>
      <c r="G116" s="6">
        <v>27.66</v>
      </c>
      <c r="H116" s="6">
        <v>74.8</v>
      </c>
      <c r="I116" s="6">
        <v>0</v>
      </c>
      <c r="J116" s="7"/>
      <c r="K116" s="6" t="s">
        <v>398</v>
      </c>
      <c r="L116" s="6"/>
    </row>
    <row r="117" ht="21" customHeight="1" spans="1:12">
      <c r="A117" s="5" t="s">
        <v>15</v>
      </c>
      <c r="B117" s="6" t="s">
        <v>64</v>
      </c>
      <c r="C117" s="6" t="s">
        <v>159</v>
      </c>
      <c r="D117" s="6" t="s">
        <v>153</v>
      </c>
      <c r="E117" s="6" t="s">
        <v>399</v>
      </c>
      <c r="F117" s="6" t="s">
        <v>181</v>
      </c>
      <c r="G117" s="6">
        <v>36.58</v>
      </c>
      <c r="H117" s="6">
        <v>103</v>
      </c>
      <c r="I117" s="6">
        <v>1</v>
      </c>
      <c r="J117" s="7">
        <f>MEDIAN(租金配对!K278:K278)</f>
        <v>0.0132290368838007</v>
      </c>
      <c r="K117" s="6" t="s">
        <v>400</v>
      </c>
      <c r="L117" s="6">
        <f>MEDIAN(租金配对!L278:L278)</f>
        <v>0.0155339805825243</v>
      </c>
    </row>
    <row r="118" ht="21" customHeight="1" spans="1:12">
      <c r="A118" s="5" t="s">
        <v>15</v>
      </c>
      <c r="B118" s="6" t="s">
        <v>64</v>
      </c>
      <c r="C118" s="6" t="s">
        <v>159</v>
      </c>
      <c r="D118" s="6" t="s">
        <v>153</v>
      </c>
      <c r="E118" s="6" t="s">
        <v>401</v>
      </c>
      <c r="F118" s="6" t="s">
        <v>181</v>
      </c>
      <c r="G118" s="6">
        <v>36.58</v>
      </c>
      <c r="H118" s="6">
        <v>88</v>
      </c>
      <c r="I118" s="6">
        <v>1</v>
      </c>
      <c r="J118" s="7">
        <f>MEDIAN(租金配对!K277:K277)</f>
        <v>0.0157935285053929</v>
      </c>
      <c r="K118" s="6" t="s">
        <v>402</v>
      </c>
      <c r="L118" s="6">
        <f>MEDIAN(租金配对!L277:L277)</f>
        <v>0.0181818181818182</v>
      </c>
    </row>
    <row r="119" ht="21" customHeight="1" spans="1:12">
      <c r="A119" s="5" t="s">
        <v>15</v>
      </c>
      <c r="B119" s="6" t="s">
        <v>70</v>
      </c>
      <c r="C119" s="6" t="s">
        <v>152</v>
      </c>
      <c r="D119" s="6" t="s">
        <v>153</v>
      </c>
      <c r="E119" s="6" t="s">
        <v>403</v>
      </c>
      <c r="F119" s="6" t="s">
        <v>178</v>
      </c>
      <c r="G119" s="6">
        <v>52.78</v>
      </c>
      <c r="H119" s="6">
        <v>99</v>
      </c>
      <c r="I119" s="6">
        <v>0</v>
      </c>
      <c r="J119" s="7"/>
      <c r="K119" s="6" t="s">
        <v>404</v>
      </c>
      <c r="L119" s="6"/>
    </row>
    <row r="120" ht="21" customHeight="1" spans="1:12">
      <c r="A120" s="5" t="s">
        <v>15</v>
      </c>
      <c r="B120" s="6" t="s">
        <v>55</v>
      </c>
      <c r="C120" s="6" t="s">
        <v>152</v>
      </c>
      <c r="D120" s="6" t="s">
        <v>160</v>
      </c>
      <c r="E120" s="6" t="s">
        <v>405</v>
      </c>
      <c r="F120" s="6" t="s">
        <v>178</v>
      </c>
      <c r="G120" s="6">
        <v>41.17</v>
      </c>
      <c r="H120" s="6">
        <v>75</v>
      </c>
      <c r="I120" s="6">
        <v>2</v>
      </c>
      <c r="J120" s="7">
        <f>MEDIAN(租金配对!K354:K355)</f>
        <v>0.025044390637611</v>
      </c>
      <c r="K120" s="6" t="s">
        <v>406</v>
      </c>
      <c r="L120" s="6">
        <f>MEDIAN(租金配对!L354:L355)</f>
        <v>0.0277333333333333</v>
      </c>
    </row>
    <row r="121" ht="21" customHeight="1" spans="1:12">
      <c r="A121" s="5" t="s">
        <v>15</v>
      </c>
      <c r="B121" s="6" t="s">
        <v>55</v>
      </c>
      <c r="C121" s="6" t="s">
        <v>152</v>
      </c>
      <c r="D121" s="6" t="s">
        <v>160</v>
      </c>
      <c r="E121" s="6" t="s">
        <v>407</v>
      </c>
      <c r="F121" s="6" t="s">
        <v>178</v>
      </c>
      <c r="G121" s="6">
        <v>41.37</v>
      </c>
      <c r="H121" s="6">
        <v>74.5</v>
      </c>
      <c r="I121" s="6">
        <v>2</v>
      </c>
      <c r="J121" s="7">
        <f>MEDIAN(租金配对!K350:K351)</f>
        <v>0.0252246615857127</v>
      </c>
      <c r="K121" s="6" t="s">
        <v>408</v>
      </c>
      <c r="L121" s="6">
        <f>MEDIAN(租金配对!L350:L351)</f>
        <v>0.0279194630872483</v>
      </c>
    </row>
    <row r="122" ht="21" customHeight="1" spans="1:12">
      <c r="A122" s="5" t="s">
        <v>15</v>
      </c>
      <c r="B122" s="6" t="s">
        <v>55</v>
      </c>
      <c r="C122" s="6" t="s">
        <v>152</v>
      </c>
      <c r="D122" s="6" t="s">
        <v>160</v>
      </c>
      <c r="E122" s="6" t="s">
        <v>409</v>
      </c>
      <c r="F122" s="6" t="s">
        <v>178</v>
      </c>
      <c r="G122" s="6">
        <v>41.37</v>
      </c>
      <c r="H122" s="6">
        <v>71</v>
      </c>
      <c r="I122" s="6">
        <v>2</v>
      </c>
      <c r="J122" s="7">
        <f>MEDIAN(租金配对!K352:K353)</f>
        <v>0.0265576509906899</v>
      </c>
      <c r="K122" s="6" t="s">
        <v>410</v>
      </c>
      <c r="L122" s="6">
        <f>MEDIAN(租金配对!L352:L353)</f>
        <v>0.0292957746478873</v>
      </c>
    </row>
    <row r="123" ht="21" customHeight="1" spans="1:12">
      <c r="A123" s="5" t="s">
        <v>15</v>
      </c>
      <c r="B123" s="6" t="s">
        <v>55</v>
      </c>
      <c r="C123" s="6" t="s">
        <v>152</v>
      </c>
      <c r="D123" s="6" t="s">
        <v>160</v>
      </c>
      <c r="E123" s="6" t="s">
        <v>411</v>
      </c>
      <c r="F123" s="6" t="s">
        <v>178</v>
      </c>
      <c r="G123" s="6">
        <v>41.95</v>
      </c>
      <c r="H123" s="6">
        <v>73.5</v>
      </c>
      <c r="I123" s="6">
        <v>2</v>
      </c>
      <c r="J123" s="7">
        <f>MEDIAN(租金配对!K348:K349)</f>
        <v>0.0255925614797977</v>
      </c>
      <c r="K123" s="6" t="s">
        <v>412</v>
      </c>
      <c r="L123" s="6">
        <f>MEDIAN(租金配对!L348:L349)</f>
        <v>0.0282993197278912</v>
      </c>
    </row>
    <row r="124" ht="21" customHeight="1" spans="1:12">
      <c r="A124" s="5" t="s">
        <v>15</v>
      </c>
      <c r="B124" s="6" t="s">
        <v>55</v>
      </c>
      <c r="C124" s="6" t="s">
        <v>152</v>
      </c>
      <c r="D124" s="6" t="s">
        <v>153</v>
      </c>
      <c r="E124" s="6" t="s">
        <v>413</v>
      </c>
      <c r="F124" s="6" t="s">
        <v>181</v>
      </c>
      <c r="G124" s="6">
        <v>50.19</v>
      </c>
      <c r="H124" s="6">
        <v>115</v>
      </c>
      <c r="I124" s="6">
        <v>1</v>
      </c>
      <c r="J124" s="7">
        <f>MEDIAN(租金配对!K357:K357)</f>
        <v>0.0167122855037372</v>
      </c>
      <c r="K124" s="6" t="s">
        <v>414</v>
      </c>
      <c r="L124" s="6">
        <f>MEDIAN(租金配对!L357:L357)</f>
        <v>0.0191304347826087</v>
      </c>
    </row>
    <row r="125" ht="21" customHeight="1" spans="1:12">
      <c r="A125" s="5" t="s">
        <v>15</v>
      </c>
      <c r="B125" s="6" t="s">
        <v>55</v>
      </c>
      <c r="C125" s="6" t="s">
        <v>152</v>
      </c>
      <c r="D125" s="6" t="s">
        <v>153</v>
      </c>
      <c r="E125" s="6" t="s">
        <v>415</v>
      </c>
      <c r="F125" s="6" t="s">
        <v>178</v>
      </c>
      <c r="G125" s="6">
        <v>50.19</v>
      </c>
      <c r="H125" s="6">
        <v>89</v>
      </c>
      <c r="I125" s="6">
        <v>1</v>
      </c>
      <c r="J125" s="7">
        <f>MEDIAN(租金配对!K356:K356)</f>
        <v>0.0221250374078407</v>
      </c>
      <c r="K125" s="6" t="s">
        <v>416</v>
      </c>
      <c r="L125" s="6">
        <f>MEDIAN(租金配对!L356:L356)</f>
        <v>0.0247191011235955</v>
      </c>
    </row>
    <row r="126" ht="21" customHeight="1" spans="1:12">
      <c r="A126" s="5" t="s">
        <v>15</v>
      </c>
      <c r="B126" s="6" t="s">
        <v>55</v>
      </c>
      <c r="C126" s="6" t="s">
        <v>152</v>
      </c>
      <c r="D126" s="6" t="s">
        <v>153</v>
      </c>
      <c r="E126" s="6" t="s">
        <v>417</v>
      </c>
      <c r="F126" s="6" t="s">
        <v>181</v>
      </c>
      <c r="G126" s="6">
        <v>41.37</v>
      </c>
      <c r="H126" s="6">
        <v>71.8</v>
      </c>
      <c r="I126" s="6">
        <v>0</v>
      </c>
      <c r="J126" s="7"/>
      <c r="K126" s="6" t="s">
        <v>418</v>
      </c>
      <c r="L126" s="6"/>
    </row>
    <row r="127" ht="21" customHeight="1" spans="1:12">
      <c r="A127" s="5" t="s">
        <v>15</v>
      </c>
      <c r="B127" s="6" t="s">
        <v>55</v>
      </c>
      <c r="C127" s="6" t="s">
        <v>157</v>
      </c>
      <c r="D127" s="6" t="s">
        <v>153</v>
      </c>
      <c r="E127" s="6" t="s">
        <v>419</v>
      </c>
      <c r="F127" s="6" t="s">
        <v>178</v>
      </c>
      <c r="G127" s="6">
        <v>63.31</v>
      </c>
      <c r="H127" s="6">
        <v>110</v>
      </c>
      <c r="I127" s="6">
        <v>1</v>
      </c>
      <c r="J127" s="7">
        <f>MEDIAN(租金配对!K358:K358)</f>
        <v>0.0245982830728593</v>
      </c>
      <c r="K127" s="6" t="s">
        <v>420</v>
      </c>
      <c r="L127" s="6">
        <f>MEDIAN(租金配对!L358:L358)</f>
        <v>0.0272727272727273</v>
      </c>
    </row>
    <row r="128" ht="21" customHeight="1" spans="1:12">
      <c r="A128" s="5" t="s">
        <v>15</v>
      </c>
      <c r="B128" s="6" t="s">
        <v>55</v>
      </c>
      <c r="C128" s="6" t="s">
        <v>159</v>
      </c>
      <c r="D128" s="6" t="s">
        <v>160</v>
      </c>
      <c r="E128" s="6" t="s">
        <v>421</v>
      </c>
      <c r="F128" s="6" t="s">
        <v>181</v>
      </c>
      <c r="G128" s="6">
        <v>39.67</v>
      </c>
      <c r="H128" s="6">
        <v>70</v>
      </c>
      <c r="I128" s="6">
        <v>3</v>
      </c>
      <c r="J128" s="7">
        <f>MEDIAN(租金配对!K318:K320)</f>
        <v>0.025856105153926</v>
      </c>
      <c r="K128" s="6" t="s">
        <v>422</v>
      </c>
      <c r="L128" s="6">
        <f>MEDIAN(租金配对!L318:L320)</f>
        <v>0.0285714285714286</v>
      </c>
    </row>
    <row r="129" ht="21" customHeight="1" spans="1:12">
      <c r="A129" s="5" t="s">
        <v>15</v>
      </c>
      <c r="B129" s="6" t="s">
        <v>55</v>
      </c>
      <c r="C129" s="6" t="s">
        <v>159</v>
      </c>
      <c r="D129" s="6" t="s">
        <v>160</v>
      </c>
      <c r="E129" s="6" t="s">
        <v>423</v>
      </c>
      <c r="F129" s="6" t="s">
        <v>181</v>
      </c>
      <c r="G129" s="6">
        <v>39.67</v>
      </c>
      <c r="H129" s="6">
        <v>78</v>
      </c>
      <c r="I129" s="6">
        <v>3</v>
      </c>
      <c r="J129" s="7">
        <f>MEDIAN(租金配对!K338:K340)</f>
        <v>0.0230179425094679</v>
      </c>
      <c r="K129" s="6" t="s">
        <v>424</v>
      </c>
      <c r="L129" s="6">
        <f>MEDIAN(租金配对!L338:L340)</f>
        <v>0.0256410256410256</v>
      </c>
    </row>
    <row r="130" ht="21" customHeight="1" spans="1:12">
      <c r="A130" s="5" t="s">
        <v>15</v>
      </c>
      <c r="B130" s="6" t="s">
        <v>55</v>
      </c>
      <c r="C130" s="6" t="s">
        <v>159</v>
      </c>
      <c r="D130" s="6" t="s">
        <v>160</v>
      </c>
      <c r="E130" s="6" t="s">
        <v>425</v>
      </c>
      <c r="F130" s="6" t="s">
        <v>178</v>
      </c>
      <c r="G130" s="6">
        <v>39.67</v>
      </c>
      <c r="H130" s="6">
        <v>72</v>
      </c>
      <c r="I130" s="6">
        <v>3</v>
      </c>
      <c r="J130" s="7">
        <f>MEDIAN(租金配对!K341:K343)</f>
        <v>0.0250874361043853</v>
      </c>
      <c r="K130" s="6" t="s">
        <v>426</v>
      </c>
      <c r="L130" s="6">
        <f>MEDIAN(租金配对!L341:L343)</f>
        <v>0.0277777777777778</v>
      </c>
    </row>
    <row r="131" ht="21" customHeight="1" spans="1:12">
      <c r="A131" s="5" t="s">
        <v>15</v>
      </c>
      <c r="B131" s="6" t="s">
        <v>55</v>
      </c>
      <c r="C131" s="6" t="s">
        <v>159</v>
      </c>
      <c r="D131" s="6" t="s">
        <v>160</v>
      </c>
      <c r="E131" s="6" t="s">
        <v>427</v>
      </c>
      <c r="F131" s="6" t="s">
        <v>178</v>
      </c>
      <c r="G131" s="6">
        <v>33.67</v>
      </c>
      <c r="H131" s="6">
        <v>67</v>
      </c>
      <c r="I131" s="6">
        <v>1</v>
      </c>
      <c r="J131" s="7">
        <f>MEDIAN(租金配对!K333:K333)</f>
        <v>0.0270951537710961</v>
      </c>
      <c r="K131" s="6" t="s">
        <v>428</v>
      </c>
      <c r="L131" s="6">
        <f>MEDIAN(租金配对!L333:L333)</f>
        <v>0.0298507462686567</v>
      </c>
    </row>
    <row r="132" ht="21" customHeight="1" spans="1:12">
      <c r="A132" s="5" t="s">
        <v>15</v>
      </c>
      <c r="B132" s="6" t="s">
        <v>55</v>
      </c>
      <c r="C132" s="6" t="s">
        <v>159</v>
      </c>
      <c r="D132" s="6" t="s">
        <v>160</v>
      </c>
      <c r="E132" s="6" t="s">
        <v>429</v>
      </c>
      <c r="F132" s="6" t="s">
        <v>178</v>
      </c>
      <c r="G132" s="6">
        <v>39.67</v>
      </c>
      <c r="H132" s="6">
        <v>75</v>
      </c>
      <c r="I132" s="6">
        <v>3</v>
      </c>
      <c r="J132" s="7">
        <f>MEDIAN(租金配对!K309:K311)</f>
        <v>0.0240112994350282</v>
      </c>
      <c r="K132" s="6" t="s">
        <v>430</v>
      </c>
      <c r="L132" s="6">
        <f>MEDIAN(租金配对!L309:L311)</f>
        <v>0.0266666666666667</v>
      </c>
    </row>
    <row r="133" ht="21" customHeight="1" spans="1:12">
      <c r="A133" s="5" t="s">
        <v>15</v>
      </c>
      <c r="B133" s="6" t="s">
        <v>55</v>
      </c>
      <c r="C133" s="6" t="s">
        <v>159</v>
      </c>
      <c r="D133" s="6" t="s">
        <v>160</v>
      </c>
      <c r="E133" s="6" t="s">
        <v>431</v>
      </c>
      <c r="F133" s="6" t="s">
        <v>181</v>
      </c>
      <c r="G133" s="6">
        <v>39.67</v>
      </c>
      <c r="H133" s="6">
        <v>68</v>
      </c>
      <c r="I133" s="6">
        <v>3</v>
      </c>
      <c r="J133" s="7">
        <f>MEDIAN(租金配对!K315:K317)</f>
        <v>0.0266699900299103</v>
      </c>
      <c r="K133" s="6" t="s">
        <v>432</v>
      </c>
      <c r="L133" s="6">
        <f>MEDIAN(租金配对!L315:L317)</f>
        <v>0.0294117647058824</v>
      </c>
    </row>
    <row r="134" ht="21" customHeight="1" spans="1:12">
      <c r="A134" s="5" t="s">
        <v>15</v>
      </c>
      <c r="B134" s="6" t="s">
        <v>55</v>
      </c>
      <c r="C134" s="6" t="s">
        <v>159</v>
      </c>
      <c r="D134" s="6" t="s">
        <v>160</v>
      </c>
      <c r="E134" s="6" t="s">
        <v>433</v>
      </c>
      <c r="F134" s="6" t="s">
        <v>178</v>
      </c>
      <c r="G134" s="6">
        <v>39.67</v>
      </c>
      <c r="H134" s="6">
        <v>72</v>
      </c>
      <c r="I134" s="6">
        <v>3</v>
      </c>
      <c r="J134" s="7">
        <f>MEDIAN(租金配对!K303:K305)</f>
        <v>0.0250874361043853</v>
      </c>
      <c r="K134" s="6" t="s">
        <v>434</v>
      </c>
      <c r="L134" s="6">
        <f>MEDIAN(租金配对!L303:L305)</f>
        <v>0.0277777777777778</v>
      </c>
    </row>
    <row r="135" ht="21" customHeight="1" spans="1:12">
      <c r="A135" s="5" t="s">
        <v>15</v>
      </c>
      <c r="B135" s="6" t="s">
        <v>55</v>
      </c>
      <c r="C135" s="6" t="s">
        <v>159</v>
      </c>
      <c r="D135" s="6" t="s">
        <v>160</v>
      </c>
      <c r="E135" s="6" t="s">
        <v>435</v>
      </c>
      <c r="F135" s="6" t="s">
        <v>178</v>
      </c>
      <c r="G135" s="6">
        <v>39.67</v>
      </c>
      <c r="H135" s="6">
        <v>70</v>
      </c>
      <c r="I135" s="6">
        <v>3</v>
      </c>
      <c r="J135" s="7">
        <f>MEDIAN(租金配对!K306:K308)</f>
        <v>0.025856105153926</v>
      </c>
      <c r="K135" s="6" t="s">
        <v>436</v>
      </c>
      <c r="L135" s="6">
        <f>MEDIAN(租金配对!L306:L308)</f>
        <v>0.0285714285714286</v>
      </c>
    </row>
    <row r="136" ht="21" customHeight="1" spans="1:12">
      <c r="A136" s="5" t="s">
        <v>15</v>
      </c>
      <c r="B136" s="6" t="s">
        <v>55</v>
      </c>
      <c r="C136" s="6" t="s">
        <v>159</v>
      </c>
      <c r="D136" s="6" t="s">
        <v>160</v>
      </c>
      <c r="E136" s="6" t="s">
        <v>437</v>
      </c>
      <c r="F136" s="6" t="s">
        <v>178</v>
      </c>
      <c r="G136" s="6">
        <v>39.67</v>
      </c>
      <c r="H136" s="6">
        <v>78</v>
      </c>
      <c r="I136" s="6">
        <v>3</v>
      </c>
      <c r="J136" s="7">
        <f>MEDIAN(租金配对!K312:K314)</f>
        <v>0.0230179425094679</v>
      </c>
      <c r="K136" s="6" t="s">
        <v>438</v>
      </c>
      <c r="L136" s="6">
        <f>MEDIAN(租金配对!L312:L314)</f>
        <v>0.0256410256410256</v>
      </c>
    </row>
    <row r="137" ht="21" customHeight="1" spans="1:12">
      <c r="A137" s="5" t="s">
        <v>15</v>
      </c>
      <c r="B137" s="6" t="s">
        <v>55</v>
      </c>
      <c r="C137" s="6" t="s">
        <v>159</v>
      </c>
      <c r="D137" s="6" t="s">
        <v>160</v>
      </c>
      <c r="E137" s="6" t="s">
        <v>439</v>
      </c>
      <c r="F137" s="6" t="s">
        <v>178</v>
      </c>
      <c r="G137" s="6">
        <v>33.67</v>
      </c>
      <c r="H137" s="6">
        <v>65</v>
      </c>
      <c r="I137" s="6">
        <v>1</v>
      </c>
      <c r="J137" s="7">
        <f>MEDIAN(租金配对!K334:K334)</f>
        <v>0.0279847271372695</v>
      </c>
      <c r="K137" s="6" t="s">
        <v>440</v>
      </c>
      <c r="L137" s="6">
        <f>MEDIAN(租金配对!L334:L334)</f>
        <v>0.0307692307692308</v>
      </c>
    </row>
    <row r="138" ht="21" customHeight="1" spans="1:12">
      <c r="A138" s="5" t="s">
        <v>15</v>
      </c>
      <c r="B138" s="6" t="s">
        <v>55</v>
      </c>
      <c r="C138" s="6" t="s">
        <v>159</v>
      </c>
      <c r="D138" s="6" t="s">
        <v>160</v>
      </c>
      <c r="E138" s="6" t="s">
        <v>441</v>
      </c>
      <c r="F138" s="6" t="s">
        <v>178</v>
      </c>
      <c r="G138" s="6">
        <v>39.67</v>
      </c>
      <c r="H138" s="6">
        <v>69</v>
      </c>
      <c r="I138" s="6">
        <v>3</v>
      </c>
      <c r="J138" s="7">
        <f>MEDIAN(租金配对!K330:K332)</f>
        <v>0.0262571498754255</v>
      </c>
      <c r="K138" s="6" t="s">
        <v>442</v>
      </c>
      <c r="L138" s="6">
        <f>MEDIAN(租金配对!L330:L332)</f>
        <v>0.0289855072463768</v>
      </c>
    </row>
    <row r="139" ht="21" customHeight="1" spans="1:12">
      <c r="A139" s="5" t="s">
        <v>15</v>
      </c>
      <c r="B139" s="6" t="s">
        <v>55</v>
      </c>
      <c r="C139" s="6" t="s">
        <v>159</v>
      </c>
      <c r="D139" s="6" t="s">
        <v>160</v>
      </c>
      <c r="E139" s="6" t="s">
        <v>443</v>
      </c>
      <c r="F139" s="6" t="s">
        <v>178</v>
      </c>
      <c r="G139" s="6">
        <v>38.58</v>
      </c>
      <c r="H139" s="6">
        <v>64</v>
      </c>
      <c r="I139" s="6">
        <v>3</v>
      </c>
      <c r="J139" s="7">
        <f>MEDIAN(租金配对!K300:K302)</f>
        <v>0.0284503631961259</v>
      </c>
      <c r="K139" s="6" t="s">
        <v>444</v>
      </c>
      <c r="L139" s="6">
        <f>MEDIAN(租金配对!L300:L302)</f>
        <v>0.03125</v>
      </c>
    </row>
    <row r="140" ht="21" customHeight="1" spans="1:12">
      <c r="A140" s="5" t="s">
        <v>15</v>
      </c>
      <c r="B140" s="6" t="s">
        <v>55</v>
      </c>
      <c r="C140" s="6" t="s">
        <v>159</v>
      </c>
      <c r="D140" s="6" t="s">
        <v>160</v>
      </c>
      <c r="E140" s="6" t="s">
        <v>445</v>
      </c>
      <c r="F140" s="6" t="s">
        <v>178</v>
      </c>
      <c r="G140" s="6">
        <v>39.67</v>
      </c>
      <c r="H140" s="6">
        <v>69</v>
      </c>
      <c r="I140" s="6">
        <v>3</v>
      </c>
      <c r="J140" s="7">
        <f>MEDIAN(租金配对!K327:K329)</f>
        <v>0.0262571498754255</v>
      </c>
      <c r="K140" s="6" t="s">
        <v>446</v>
      </c>
      <c r="L140" s="6">
        <f>MEDIAN(租金配对!L327:L329)</f>
        <v>0.0289855072463768</v>
      </c>
    </row>
    <row r="141" ht="21" customHeight="1" spans="1:12">
      <c r="A141" s="5" t="s">
        <v>15</v>
      </c>
      <c r="B141" s="6" t="s">
        <v>55</v>
      </c>
      <c r="C141" s="6" t="s">
        <v>159</v>
      </c>
      <c r="D141" s="6" t="s">
        <v>160</v>
      </c>
      <c r="E141" s="6" t="s">
        <v>447</v>
      </c>
      <c r="F141" s="6" t="s">
        <v>178</v>
      </c>
      <c r="G141" s="6">
        <v>39.67</v>
      </c>
      <c r="H141" s="6">
        <v>74</v>
      </c>
      <c r="I141" s="6">
        <v>3</v>
      </c>
      <c r="J141" s="7">
        <f>MEDIAN(租金配对!K321:K323)</f>
        <v>0.0243603167331981</v>
      </c>
      <c r="K141" s="6" t="s">
        <v>448</v>
      </c>
      <c r="L141" s="6">
        <f>MEDIAN(租金配对!L321:L323)</f>
        <v>0.027027027027027</v>
      </c>
    </row>
    <row r="142" ht="21" customHeight="1" spans="1:12">
      <c r="A142" s="5" t="s">
        <v>15</v>
      </c>
      <c r="B142" s="6" t="s">
        <v>55</v>
      </c>
      <c r="C142" s="6" t="s">
        <v>159</v>
      </c>
      <c r="D142" s="6" t="s">
        <v>160</v>
      </c>
      <c r="E142" s="6" t="s">
        <v>449</v>
      </c>
      <c r="F142" s="6" t="s">
        <v>178</v>
      </c>
      <c r="G142" s="6">
        <v>39.42</v>
      </c>
      <c r="H142" s="6">
        <v>72</v>
      </c>
      <c r="I142" s="6">
        <v>3</v>
      </c>
      <c r="J142" s="7">
        <f>MEDIAN(租金配对!K335:K337)</f>
        <v>0.0250874361043853</v>
      </c>
      <c r="K142" s="6" t="s">
        <v>450</v>
      </c>
      <c r="L142" s="6">
        <f>MEDIAN(租金配对!L335:L337)</f>
        <v>0.0277777777777778</v>
      </c>
    </row>
    <row r="143" ht="21" customHeight="1" spans="1:12">
      <c r="A143" s="5" t="s">
        <v>15</v>
      </c>
      <c r="B143" s="6" t="s">
        <v>55</v>
      </c>
      <c r="C143" s="6" t="s">
        <v>159</v>
      </c>
      <c r="D143" s="6" t="s">
        <v>160</v>
      </c>
      <c r="E143" s="6" t="s">
        <v>451</v>
      </c>
      <c r="F143" s="6" t="s">
        <v>178</v>
      </c>
      <c r="G143" s="6">
        <v>39.67</v>
      </c>
      <c r="H143" s="6">
        <v>65</v>
      </c>
      <c r="I143" s="6">
        <v>3</v>
      </c>
      <c r="J143" s="7">
        <f>MEDIAN(租金配对!K324:K326)</f>
        <v>0.0279847271372695</v>
      </c>
      <c r="K143" s="6" t="s">
        <v>452</v>
      </c>
      <c r="L143" s="6">
        <f>MEDIAN(租金配对!L324:L326)</f>
        <v>0.0307692307692308</v>
      </c>
    </row>
    <row r="144" ht="21" customHeight="1" spans="1:12">
      <c r="A144" s="5" t="s">
        <v>15</v>
      </c>
      <c r="B144" s="6" t="s">
        <v>55</v>
      </c>
      <c r="C144" s="6" t="s">
        <v>159</v>
      </c>
      <c r="D144" s="6" t="s">
        <v>153</v>
      </c>
      <c r="E144" s="6" t="s">
        <v>453</v>
      </c>
      <c r="F144" s="6" t="s">
        <v>181</v>
      </c>
      <c r="G144" s="6">
        <v>39.42</v>
      </c>
      <c r="H144" s="6">
        <v>69</v>
      </c>
      <c r="I144" s="6">
        <v>2</v>
      </c>
      <c r="J144" s="7">
        <f>MEDIAN(租金配对!K346:K347)</f>
        <v>0.0269589781380496</v>
      </c>
      <c r="K144" s="6" t="s">
        <v>454</v>
      </c>
      <c r="L144" s="6">
        <f>MEDIAN(租金配对!L346:L347)</f>
        <v>0.0297101449275362</v>
      </c>
    </row>
    <row r="145" ht="21" customHeight="1" spans="1:12">
      <c r="A145" s="5" t="s">
        <v>15</v>
      </c>
      <c r="B145" s="6" t="s">
        <v>55</v>
      </c>
      <c r="C145" s="6" t="s">
        <v>159</v>
      </c>
      <c r="D145" s="6" t="s">
        <v>153</v>
      </c>
      <c r="E145" s="6" t="s">
        <v>455</v>
      </c>
      <c r="F145" s="6" t="s">
        <v>181</v>
      </c>
      <c r="G145" s="6">
        <v>39.67</v>
      </c>
      <c r="H145" s="6">
        <v>79</v>
      </c>
      <c r="I145" s="6">
        <v>2</v>
      </c>
      <c r="J145" s="7">
        <f>MEDIAN(租金配对!K344:K345)</f>
        <v>0.0233165782940509</v>
      </c>
      <c r="K145" s="6" t="s">
        <v>456</v>
      </c>
      <c r="L145" s="6">
        <f>MEDIAN(租金配对!L344:L345)</f>
        <v>0.0259493670886076</v>
      </c>
    </row>
    <row r="146" ht="21" customHeight="1" spans="1:12">
      <c r="A146" s="5" t="s">
        <v>15</v>
      </c>
      <c r="B146" s="6" t="s">
        <v>67</v>
      </c>
      <c r="C146" s="6" t="s">
        <v>152</v>
      </c>
      <c r="D146" s="6" t="s">
        <v>153</v>
      </c>
      <c r="E146" s="6" t="s">
        <v>457</v>
      </c>
      <c r="F146" s="6" t="s">
        <v>178</v>
      </c>
      <c r="G146" s="6">
        <v>53.95</v>
      </c>
      <c r="H146" s="6">
        <v>110</v>
      </c>
      <c r="I146" s="6">
        <v>4</v>
      </c>
      <c r="J146" s="7">
        <f>MEDIAN(租金配对!K363:K366)</f>
        <v>0.0175544794188862</v>
      </c>
      <c r="K146" s="6" t="s">
        <v>458</v>
      </c>
      <c r="L146" s="6">
        <f>MEDIAN(租金配对!L363:L366)</f>
        <v>0.02</v>
      </c>
    </row>
    <row r="147" ht="21" customHeight="1" spans="1:12">
      <c r="A147" s="5" t="s">
        <v>15</v>
      </c>
      <c r="B147" s="6" t="s">
        <v>67</v>
      </c>
      <c r="C147" s="6" t="s">
        <v>152</v>
      </c>
      <c r="D147" s="6" t="s">
        <v>153</v>
      </c>
      <c r="E147" s="6" t="s">
        <v>459</v>
      </c>
      <c r="F147" s="6" t="s">
        <v>181</v>
      </c>
      <c r="G147" s="6">
        <v>52.38</v>
      </c>
      <c r="H147" s="6">
        <v>120</v>
      </c>
      <c r="I147" s="6">
        <v>4</v>
      </c>
      <c r="J147" s="7">
        <f>MEDIAN(租金配对!K359:K362)</f>
        <v>0.0159402744148507</v>
      </c>
      <c r="K147" s="6" t="s">
        <v>460</v>
      </c>
      <c r="L147" s="6">
        <f>MEDIAN(租金配对!L359:L362)</f>
        <v>0.0183333333333333</v>
      </c>
    </row>
    <row r="148" ht="21" customHeight="1" spans="1:12">
      <c r="A148" s="5" t="s">
        <v>15</v>
      </c>
      <c r="B148" s="6" t="s">
        <v>67</v>
      </c>
      <c r="C148" s="6" t="s">
        <v>152</v>
      </c>
      <c r="D148" s="6" t="s">
        <v>153</v>
      </c>
      <c r="E148" s="6" t="s">
        <v>461</v>
      </c>
      <c r="F148" s="6" t="s">
        <v>181</v>
      </c>
      <c r="G148" s="6">
        <v>52.23</v>
      </c>
      <c r="H148" s="6">
        <v>100</v>
      </c>
      <c r="I148" s="6">
        <v>4</v>
      </c>
      <c r="J148" s="7">
        <f>MEDIAN(租金配对!K367:K370)</f>
        <v>0.0194915254237288</v>
      </c>
      <c r="K148" s="6" t="s">
        <v>462</v>
      </c>
      <c r="L148" s="6">
        <f>MEDIAN(租金配对!L367:L370)</f>
        <v>0.022</v>
      </c>
    </row>
    <row r="149" ht="21" customHeight="1" spans="1:12">
      <c r="A149" s="5" t="s">
        <v>15</v>
      </c>
      <c r="B149" s="6" t="s">
        <v>59</v>
      </c>
      <c r="C149" s="6" t="s">
        <v>152</v>
      </c>
      <c r="D149" s="6" t="s">
        <v>153</v>
      </c>
      <c r="E149" s="6" t="s">
        <v>463</v>
      </c>
      <c r="F149" s="6" t="s">
        <v>178</v>
      </c>
      <c r="G149" s="6">
        <v>50.44</v>
      </c>
      <c r="H149" s="6">
        <v>85</v>
      </c>
      <c r="I149" s="6">
        <v>13</v>
      </c>
      <c r="J149" s="7">
        <f>MEDIAN(租金配对!K371:K383)</f>
        <v>0.0243911123771543</v>
      </c>
      <c r="K149" s="6" t="s">
        <v>464</v>
      </c>
      <c r="L149" s="6">
        <f>MEDIAN(租金配对!L371:L383)</f>
        <v>0.0270588235294118</v>
      </c>
    </row>
    <row r="150" ht="21" customHeight="1" spans="1:12">
      <c r="A150" s="5" t="s">
        <v>15</v>
      </c>
      <c r="B150" s="6" t="s">
        <v>59</v>
      </c>
      <c r="C150" s="6" t="s">
        <v>152</v>
      </c>
      <c r="D150" s="6" t="s">
        <v>153</v>
      </c>
      <c r="E150" s="6" t="s">
        <v>465</v>
      </c>
      <c r="F150" s="6" t="s">
        <v>178</v>
      </c>
      <c r="G150" s="6">
        <v>50.01</v>
      </c>
      <c r="H150" s="6">
        <v>88</v>
      </c>
      <c r="I150" s="6">
        <v>13</v>
      </c>
      <c r="J150" s="7">
        <f>MEDIAN(租金配对!K462:K474)</f>
        <v>0.023497688751926</v>
      </c>
      <c r="K150" s="6" t="s">
        <v>466</v>
      </c>
      <c r="L150" s="6">
        <f>MEDIAN(租金配对!L462:L474)</f>
        <v>0.0261363636363636</v>
      </c>
    </row>
    <row r="151" ht="21" customHeight="1" spans="1:12">
      <c r="A151" s="5" t="s">
        <v>15</v>
      </c>
      <c r="B151" s="6" t="s">
        <v>59</v>
      </c>
      <c r="C151" s="6" t="s">
        <v>152</v>
      </c>
      <c r="D151" s="6" t="s">
        <v>153</v>
      </c>
      <c r="E151" s="6" t="s">
        <v>467</v>
      </c>
      <c r="F151" s="6" t="s">
        <v>178</v>
      </c>
      <c r="G151" s="6">
        <v>50.44</v>
      </c>
      <c r="H151" s="6">
        <v>82</v>
      </c>
      <c r="I151" s="6">
        <v>13</v>
      </c>
      <c r="J151" s="7">
        <f>MEDIAN(租金配对!K397:K409)</f>
        <v>0.025349908462765</v>
      </c>
      <c r="K151" s="6" t="s">
        <v>468</v>
      </c>
      <c r="L151" s="6">
        <f>MEDIAN(租金配对!L397:L409)</f>
        <v>0.0280487804878049</v>
      </c>
    </row>
    <row r="152" ht="21" customHeight="1" spans="1:12">
      <c r="A152" s="5" t="s">
        <v>15</v>
      </c>
      <c r="B152" s="6" t="s">
        <v>59</v>
      </c>
      <c r="C152" s="6" t="s">
        <v>152</v>
      </c>
      <c r="D152" s="6" t="s">
        <v>153</v>
      </c>
      <c r="E152" s="6" t="s">
        <v>469</v>
      </c>
      <c r="F152" s="6" t="s">
        <v>178</v>
      </c>
      <c r="G152" s="6">
        <v>48.38</v>
      </c>
      <c r="H152" s="6">
        <v>120</v>
      </c>
      <c r="I152" s="6">
        <v>13</v>
      </c>
      <c r="J152" s="7">
        <f>MEDIAN(租金配对!K423:K435)</f>
        <v>0.0167473769168684</v>
      </c>
      <c r="K152" s="6" t="s">
        <v>470</v>
      </c>
      <c r="L152" s="6">
        <f>MEDIAN(租金配对!L423:L435)</f>
        <v>0.0191666666666667</v>
      </c>
    </row>
    <row r="153" ht="21" customHeight="1" spans="1:12">
      <c r="A153" s="5" t="s">
        <v>15</v>
      </c>
      <c r="B153" s="6" t="s">
        <v>59</v>
      </c>
      <c r="C153" s="6" t="s">
        <v>152</v>
      </c>
      <c r="D153" s="6" t="s">
        <v>153</v>
      </c>
      <c r="E153" s="6" t="s">
        <v>471</v>
      </c>
      <c r="F153" s="6" t="s">
        <v>181</v>
      </c>
      <c r="G153" s="6">
        <v>50.01</v>
      </c>
      <c r="H153" s="6">
        <v>86</v>
      </c>
      <c r="I153" s="6">
        <v>13</v>
      </c>
      <c r="J153" s="7">
        <f>MEDIAN(租金配对!K449:K461)</f>
        <v>0.0240863787375415</v>
      </c>
      <c r="K153" s="6" t="s">
        <v>472</v>
      </c>
      <c r="L153" s="6">
        <f>MEDIAN(租金配对!L449:L461)</f>
        <v>0.0267441860465116</v>
      </c>
    </row>
    <row r="154" ht="21" customHeight="1" spans="1:12">
      <c r="A154" s="5" t="s">
        <v>15</v>
      </c>
      <c r="B154" s="6" t="s">
        <v>59</v>
      </c>
      <c r="C154" s="6" t="s">
        <v>152</v>
      </c>
      <c r="D154" s="6" t="s">
        <v>153</v>
      </c>
      <c r="E154" s="6" t="s">
        <v>473</v>
      </c>
      <c r="F154" s="6" t="s">
        <v>181</v>
      </c>
      <c r="G154" s="6">
        <v>50.44</v>
      </c>
      <c r="H154" s="6">
        <v>86</v>
      </c>
      <c r="I154" s="6">
        <v>13</v>
      </c>
      <c r="J154" s="7">
        <f>MEDIAN(租金配对!K384:K396)</f>
        <v>0.0240863787375415</v>
      </c>
      <c r="K154" s="6" t="s">
        <v>474</v>
      </c>
      <c r="L154" s="6">
        <f>MEDIAN(租金配对!L384:L396)</f>
        <v>0.0267441860465116</v>
      </c>
    </row>
    <row r="155" ht="21" customHeight="1" spans="1:12">
      <c r="A155" s="5" t="s">
        <v>15</v>
      </c>
      <c r="B155" s="6" t="s">
        <v>59</v>
      </c>
      <c r="C155" s="6" t="s">
        <v>152</v>
      </c>
      <c r="D155" s="6" t="s">
        <v>153</v>
      </c>
      <c r="E155" s="6" t="s">
        <v>475</v>
      </c>
      <c r="F155" s="6" t="s">
        <v>178</v>
      </c>
      <c r="G155" s="6">
        <v>48.38</v>
      </c>
      <c r="H155" s="6">
        <v>120</v>
      </c>
      <c r="I155" s="6">
        <v>13</v>
      </c>
      <c r="J155" s="7">
        <f>MEDIAN(租金配对!K436:K448)</f>
        <v>0.0167473769168684</v>
      </c>
      <c r="K155" s="6" t="s">
        <v>476</v>
      </c>
      <c r="L155" s="6">
        <f>MEDIAN(租金配对!L436:L448)</f>
        <v>0.0191666666666667</v>
      </c>
    </row>
    <row r="156" ht="21" customHeight="1" spans="1:12">
      <c r="A156" s="5" t="s">
        <v>15</v>
      </c>
      <c r="B156" s="6" t="s">
        <v>59</v>
      </c>
      <c r="C156" s="6" t="s">
        <v>152</v>
      </c>
      <c r="D156" s="6" t="s">
        <v>153</v>
      </c>
      <c r="E156" s="6" t="s">
        <v>477</v>
      </c>
      <c r="F156" s="6" t="s">
        <v>181</v>
      </c>
      <c r="G156" s="6">
        <v>50.44</v>
      </c>
      <c r="H156" s="6">
        <v>80</v>
      </c>
      <c r="I156" s="6">
        <v>13</v>
      </c>
      <c r="J156" s="7">
        <f>MEDIAN(租金配对!K410:K422)</f>
        <v>0.0260290556900726</v>
      </c>
      <c r="K156" s="6" t="s">
        <v>478</v>
      </c>
      <c r="L156" s="6">
        <f>MEDIAN(租金配对!L410:L422)</f>
        <v>0.02875</v>
      </c>
    </row>
    <row r="157" ht="21" customHeight="1" spans="1:12">
      <c r="A157" s="5" t="s">
        <v>15</v>
      </c>
      <c r="B157" s="6" t="s">
        <v>59</v>
      </c>
      <c r="C157" s="6" t="s">
        <v>152</v>
      </c>
      <c r="D157" s="6" t="s">
        <v>161</v>
      </c>
      <c r="E157" s="6" t="s">
        <v>479</v>
      </c>
      <c r="F157" s="6" t="s">
        <v>181</v>
      </c>
      <c r="G157" s="6">
        <v>50.01</v>
      </c>
      <c r="H157" s="6">
        <v>79</v>
      </c>
      <c r="I157" s="6">
        <v>0</v>
      </c>
      <c r="J157" s="7"/>
      <c r="K157" s="6" t="s">
        <v>480</v>
      </c>
      <c r="L157" s="6"/>
    </row>
    <row r="158" ht="21" customHeight="1" spans="1:12">
      <c r="A158" s="5" t="s">
        <v>15</v>
      </c>
      <c r="B158" s="6" t="s">
        <v>59</v>
      </c>
      <c r="C158" s="6" t="s">
        <v>157</v>
      </c>
      <c r="D158" s="6" t="s">
        <v>153</v>
      </c>
      <c r="E158" s="6" t="s">
        <v>481</v>
      </c>
      <c r="F158" s="6" t="s">
        <v>178</v>
      </c>
      <c r="G158" s="6">
        <v>60.78</v>
      </c>
      <c r="H158" s="6">
        <v>93</v>
      </c>
      <c r="I158" s="6">
        <v>1</v>
      </c>
      <c r="J158" s="7">
        <f>MEDIAN(租金配对!K476:K476)</f>
        <v>0.0207204040719623</v>
      </c>
      <c r="K158" s="6" t="s">
        <v>482</v>
      </c>
      <c r="L158" s="6">
        <f>MEDIAN(租金配对!L476:L476)</f>
        <v>0.0232688172043011</v>
      </c>
    </row>
    <row r="159" ht="21" customHeight="1" spans="1:12">
      <c r="A159" s="5" t="s">
        <v>15</v>
      </c>
      <c r="B159" s="6" t="s">
        <v>59</v>
      </c>
      <c r="C159" s="6" t="s">
        <v>157</v>
      </c>
      <c r="D159" s="6" t="s">
        <v>153</v>
      </c>
      <c r="E159" s="6" t="s">
        <v>483</v>
      </c>
      <c r="F159" s="6" t="s">
        <v>181</v>
      </c>
      <c r="G159" s="6">
        <v>60.48</v>
      </c>
      <c r="H159" s="6">
        <v>99</v>
      </c>
      <c r="I159" s="6">
        <v>1</v>
      </c>
      <c r="J159" s="7">
        <f>MEDIAN(租金配对!K475:K475)</f>
        <v>0.0193545625749016</v>
      </c>
      <c r="K159" s="6" t="s">
        <v>484</v>
      </c>
      <c r="L159" s="6">
        <f>MEDIAN(租金配对!L475:L475)</f>
        <v>0.0218585858585859</v>
      </c>
    </row>
    <row r="160" ht="21" customHeight="1" spans="1:12">
      <c r="A160" s="5" t="s">
        <v>15</v>
      </c>
      <c r="B160" s="6" t="s">
        <v>59</v>
      </c>
      <c r="C160" s="6" t="s">
        <v>157</v>
      </c>
      <c r="D160" s="6" t="s">
        <v>153</v>
      </c>
      <c r="E160" s="6" t="s">
        <v>485</v>
      </c>
      <c r="F160" s="6" t="s">
        <v>178</v>
      </c>
      <c r="G160" s="6">
        <v>60.48</v>
      </c>
      <c r="H160" s="6">
        <v>112</v>
      </c>
      <c r="I160" s="6">
        <v>1</v>
      </c>
      <c r="J160" s="7">
        <f>MEDIAN(租金配对!K477:K477)</f>
        <v>0.0168972673815289</v>
      </c>
      <c r="K160" s="6" t="s">
        <v>486</v>
      </c>
      <c r="L160" s="6">
        <f>MEDIAN(租金配对!L477:L477)</f>
        <v>0.0193214285714286</v>
      </c>
    </row>
    <row r="161" ht="21" customHeight="1" spans="1:12">
      <c r="A161" s="5" t="s">
        <v>15</v>
      </c>
      <c r="B161" s="6" t="s">
        <v>59</v>
      </c>
      <c r="C161" s="6" t="s">
        <v>157</v>
      </c>
      <c r="D161" s="6" t="s">
        <v>153</v>
      </c>
      <c r="E161" s="6" t="s">
        <v>487</v>
      </c>
      <c r="F161" s="6" t="s">
        <v>178</v>
      </c>
      <c r="G161" s="6">
        <v>60.78</v>
      </c>
      <c r="H161" s="6">
        <v>108</v>
      </c>
      <c r="I161" s="6">
        <v>1</v>
      </c>
      <c r="J161" s="7">
        <f>MEDIAN(租金配对!K478:K478)</f>
        <v>0.0175903506411981</v>
      </c>
      <c r="K161" s="6" t="s">
        <v>488</v>
      </c>
      <c r="L161" s="6">
        <f>MEDIAN(租金配对!L478:L478)</f>
        <v>0.020037037037037</v>
      </c>
    </row>
    <row r="162" ht="21" customHeight="1" spans="1:12">
      <c r="A162" s="5" t="s">
        <v>15</v>
      </c>
      <c r="B162" s="6" t="s">
        <v>71</v>
      </c>
      <c r="C162" s="6" t="s">
        <v>152</v>
      </c>
      <c r="D162" s="6" t="s">
        <v>160</v>
      </c>
      <c r="E162" s="6" t="s">
        <v>489</v>
      </c>
      <c r="F162" s="6" t="s">
        <v>181</v>
      </c>
      <c r="G162" s="6">
        <v>41.14</v>
      </c>
      <c r="H162" s="6">
        <v>100</v>
      </c>
      <c r="I162" s="6">
        <v>0</v>
      </c>
      <c r="J162" s="7"/>
      <c r="K162" s="6" t="s">
        <v>490</v>
      </c>
      <c r="L162" s="6"/>
    </row>
    <row r="163" ht="21" customHeight="1" spans="1:12">
      <c r="A163" s="5" t="s">
        <v>15</v>
      </c>
      <c r="B163" s="6" t="s">
        <v>71</v>
      </c>
      <c r="C163" s="6" t="s">
        <v>152</v>
      </c>
      <c r="D163" s="6" t="s">
        <v>153</v>
      </c>
      <c r="E163" s="6" t="s">
        <v>491</v>
      </c>
      <c r="F163" s="6" t="s">
        <v>178</v>
      </c>
      <c r="G163" s="6">
        <v>40.75</v>
      </c>
      <c r="H163" s="6">
        <v>91</v>
      </c>
      <c r="I163" s="6">
        <v>0</v>
      </c>
      <c r="J163" s="7"/>
      <c r="K163" s="6" t="s">
        <v>492</v>
      </c>
      <c r="L163" s="6"/>
    </row>
    <row r="164" ht="21" customHeight="1" spans="1:12">
      <c r="A164" s="5" t="s">
        <v>15</v>
      </c>
      <c r="B164" s="6" t="s">
        <v>71</v>
      </c>
      <c r="C164" s="6" t="s">
        <v>159</v>
      </c>
      <c r="D164" s="6" t="s">
        <v>160</v>
      </c>
      <c r="E164" s="6" t="s">
        <v>493</v>
      </c>
      <c r="F164" s="6" t="s">
        <v>181</v>
      </c>
      <c r="G164" s="6">
        <v>37.49</v>
      </c>
      <c r="H164" s="6">
        <v>105</v>
      </c>
      <c r="I164" s="6">
        <v>0</v>
      </c>
      <c r="J164" s="7"/>
      <c r="K164" s="6" t="s">
        <v>494</v>
      </c>
      <c r="L164" s="6"/>
    </row>
    <row r="165" ht="21" customHeight="1" spans="1:12">
      <c r="A165" s="5" t="s">
        <v>15</v>
      </c>
      <c r="B165" s="6" t="s">
        <v>71</v>
      </c>
      <c r="C165" s="6" t="s">
        <v>159</v>
      </c>
      <c r="D165" s="6" t="s">
        <v>160</v>
      </c>
      <c r="E165" s="6" t="s">
        <v>495</v>
      </c>
      <c r="F165" s="6" t="s">
        <v>178</v>
      </c>
      <c r="G165" s="6">
        <v>37.91</v>
      </c>
      <c r="H165" s="6">
        <v>101</v>
      </c>
      <c r="I165" s="6">
        <v>0</v>
      </c>
      <c r="J165" s="7"/>
      <c r="K165" s="6" t="s">
        <v>496</v>
      </c>
      <c r="L165" s="6"/>
    </row>
    <row r="166" ht="21" customHeight="1" spans="1:12">
      <c r="A166" s="5" t="s">
        <v>15</v>
      </c>
      <c r="B166" s="6" t="s">
        <v>71</v>
      </c>
      <c r="C166" s="6" t="s">
        <v>159</v>
      </c>
      <c r="D166" s="6" t="s">
        <v>160</v>
      </c>
      <c r="E166" s="6" t="s">
        <v>497</v>
      </c>
      <c r="F166" s="6" t="s">
        <v>181</v>
      </c>
      <c r="G166" s="6">
        <v>37.15</v>
      </c>
      <c r="H166" s="6">
        <v>95</v>
      </c>
      <c r="I166" s="6">
        <v>0</v>
      </c>
      <c r="J166" s="7"/>
      <c r="K166" s="6" t="s">
        <v>498</v>
      </c>
      <c r="L166" s="6"/>
    </row>
    <row r="167" ht="21" customHeight="1" spans="1:12">
      <c r="A167" s="5" t="s">
        <v>15</v>
      </c>
      <c r="B167" s="6" t="s">
        <v>71</v>
      </c>
      <c r="C167" s="6" t="s">
        <v>159</v>
      </c>
      <c r="D167" s="6" t="s">
        <v>160</v>
      </c>
      <c r="E167" s="6" t="s">
        <v>499</v>
      </c>
      <c r="F167" s="6" t="s">
        <v>178</v>
      </c>
      <c r="G167" s="6">
        <v>37.94</v>
      </c>
      <c r="H167" s="6">
        <v>100</v>
      </c>
      <c r="I167" s="6">
        <v>0</v>
      </c>
      <c r="J167" s="7"/>
      <c r="K167" s="6" t="s">
        <v>500</v>
      </c>
      <c r="L167" s="6"/>
    </row>
    <row r="168" ht="21" customHeight="1" spans="1:12">
      <c r="A168" s="5" t="s">
        <v>15</v>
      </c>
      <c r="B168" s="6" t="s">
        <v>71</v>
      </c>
      <c r="C168" s="6" t="s">
        <v>159</v>
      </c>
      <c r="D168" s="6" t="s">
        <v>160</v>
      </c>
      <c r="E168" s="6" t="s">
        <v>501</v>
      </c>
      <c r="F168" s="6" t="s">
        <v>181</v>
      </c>
      <c r="G168" s="6">
        <v>37.4</v>
      </c>
      <c r="H168" s="6">
        <v>99</v>
      </c>
      <c r="I168" s="6">
        <v>0</v>
      </c>
      <c r="J168" s="7"/>
      <c r="K168" s="6" t="s">
        <v>502</v>
      </c>
      <c r="L168" s="6"/>
    </row>
    <row r="169" ht="21" customHeight="1" spans="1:12">
      <c r="A169" s="5" t="s">
        <v>15</v>
      </c>
      <c r="B169" s="6" t="s">
        <v>71</v>
      </c>
      <c r="C169" s="6" t="s">
        <v>159</v>
      </c>
      <c r="D169" s="6" t="s">
        <v>160</v>
      </c>
      <c r="E169" s="6" t="s">
        <v>503</v>
      </c>
      <c r="F169" s="6" t="s">
        <v>181</v>
      </c>
      <c r="G169" s="6">
        <v>38.97</v>
      </c>
      <c r="H169" s="6">
        <v>99</v>
      </c>
      <c r="I169" s="6">
        <v>0</v>
      </c>
      <c r="J169" s="7"/>
      <c r="K169" s="6" t="s">
        <v>504</v>
      </c>
      <c r="L169" s="6"/>
    </row>
    <row r="170" ht="21" customHeight="1" spans="1:12">
      <c r="A170" s="5" t="s">
        <v>15</v>
      </c>
      <c r="B170" s="6" t="s">
        <v>71</v>
      </c>
      <c r="C170" s="6" t="s">
        <v>159</v>
      </c>
      <c r="D170" s="6" t="s">
        <v>160</v>
      </c>
      <c r="E170" s="6" t="s">
        <v>505</v>
      </c>
      <c r="F170" s="6" t="s">
        <v>178</v>
      </c>
      <c r="G170" s="6">
        <v>37.91</v>
      </c>
      <c r="H170" s="6">
        <v>85</v>
      </c>
      <c r="I170" s="6">
        <v>0</v>
      </c>
      <c r="J170" s="7"/>
      <c r="K170" s="6" t="s">
        <v>506</v>
      </c>
      <c r="L170" s="6"/>
    </row>
    <row r="171" ht="21" customHeight="1" spans="1:12">
      <c r="A171" s="5" t="s">
        <v>15</v>
      </c>
      <c r="B171" s="6" t="s">
        <v>71</v>
      </c>
      <c r="C171" s="6" t="s">
        <v>159</v>
      </c>
      <c r="D171" s="6" t="s">
        <v>160</v>
      </c>
      <c r="E171" s="6" t="s">
        <v>507</v>
      </c>
      <c r="F171" s="6" t="s">
        <v>178</v>
      </c>
      <c r="G171" s="6">
        <v>37.94</v>
      </c>
      <c r="H171" s="6">
        <v>82.8</v>
      </c>
      <c r="I171" s="6">
        <v>0</v>
      </c>
      <c r="J171" s="7"/>
      <c r="K171" s="6" t="s">
        <v>508</v>
      </c>
      <c r="L171" s="6"/>
    </row>
    <row r="172" ht="21" customHeight="1" spans="1:12">
      <c r="A172" s="5" t="s">
        <v>15</v>
      </c>
      <c r="B172" s="6" t="s">
        <v>71</v>
      </c>
      <c r="C172" s="6" t="s">
        <v>159</v>
      </c>
      <c r="D172" s="6" t="s">
        <v>160</v>
      </c>
      <c r="E172" s="6" t="s">
        <v>509</v>
      </c>
      <c r="F172" s="6" t="s">
        <v>178</v>
      </c>
      <c r="G172" s="6">
        <v>37.19</v>
      </c>
      <c r="H172" s="6">
        <v>100</v>
      </c>
      <c r="I172" s="6">
        <v>0</v>
      </c>
      <c r="J172" s="7"/>
      <c r="K172" s="6" t="s">
        <v>510</v>
      </c>
      <c r="L172" s="6"/>
    </row>
    <row r="173" ht="21" customHeight="1" spans="1:12">
      <c r="A173" s="5" t="s">
        <v>15</v>
      </c>
      <c r="B173" s="6" t="s">
        <v>71</v>
      </c>
      <c r="C173" s="6" t="s">
        <v>159</v>
      </c>
      <c r="D173" s="6" t="s">
        <v>160</v>
      </c>
      <c r="E173" s="6" t="s">
        <v>511</v>
      </c>
      <c r="F173" s="6" t="s">
        <v>181</v>
      </c>
      <c r="G173" s="6">
        <v>32.22</v>
      </c>
      <c r="H173" s="6">
        <v>94</v>
      </c>
      <c r="I173" s="6">
        <v>0</v>
      </c>
      <c r="J173" s="7"/>
      <c r="K173" s="6" t="s">
        <v>512</v>
      </c>
      <c r="L173" s="6"/>
    </row>
    <row r="174" ht="21" customHeight="1" spans="1:12">
      <c r="A174" s="5" t="s">
        <v>15</v>
      </c>
      <c r="B174" s="6" t="s">
        <v>71</v>
      </c>
      <c r="C174" s="6" t="s">
        <v>159</v>
      </c>
      <c r="D174" s="6" t="s">
        <v>160</v>
      </c>
      <c r="E174" s="6" t="s">
        <v>513</v>
      </c>
      <c r="F174" s="6" t="s">
        <v>181</v>
      </c>
      <c r="G174" s="6">
        <v>37.22</v>
      </c>
      <c r="H174" s="6">
        <v>99</v>
      </c>
      <c r="I174" s="6">
        <v>0</v>
      </c>
      <c r="J174" s="7"/>
      <c r="K174" s="6" t="s">
        <v>514</v>
      </c>
      <c r="L174" s="6"/>
    </row>
    <row r="175" ht="21" customHeight="1" spans="1:12">
      <c r="A175" s="5" t="s">
        <v>15</v>
      </c>
      <c r="B175" s="6" t="s">
        <v>71</v>
      </c>
      <c r="C175" s="6" t="s">
        <v>159</v>
      </c>
      <c r="D175" s="6" t="s">
        <v>160</v>
      </c>
      <c r="E175" s="6" t="s">
        <v>515</v>
      </c>
      <c r="F175" s="6" t="s">
        <v>178</v>
      </c>
      <c r="G175" s="6">
        <v>37.21</v>
      </c>
      <c r="H175" s="6">
        <v>90</v>
      </c>
      <c r="I175" s="6">
        <v>0</v>
      </c>
      <c r="J175" s="7"/>
      <c r="K175" s="6" t="s">
        <v>516</v>
      </c>
      <c r="L175" s="6"/>
    </row>
    <row r="176" ht="21" customHeight="1" spans="1:12">
      <c r="A176" s="5" t="s">
        <v>15</v>
      </c>
      <c r="B176" s="6" t="s">
        <v>71</v>
      </c>
      <c r="C176" s="6" t="s">
        <v>159</v>
      </c>
      <c r="D176" s="6" t="s">
        <v>160</v>
      </c>
      <c r="E176" s="6" t="s">
        <v>517</v>
      </c>
      <c r="F176" s="6" t="s">
        <v>181</v>
      </c>
      <c r="G176" s="6">
        <v>37.15</v>
      </c>
      <c r="H176" s="6">
        <v>91</v>
      </c>
      <c r="I176" s="6">
        <v>0</v>
      </c>
      <c r="J176" s="7"/>
      <c r="K176" s="6" t="s">
        <v>518</v>
      </c>
      <c r="L176" s="6"/>
    </row>
    <row r="177" ht="21" customHeight="1" spans="1:12">
      <c r="A177" s="5" t="s">
        <v>15</v>
      </c>
      <c r="B177" s="6" t="s">
        <v>71</v>
      </c>
      <c r="C177" s="6" t="s">
        <v>159</v>
      </c>
      <c r="D177" s="6" t="s">
        <v>160</v>
      </c>
      <c r="E177" s="6" t="s">
        <v>519</v>
      </c>
      <c r="F177" s="6" t="s">
        <v>178</v>
      </c>
      <c r="G177" s="6">
        <v>36.76</v>
      </c>
      <c r="H177" s="6">
        <v>93</v>
      </c>
      <c r="I177" s="6">
        <v>0</v>
      </c>
      <c r="J177" s="7"/>
      <c r="K177" s="6" t="s">
        <v>520</v>
      </c>
      <c r="L177" s="6"/>
    </row>
    <row r="178" ht="21" customHeight="1" spans="1:12">
      <c r="A178" s="5" t="s">
        <v>15</v>
      </c>
      <c r="B178" s="6" t="s">
        <v>71</v>
      </c>
      <c r="C178" s="6" t="s">
        <v>159</v>
      </c>
      <c r="D178" s="6" t="s">
        <v>160</v>
      </c>
      <c r="E178" s="6" t="s">
        <v>521</v>
      </c>
      <c r="F178" s="6" t="s">
        <v>178</v>
      </c>
      <c r="G178" s="6">
        <v>37.49</v>
      </c>
      <c r="H178" s="6">
        <v>88</v>
      </c>
      <c r="I178" s="6">
        <v>0</v>
      </c>
      <c r="J178" s="7"/>
      <c r="K178" s="6" t="s">
        <v>522</v>
      </c>
      <c r="L178" s="6"/>
    </row>
    <row r="179" ht="21" customHeight="1" spans="1:12">
      <c r="A179" s="5" t="s">
        <v>15</v>
      </c>
      <c r="B179" s="6" t="s">
        <v>71</v>
      </c>
      <c r="C179" s="6" t="s">
        <v>159</v>
      </c>
      <c r="D179" s="6" t="s">
        <v>160</v>
      </c>
      <c r="E179" s="6" t="s">
        <v>523</v>
      </c>
      <c r="F179" s="6" t="s">
        <v>178</v>
      </c>
      <c r="G179" s="6">
        <v>37.44</v>
      </c>
      <c r="H179" s="6">
        <v>86</v>
      </c>
      <c r="I179" s="6">
        <v>0</v>
      </c>
      <c r="J179" s="7"/>
      <c r="K179" s="6" t="s">
        <v>524</v>
      </c>
      <c r="L179" s="6"/>
    </row>
    <row r="180" ht="21" customHeight="1" spans="1:12">
      <c r="A180" s="5" t="s">
        <v>15</v>
      </c>
      <c r="B180" s="6" t="s">
        <v>71</v>
      </c>
      <c r="C180" s="6" t="s">
        <v>159</v>
      </c>
      <c r="D180" s="6" t="s">
        <v>153</v>
      </c>
      <c r="E180" s="6" t="s">
        <v>525</v>
      </c>
      <c r="F180" s="6" t="s">
        <v>178</v>
      </c>
      <c r="G180" s="6">
        <v>37.22</v>
      </c>
      <c r="H180" s="6">
        <v>100</v>
      </c>
      <c r="I180" s="6">
        <v>0</v>
      </c>
      <c r="J180" s="7"/>
      <c r="K180" s="6" t="s">
        <v>526</v>
      </c>
      <c r="L180" s="6"/>
    </row>
    <row r="181" ht="21" customHeight="1" spans="1:12">
      <c r="A181" s="5" t="s">
        <v>15</v>
      </c>
      <c r="B181" s="6" t="s">
        <v>71</v>
      </c>
      <c r="C181" s="6" t="s">
        <v>159</v>
      </c>
      <c r="D181" s="6" t="s">
        <v>153</v>
      </c>
      <c r="E181" s="6" t="s">
        <v>527</v>
      </c>
      <c r="F181" s="6" t="s">
        <v>181</v>
      </c>
      <c r="G181" s="6">
        <v>37.87</v>
      </c>
      <c r="H181" s="6">
        <v>95</v>
      </c>
      <c r="I181" s="6">
        <v>0</v>
      </c>
      <c r="J181" s="7"/>
      <c r="K181" s="6" t="s">
        <v>528</v>
      </c>
      <c r="L181" s="6"/>
    </row>
    <row r="182" ht="21" customHeight="1" spans="1:12">
      <c r="A182" s="5" t="s">
        <v>15</v>
      </c>
      <c r="B182" s="6" t="s">
        <v>71</v>
      </c>
      <c r="C182" s="6" t="s">
        <v>159</v>
      </c>
      <c r="D182" s="6" t="s">
        <v>153</v>
      </c>
      <c r="E182" s="6" t="s">
        <v>529</v>
      </c>
      <c r="F182" s="6" t="s">
        <v>181</v>
      </c>
      <c r="G182" s="6">
        <v>36.72</v>
      </c>
      <c r="H182" s="6">
        <v>90</v>
      </c>
      <c r="I182" s="6">
        <v>0</v>
      </c>
      <c r="J182" s="7"/>
      <c r="K182" s="6" t="s">
        <v>530</v>
      </c>
      <c r="L182" s="6"/>
    </row>
    <row r="183" ht="21" customHeight="1" spans="1:12">
      <c r="A183" s="5" t="s">
        <v>15</v>
      </c>
      <c r="B183" s="6" t="s">
        <v>71</v>
      </c>
      <c r="C183" s="6" t="s">
        <v>159</v>
      </c>
      <c r="D183" s="6" t="s">
        <v>153</v>
      </c>
      <c r="E183" s="6" t="s">
        <v>531</v>
      </c>
      <c r="F183" s="6" t="s">
        <v>178</v>
      </c>
      <c r="G183" s="6">
        <v>37.44</v>
      </c>
      <c r="H183" s="6">
        <v>100</v>
      </c>
      <c r="I183" s="6">
        <v>0</v>
      </c>
      <c r="J183" s="7"/>
      <c r="K183" s="6" t="s">
        <v>532</v>
      </c>
      <c r="L183" s="6"/>
    </row>
    <row r="184" ht="21" customHeight="1" spans="1:12">
      <c r="A184" s="5" t="s">
        <v>15</v>
      </c>
      <c r="B184" s="6" t="s">
        <v>71</v>
      </c>
      <c r="C184" s="6" t="s">
        <v>159</v>
      </c>
      <c r="D184" s="6" t="s">
        <v>153</v>
      </c>
      <c r="E184" s="6" t="s">
        <v>533</v>
      </c>
      <c r="F184" s="6" t="s">
        <v>178</v>
      </c>
      <c r="G184" s="6">
        <v>36</v>
      </c>
      <c r="H184" s="6">
        <v>96</v>
      </c>
      <c r="I184" s="6">
        <v>0</v>
      </c>
      <c r="J184" s="7"/>
      <c r="K184" s="6" t="s">
        <v>534</v>
      </c>
      <c r="L184" s="6"/>
    </row>
    <row r="185" ht="21" customHeight="1" spans="1:12">
      <c r="A185" s="5" t="s">
        <v>15</v>
      </c>
      <c r="B185" s="6" t="s">
        <v>71</v>
      </c>
      <c r="C185" s="6" t="s">
        <v>159</v>
      </c>
      <c r="D185" s="6" t="s">
        <v>153</v>
      </c>
      <c r="E185" s="6" t="s">
        <v>535</v>
      </c>
      <c r="F185" s="6" t="s">
        <v>181</v>
      </c>
      <c r="G185" s="6">
        <v>35.19</v>
      </c>
      <c r="H185" s="6">
        <v>95</v>
      </c>
      <c r="I185" s="6">
        <v>0</v>
      </c>
      <c r="J185" s="7"/>
      <c r="K185" s="6" t="s">
        <v>536</v>
      </c>
      <c r="L185" s="6"/>
    </row>
    <row r="186" ht="21" customHeight="1" spans="1:12">
      <c r="A186" s="5" t="s">
        <v>15</v>
      </c>
      <c r="B186" s="6" t="s">
        <v>65</v>
      </c>
      <c r="C186" s="6" t="s">
        <v>152</v>
      </c>
      <c r="D186" s="6" t="s">
        <v>160</v>
      </c>
      <c r="E186" s="6" t="s">
        <v>537</v>
      </c>
      <c r="F186" s="6" t="s">
        <v>178</v>
      </c>
      <c r="G186" s="6">
        <v>45.58</v>
      </c>
      <c r="H186" s="6">
        <v>110</v>
      </c>
      <c r="I186" s="6">
        <v>3</v>
      </c>
      <c r="J186" s="7">
        <f>MEDIAN(租金配对!K479:K481)</f>
        <v>0.0166740039621396</v>
      </c>
      <c r="K186" s="6" t="s">
        <v>538</v>
      </c>
      <c r="L186" s="6">
        <f>MEDIAN(租金配对!L479:L481)</f>
        <v>0.0190909090909091</v>
      </c>
    </row>
    <row r="187" ht="21" customHeight="1" spans="1:12">
      <c r="A187" s="5" t="s">
        <v>15</v>
      </c>
      <c r="B187" s="6" t="s">
        <v>65</v>
      </c>
      <c r="C187" s="6" t="s">
        <v>152</v>
      </c>
      <c r="D187" s="6" t="s">
        <v>160</v>
      </c>
      <c r="E187" s="6" t="s">
        <v>539</v>
      </c>
      <c r="F187" s="6" t="s">
        <v>178</v>
      </c>
      <c r="G187" s="6">
        <v>41.41</v>
      </c>
      <c r="H187" s="6">
        <v>104</v>
      </c>
      <c r="I187" s="6">
        <v>3</v>
      </c>
      <c r="J187" s="7">
        <f>MEDIAN(租金配对!K482:K484)</f>
        <v>0.0177407338424288</v>
      </c>
      <c r="K187" s="6" t="s">
        <v>540</v>
      </c>
      <c r="L187" s="6">
        <f>MEDIAN(租金配对!L482:L484)</f>
        <v>0.0201923076923077</v>
      </c>
    </row>
    <row r="188" ht="21" customHeight="1" spans="1:12">
      <c r="A188" s="5" t="s">
        <v>15</v>
      </c>
      <c r="B188" s="6" t="s">
        <v>65</v>
      </c>
      <c r="C188" s="6" t="s">
        <v>152</v>
      </c>
      <c r="D188" s="6" t="s">
        <v>153</v>
      </c>
      <c r="E188" s="6" t="s">
        <v>541</v>
      </c>
      <c r="F188" s="6" t="s">
        <v>178</v>
      </c>
      <c r="G188" s="6">
        <v>58.51</v>
      </c>
      <c r="H188" s="6">
        <v>107</v>
      </c>
      <c r="I188" s="6">
        <v>6</v>
      </c>
      <c r="J188" s="7">
        <f>MEDIAN(租金配对!K491:K496)</f>
        <v>0.0187764476929692</v>
      </c>
      <c r="K188" s="6" t="s">
        <v>542</v>
      </c>
      <c r="L188" s="6">
        <f>MEDIAN(租金配对!L491:L496)</f>
        <v>0.0212616822429907</v>
      </c>
    </row>
    <row r="189" ht="21" customHeight="1" spans="1:12">
      <c r="A189" s="5" t="s">
        <v>15</v>
      </c>
      <c r="B189" s="6" t="s">
        <v>65</v>
      </c>
      <c r="C189" s="6" t="s">
        <v>152</v>
      </c>
      <c r="D189" s="6" t="s">
        <v>153</v>
      </c>
      <c r="E189" s="6" t="s">
        <v>543</v>
      </c>
      <c r="F189" s="6" t="s">
        <v>178</v>
      </c>
      <c r="G189" s="6">
        <v>58.91</v>
      </c>
      <c r="H189" s="6">
        <v>108</v>
      </c>
      <c r="I189" s="6">
        <v>6</v>
      </c>
      <c r="J189" s="7">
        <f>MEDIAN(租金配对!K485:K490)</f>
        <v>0.0185857770603533</v>
      </c>
      <c r="K189" s="6" t="s">
        <v>544</v>
      </c>
      <c r="L189" s="6">
        <f>MEDIAN(租金配对!L485:L490)</f>
        <v>0.0210648148148148</v>
      </c>
    </row>
    <row r="190" ht="21" customHeight="1" spans="1:12">
      <c r="A190" s="5" t="s">
        <v>15</v>
      </c>
      <c r="B190" s="6" t="s">
        <v>65</v>
      </c>
      <c r="C190" s="6" t="s">
        <v>152</v>
      </c>
      <c r="D190" s="6" t="s">
        <v>153</v>
      </c>
      <c r="E190" s="6" t="s">
        <v>545</v>
      </c>
      <c r="F190" s="6" t="s">
        <v>181</v>
      </c>
      <c r="G190" s="6">
        <v>58.91</v>
      </c>
      <c r="H190" s="6">
        <v>105</v>
      </c>
      <c r="I190" s="6">
        <v>6</v>
      </c>
      <c r="J190" s="7">
        <f>MEDIAN(租金配对!K509:K514)</f>
        <v>0.0191686844229217</v>
      </c>
      <c r="K190" s="6" t="s">
        <v>546</v>
      </c>
      <c r="L190" s="6">
        <f>MEDIAN(租金配对!L509:L514)</f>
        <v>0.0216666666666667</v>
      </c>
    </row>
    <row r="191" ht="21" customHeight="1" spans="1:12">
      <c r="A191" s="5" t="s">
        <v>15</v>
      </c>
      <c r="B191" s="6" t="s">
        <v>65</v>
      </c>
      <c r="C191" s="6" t="s">
        <v>152</v>
      </c>
      <c r="D191" s="6" t="s">
        <v>153</v>
      </c>
      <c r="E191" s="6" t="s">
        <v>547</v>
      </c>
      <c r="F191" s="6" t="s">
        <v>178</v>
      </c>
      <c r="G191" s="6">
        <v>59.02</v>
      </c>
      <c r="H191" s="6">
        <v>99</v>
      </c>
      <c r="I191" s="6">
        <v>6</v>
      </c>
      <c r="J191" s="7">
        <f>MEDIAN(租金配对!K503:K508)</f>
        <v>0.0204404823048891</v>
      </c>
      <c r="K191" s="6" t="s">
        <v>548</v>
      </c>
      <c r="L191" s="6">
        <f>MEDIAN(租金配对!L503:L508)</f>
        <v>0.022979797979798</v>
      </c>
    </row>
    <row r="192" ht="21" customHeight="1" spans="1:12">
      <c r="A192" s="5" t="s">
        <v>15</v>
      </c>
      <c r="B192" s="6" t="s">
        <v>65</v>
      </c>
      <c r="C192" s="6" t="s">
        <v>152</v>
      </c>
      <c r="D192" s="6" t="s">
        <v>153</v>
      </c>
      <c r="E192" s="6" t="s">
        <v>549</v>
      </c>
      <c r="F192" s="6" t="s">
        <v>178</v>
      </c>
      <c r="G192" s="6">
        <v>59.02</v>
      </c>
      <c r="H192" s="6">
        <v>110</v>
      </c>
      <c r="I192" s="6">
        <v>6</v>
      </c>
      <c r="J192" s="7">
        <f>MEDIAN(租金配对!K497:K502)</f>
        <v>0.0182148360114462</v>
      </c>
      <c r="K192" s="6" t="s">
        <v>550</v>
      </c>
      <c r="L192" s="6">
        <f>MEDIAN(租金配对!L497:L502)</f>
        <v>0.0206818181818182</v>
      </c>
    </row>
    <row r="193" ht="21" customHeight="1" spans="1:12">
      <c r="A193" s="5" t="s">
        <v>15</v>
      </c>
      <c r="B193" s="6" t="s">
        <v>65</v>
      </c>
      <c r="C193" s="6" t="s">
        <v>152</v>
      </c>
      <c r="D193" s="6" t="s">
        <v>153</v>
      </c>
      <c r="E193" s="6" t="s">
        <v>551</v>
      </c>
      <c r="F193" s="6" t="s">
        <v>178</v>
      </c>
      <c r="G193" s="6">
        <v>58.91</v>
      </c>
      <c r="H193" s="6">
        <v>103</v>
      </c>
      <c r="I193" s="6">
        <v>6</v>
      </c>
      <c r="J193" s="7">
        <f>MEDIAN(租金配对!K515:K520)</f>
        <v>0.0195761536472414</v>
      </c>
      <c r="K193" s="6" t="s">
        <v>552</v>
      </c>
      <c r="L193" s="6">
        <f>MEDIAN(租金配对!L515:L520)</f>
        <v>0.0220873786407767</v>
      </c>
    </row>
    <row r="194" ht="21" customHeight="1" spans="1:12">
      <c r="A194" s="5" t="s">
        <v>15</v>
      </c>
      <c r="B194" s="6" t="s">
        <v>65</v>
      </c>
      <c r="C194" s="6" t="s">
        <v>159</v>
      </c>
      <c r="D194" s="6" t="s">
        <v>160</v>
      </c>
      <c r="E194" s="6" t="s">
        <v>553</v>
      </c>
      <c r="F194" s="6" t="s">
        <v>178</v>
      </c>
      <c r="G194" s="6">
        <v>39.05</v>
      </c>
      <c r="H194" s="6">
        <v>98</v>
      </c>
      <c r="I194" s="6">
        <v>0</v>
      </c>
      <c r="J194" s="7"/>
      <c r="K194" s="6" t="s">
        <v>554</v>
      </c>
      <c r="L194" s="6"/>
    </row>
    <row r="195" ht="21" customHeight="1" spans="1:12">
      <c r="A195" s="5" t="s">
        <v>15</v>
      </c>
      <c r="B195" s="6" t="s">
        <v>65</v>
      </c>
      <c r="C195" s="6" t="s">
        <v>159</v>
      </c>
      <c r="D195" s="6" t="s">
        <v>160</v>
      </c>
      <c r="E195" s="6" t="s">
        <v>555</v>
      </c>
      <c r="F195" s="6" t="s">
        <v>178</v>
      </c>
      <c r="G195" s="6">
        <v>37.4</v>
      </c>
      <c r="H195" s="6">
        <v>96</v>
      </c>
      <c r="I195" s="6">
        <v>0</v>
      </c>
      <c r="J195" s="7"/>
      <c r="K195" s="6" t="s">
        <v>556</v>
      </c>
      <c r="L195" s="6"/>
    </row>
    <row r="196" ht="21" customHeight="1" spans="1:12">
      <c r="A196" s="5" t="s">
        <v>15</v>
      </c>
      <c r="B196" s="6" t="s">
        <v>61</v>
      </c>
      <c r="C196" s="6" t="s">
        <v>157</v>
      </c>
      <c r="D196" s="6" t="s">
        <v>155</v>
      </c>
      <c r="E196" s="6" t="s">
        <v>557</v>
      </c>
      <c r="F196" s="6" t="s">
        <v>181</v>
      </c>
      <c r="G196" s="6">
        <v>77.65</v>
      </c>
      <c r="H196" s="6">
        <v>119</v>
      </c>
      <c r="I196" s="6">
        <v>5</v>
      </c>
      <c r="J196" s="7">
        <f>MEDIAN(租金配对!K521:K525)</f>
        <v>0.0201589110220359</v>
      </c>
      <c r="K196" s="6" t="s">
        <v>558</v>
      </c>
      <c r="L196" s="6">
        <f>MEDIAN(租金配对!L521:L525)</f>
        <v>0.0226890756302521</v>
      </c>
    </row>
    <row r="197" ht="21" customHeight="1" spans="1:12">
      <c r="A197" s="5" t="s">
        <v>15</v>
      </c>
      <c r="B197" s="6" t="s">
        <v>62</v>
      </c>
      <c r="C197" s="6" t="s">
        <v>152</v>
      </c>
      <c r="D197" s="6" t="s">
        <v>160</v>
      </c>
      <c r="E197" s="6" t="s">
        <v>559</v>
      </c>
      <c r="F197" s="6" t="s">
        <v>178</v>
      </c>
      <c r="G197" s="6">
        <v>55.29</v>
      </c>
      <c r="H197" s="6">
        <v>90</v>
      </c>
      <c r="I197" s="6">
        <v>1</v>
      </c>
      <c r="J197" s="7">
        <f>MEDIAN(租金配对!K526:K526)</f>
        <v>0.0202448210922787</v>
      </c>
      <c r="K197" s="6" t="s">
        <v>560</v>
      </c>
      <c r="L197" s="6">
        <f>MEDIAN(租金配对!L526:L526)</f>
        <v>0.0227777777777778</v>
      </c>
    </row>
    <row r="198" ht="21" customHeight="1" spans="1:12">
      <c r="A198" s="5" t="s">
        <v>15</v>
      </c>
      <c r="B198" s="6" t="s">
        <v>62</v>
      </c>
      <c r="C198" s="6" t="s">
        <v>152</v>
      </c>
      <c r="D198" s="6" t="s">
        <v>153</v>
      </c>
      <c r="E198" s="6" t="s">
        <v>561</v>
      </c>
      <c r="F198" s="6" t="s">
        <v>181</v>
      </c>
      <c r="G198" s="6">
        <v>57.23</v>
      </c>
      <c r="H198" s="6">
        <v>120</v>
      </c>
      <c r="I198" s="6">
        <v>0</v>
      </c>
      <c r="J198" s="7"/>
      <c r="K198" s="6" t="s">
        <v>562</v>
      </c>
      <c r="L198" s="6"/>
    </row>
    <row r="199" ht="21" customHeight="1" spans="1:12">
      <c r="A199" s="5" t="s">
        <v>15</v>
      </c>
      <c r="B199" s="6" t="s">
        <v>62</v>
      </c>
      <c r="C199" s="6" t="s">
        <v>152</v>
      </c>
      <c r="D199" s="6" t="s">
        <v>153</v>
      </c>
      <c r="E199" s="6" t="s">
        <v>563</v>
      </c>
      <c r="F199" s="6" t="s">
        <v>178</v>
      </c>
      <c r="G199" s="6">
        <v>48.17</v>
      </c>
      <c r="H199" s="6">
        <v>83.9</v>
      </c>
      <c r="I199" s="6">
        <v>4</v>
      </c>
      <c r="J199" s="7">
        <f>MEDIAN(租金配对!K553:K556)</f>
        <v>0.0218487649600152</v>
      </c>
      <c r="K199" s="6" t="s">
        <v>564</v>
      </c>
      <c r="L199" s="6">
        <f>MEDIAN(租金配对!L553:L556)</f>
        <v>0.0244338498212157</v>
      </c>
    </row>
    <row r="200" ht="21" customHeight="1" spans="1:12">
      <c r="A200" s="5" t="s">
        <v>15</v>
      </c>
      <c r="B200" s="6" t="s">
        <v>62</v>
      </c>
      <c r="C200" s="6" t="s">
        <v>152</v>
      </c>
      <c r="D200" s="6" t="s">
        <v>153</v>
      </c>
      <c r="E200" s="6" t="s">
        <v>565</v>
      </c>
      <c r="F200" s="6" t="s">
        <v>181</v>
      </c>
      <c r="G200" s="6">
        <v>50.85</v>
      </c>
      <c r="H200" s="6">
        <v>98</v>
      </c>
      <c r="I200" s="6">
        <v>3</v>
      </c>
      <c r="J200" s="7">
        <f>MEDIAN(租金配对!K550:K552)</f>
        <v>0.0179497949300786</v>
      </c>
      <c r="K200" s="6" t="s">
        <v>566</v>
      </c>
      <c r="L200" s="6">
        <f>MEDIAN(租金配对!L550:L552)</f>
        <v>0.0204081632653061</v>
      </c>
    </row>
    <row r="201" ht="21" customHeight="1" spans="1:12">
      <c r="A201" s="5" t="s">
        <v>15</v>
      </c>
      <c r="B201" s="6" t="s">
        <v>62</v>
      </c>
      <c r="C201" s="6" t="s">
        <v>152</v>
      </c>
      <c r="D201" s="6" t="s">
        <v>153</v>
      </c>
      <c r="E201" s="6" t="s">
        <v>567</v>
      </c>
      <c r="F201" s="6" t="s">
        <v>181</v>
      </c>
      <c r="G201" s="6">
        <v>48.17</v>
      </c>
      <c r="H201" s="6">
        <v>88.8</v>
      </c>
      <c r="I201" s="6">
        <v>4</v>
      </c>
      <c r="J201" s="7">
        <f>MEDIAN(租金配对!K538:K541)</f>
        <v>0.0205429400344655</v>
      </c>
      <c r="K201" s="6" t="s">
        <v>568</v>
      </c>
      <c r="L201" s="6">
        <f>MEDIAN(租金配对!L538:L541)</f>
        <v>0.0230855855855856</v>
      </c>
    </row>
    <row r="202" ht="21" customHeight="1" spans="1:12">
      <c r="A202" s="5" t="s">
        <v>15</v>
      </c>
      <c r="B202" s="6" t="s">
        <v>62</v>
      </c>
      <c r="C202" s="6" t="s">
        <v>152</v>
      </c>
      <c r="D202" s="6" t="s">
        <v>153</v>
      </c>
      <c r="E202" s="6" t="s">
        <v>569</v>
      </c>
      <c r="F202" s="6" t="s">
        <v>178</v>
      </c>
      <c r="G202" s="6">
        <v>50.85</v>
      </c>
      <c r="H202" s="6">
        <v>98</v>
      </c>
      <c r="I202" s="6">
        <v>3</v>
      </c>
      <c r="J202" s="7">
        <f>MEDIAN(租金配对!K530:K532)</f>
        <v>0.0179497949300786</v>
      </c>
      <c r="K202" s="6" t="s">
        <v>570</v>
      </c>
      <c r="L202" s="6">
        <f>MEDIAN(租金配对!L530:L532)</f>
        <v>0.0204081632653061</v>
      </c>
    </row>
    <row r="203" ht="21" customHeight="1" spans="1:12">
      <c r="A203" s="5" t="s">
        <v>15</v>
      </c>
      <c r="B203" s="6" t="s">
        <v>62</v>
      </c>
      <c r="C203" s="6" t="s">
        <v>152</v>
      </c>
      <c r="D203" s="6" t="s">
        <v>153</v>
      </c>
      <c r="E203" s="6" t="s">
        <v>571</v>
      </c>
      <c r="F203" s="6" t="s">
        <v>181</v>
      </c>
      <c r="G203" s="6">
        <v>55.29</v>
      </c>
      <c r="H203" s="6">
        <v>82</v>
      </c>
      <c r="I203" s="6">
        <v>1</v>
      </c>
      <c r="J203" s="7">
        <f>MEDIAN(租金配对!K527:K527)</f>
        <v>0.0218065316246383</v>
      </c>
      <c r="K203" s="6" t="s">
        <v>572</v>
      </c>
      <c r="L203" s="6">
        <f>MEDIAN(租金配对!L527:L527)</f>
        <v>0.024390243902439</v>
      </c>
    </row>
    <row r="204" ht="21" customHeight="1" spans="1:12">
      <c r="A204" s="5" t="s">
        <v>15</v>
      </c>
      <c r="B204" s="6" t="s">
        <v>62</v>
      </c>
      <c r="C204" s="6" t="s">
        <v>152</v>
      </c>
      <c r="D204" s="6" t="s">
        <v>153</v>
      </c>
      <c r="E204" s="6" t="s">
        <v>573</v>
      </c>
      <c r="F204" s="6" t="s">
        <v>181</v>
      </c>
      <c r="G204" s="6">
        <v>50</v>
      </c>
      <c r="H204" s="6">
        <v>110</v>
      </c>
      <c r="I204" s="6">
        <v>4</v>
      </c>
      <c r="J204" s="7">
        <f>MEDIAN(租金配对!K542:K545)</f>
        <v>0.0162337662337662</v>
      </c>
      <c r="K204" s="6" t="s">
        <v>574</v>
      </c>
      <c r="L204" s="6">
        <f>MEDIAN(租金配对!L542:L545)</f>
        <v>0.0186363636363636</v>
      </c>
    </row>
    <row r="205" ht="21" customHeight="1" spans="1:12">
      <c r="A205" s="5" t="s">
        <v>15</v>
      </c>
      <c r="B205" s="6" t="s">
        <v>62</v>
      </c>
      <c r="C205" s="6" t="s">
        <v>152</v>
      </c>
      <c r="D205" s="6" t="s">
        <v>153</v>
      </c>
      <c r="E205" s="6" t="s">
        <v>575</v>
      </c>
      <c r="F205" s="6" t="s">
        <v>178</v>
      </c>
      <c r="G205" s="6">
        <v>48.17</v>
      </c>
      <c r="H205" s="6">
        <v>89.8</v>
      </c>
      <c r="I205" s="6">
        <v>4</v>
      </c>
      <c r="J205" s="7">
        <f>MEDIAN(租金配对!K534:K537)</f>
        <v>0.0202939542809687</v>
      </c>
      <c r="K205" s="6" t="s">
        <v>576</v>
      </c>
      <c r="L205" s="6">
        <f>MEDIAN(租金配对!L534:L537)</f>
        <v>0.0228285077951002</v>
      </c>
    </row>
    <row r="206" ht="21" customHeight="1" spans="1:12">
      <c r="A206" s="5" t="s">
        <v>15</v>
      </c>
      <c r="B206" s="6" t="s">
        <v>62</v>
      </c>
      <c r="C206" s="6" t="s">
        <v>152</v>
      </c>
      <c r="D206" s="6" t="s">
        <v>153</v>
      </c>
      <c r="E206" s="6" t="s">
        <v>577</v>
      </c>
      <c r="F206" s="6" t="s">
        <v>181</v>
      </c>
      <c r="G206" s="6">
        <v>53.22</v>
      </c>
      <c r="H206" s="6">
        <v>101</v>
      </c>
      <c r="I206" s="6">
        <v>1</v>
      </c>
      <c r="J206" s="7">
        <f>MEDIAN(租金配对!K529:K529)</f>
        <v>0.0173626926857335</v>
      </c>
      <c r="K206" s="6" t="s">
        <v>578</v>
      </c>
      <c r="L206" s="6">
        <f>MEDIAN(租金配对!L529:L529)</f>
        <v>0.0198019801980198</v>
      </c>
    </row>
    <row r="207" ht="21" customHeight="1" spans="1:12">
      <c r="A207" s="5" t="s">
        <v>15</v>
      </c>
      <c r="B207" s="6" t="s">
        <v>62</v>
      </c>
      <c r="C207" s="6" t="s">
        <v>152</v>
      </c>
      <c r="D207" s="6" t="s">
        <v>153</v>
      </c>
      <c r="E207" s="6" t="s">
        <v>579</v>
      </c>
      <c r="F207" s="6" t="s">
        <v>181</v>
      </c>
      <c r="G207" s="6">
        <v>44.46</v>
      </c>
      <c r="H207" s="6">
        <v>92</v>
      </c>
      <c r="I207" s="6">
        <v>4</v>
      </c>
      <c r="J207" s="7">
        <f>MEDIAN(租金配对!K546:K549)</f>
        <v>0.0197652384461522</v>
      </c>
      <c r="K207" s="6" t="s">
        <v>580</v>
      </c>
      <c r="L207" s="6">
        <f>MEDIAN(租金配对!L546:L549)</f>
        <v>0.0222826086956522</v>
      </c>
    </row>
    <row r="208" ht="21" customHeight="1" spans="1:12">
      <c r="A208" s="5" t="s">
        <v>15</v>
      </c>
      <c r="B208" s="6" t="s">
        <v>62</v>
      </c>
      <c r="C208" s="6" t="s">
        <v>152</v>
      </c>
      <c r="D208" s="6" t="s">
        <v>153</v>
      </c>
      <c r="E208" s="6" t="s">
        <v>581</v>
      </c>
      <c r="F208" s="6" t="s">
        <v>178</v>
      </c>
      <c r="G208" s="6">
        <v>55.67</v>
      </c>
      <c r="H208" s="6">
        <v>85</v>
      </c>
      <c r="I208" s="6">
        <v>1</v>
      </c>
      <c r="J208" s="7">
        <f>MEDIAN(租金配对!K528:K528)</f>
        <v>0.0209727958980202</v>
      </c>
      <c r="K208" s="6" t="s">
        <v>582</v>
      </c>
      <c r="L208" s="6">
        <f>MEDIAN(租金配对!L528:L528)</f>
        <v>0.0235294117647059</v>
      </c>
    </row>
    <row r="209" ht="21" customHeight="1" spans="1:12">
      <c r="A209" s="5" t="s">
        <v>15</v>
      </c>
      <c r="B209" s="6" t="s">
        <v>62</v>
      </c>
      <c r="C209" s="6" t="s">
        <v>152</v>
      </c>
      <c r="D209" s="6" t="s">
        <v>153</v>
      </c>
      <c r="E209" s="6" t="s">
        <v>583</v>
      </c>
      <c r="F209" s="6" t="s">
        <v>178</v>
      </c>
      <c r="G209" s="6">
        <v>49.39</v>
      </c>
      <c r="H209" s="6">
        <v>95.9</v>
      </c>
      <c r="I209" s="6">
        <v>4</v>
      </c>
      <c r="J209" s="7">
        <f>MEDIAN(租金配对!K557:K560)</f>
        <v>0.0188875872011554</v>
      </c>
      <c r="K209" s="6" t="s">
        <v>584</v>
      </c>
      <c r="L209" s="6">
        <f>MEDIAN(租金配对!L557:L560)</f>
        <v>0.0213764337851929</v>
      </c>
    </row>
    <row r="210" ht="21" customHeight="1" spans="1:12">
      <c r="A210" s="5" t="s">
        <v>15</v>
      </c>
      <c r="B210" s="6" t="s">
        <v>62</v>
      </c>
      <c r="C210" s="6" t="s">
        <v>152</v>
      </c>
      <c r="D210" s="6" t="s">
        <v>153</v>
      </c>
      <c r="E210" s="6" t="s">
        <v>585</v>
      </c>
      <c r="F210" s="6" t="s">
        <v>181</v>
      </c>
      <c r="G210" s="6">
        <v>53.38</v>
      </c>
      <c r="H210" s="6">
        <v>116</v>
      </c>
      <c r="I210" s="6">
        <v>1</v>
      </c>
      <c r="J210" s="7">
        <f>MEDIAN(租金配对!K533:K533)</f>
        <v>0.0148826918259998</v>
      </c>
      <c r="K210" s="6" t="s">
        <v>586</v>
      </c>
      <c r="L210" s="6">
        <f>MEDIAN(租金配对!L533:L533)</f>
        <v>0.0172413793103448</v>
      </c>
    </row>
    <row r="211" ht="21" customHeight="1" spans="1:12">
      <c r="A211" s="5" t="s">
        <v>15</v>
      </c>
      <c r="B211" s="6" t="s">
        <v>62</v>
      </c>
      <c r="C211" s="6" t="s">
        <v>159</v>
      </c>
      <c r="D211" s="6" t="s">
        <v>160</v>
      </c>
      <c r="E211" s="6" t="s">
        <v>587</v>
      </c>
      <c r="F211" s="6" t="s">
        <v>178</v>
      </c>
      <c r="G211" s="6">
        <v>27.83</v>
      </c>
      <c r="H211" s="6">
        <v>75</v>
      </c>
      <c r="I211" s="6">
        <v>0</v>
      </c>
      <c r="J211" s="7"/>
      <c r="K211" s="6" t="s">
        <v>588</v>
      </c>
      <c r="L211" s="6"/>
    </row>
    <row r="212" ht="21" customHeight="1" spans="1:12">
      <c r="A212" s="5" t="s">
        <v>15</v>
      </c>
      <c r="B212" s="6" t="s">
        <v>62</v>
      </c>
      <c r="C212" s="6" t="s">
        <v>159</v>
      </c>
      <c r="D212" s="6" t="s">
        <v>160</v>
      </c>
      <c r="E212" s="6" t="s">
        <v>589</v>
      </c>
      <c r="F212" s="6" t="s">
        <v>178</v>
      </c>
      <c r="G212" s="6">
        <v>27.16</v>
      </c>
      <c r="H212" s="6">
        <v>78</v>
      </c>
      <c r="I212" s="6">
        <v>0</v>
      </c>
      <c r="J212" s="7"/>
      <c r="K212" s="6" t="s">
        <v>590</v>
      </c>
      <c r="L212" s="6"/>
    </row>
    <row r="213" ht="21" customHeight="1" spans="1:12">
      <c r="A213" s="5" t="s">
        <v>15</v>
      </c>
      <c r="B213" s="6" t="s">
        <v>62</v>
      </c>
      <c r="C213" s="6" t="s">
        <v>159</v>
      </c>
      <c r="D213" s="6" t="s">
        <v>155</v>
      </c>
      <c r="E213" s="6" t="s">
        <v>591</v>
      </c>
      <c r="F213" s="6" t="s">
        <v>178</v>
      </c>
      <c r="G213" s="6">
        <v>27.83</v>
      </c>
      <c r="H213" s="6">
        <v>99</v>
      </c>
      <c r="I213" s="6">
        <v>0</v>
      </c>
      <c r="J213" s="7"/>
      <c r="K213" s="6" t="s">
        <v>592</v>
      </c>
      <c r="L213" s="6"/>
    </row>
    <row r="214" ht="21" customHeight="1" spans="1:12">
      <c r="A214" s="5" t="s">
        <v>15</v>
      </c>
      <c r="B214" s="6" t="s">
        <v>66</v>
      </c>
      <c r="C214" s="6" t="s">
        <v>152</v>
      </c>
      <c r="D214" s="6" t="s">
        <v>153</v>
      </c>
      <c r="E214" s="6" t="s">
        <v>593</v>
      </c>
      <c r="F214" s="6" t="s">
        <v>181</v>
      </c>
      <c r="G214" s="6">
        <v>45.79</v>
      </c>
      <c r="H214" s="6">
        <v>98</v>
      </c>
      <c r="I214" s="6">
        <v>15</v>
      </c>
      <c r="J214" s="7">
        <f>MEDIAN(租金配对!K652:K666)</f>
        <v>0.0181968671245738</v>
      </c>
      <c r="K214" s="6" t="s">
        <v>594</v>
      </c>
      <c r="L214" s="6">
        <f>MEDIAN(租金配对!L652:L666)</f>
        <v>0.0206632653061225</v>
      </c>
    </row>
    <row r="215" ht="21" customHeight="1" spans="1:12">
      <c r="A215" s="5" t="s">
        <v>15</v>
      </c>
      <c r="B215" s="6" t="s">
        <v>66</v>
      </c>
      <c r="C215" s="6" t="s">
        <v>152</v>
      </c>
      <c r="D215" s="6" t="s">
        <v>153</v>
      </c>
      <c r="E215" s="6" t="s">
        <v>595</v>
      </c>
      <c r="F215" s="6" t="s">
        <v>181</v>
      </c>
      <c r="G215" s="6">
        <v>52.04</v>
      </c>
      <c r="H215" s="6">
        <v>109</v>
      </c>
      <c r="I215" s="6">
        <v>15</v>
      </c>
      <c r="J215" s="7">
        <f>MEDIAN(租金配对!K562:K576)</f>
        <v>0.0161772219383788</v>
      </c>
      <c r="K215" s="6" t="s">
        <v>596</v>
      </c>
      <c r="L215" s="6">
        <f>MEDIAN(租金配对!L562:L576)</f>
        <v>0.0185779816513761</v>
      </c>
    </row>
    <row r="216" ht="21" customHeight="1" spans="1:12">
      <c r="A216" s="5" t="s">
        <v>15</v>
      </c>
      <c r="B216" s="6" t="s">
        <v>66</v>
      </c>
      <c r="C216" s="6" t="s">
        <v>152</v>
      </c>
      <c r="D216" s="6" t="s">
        <v>153</v>
      </c>
      <c r="E216" s="6" t="s">
        <v>597</v>
      </c>
      <c r="F216" s="6" t="s">
        <v>178</v>
      </c>
      <c r="G216" s="6">
        <v>45.33</v>
      </c>
      <c r="H216" s="6">
        <v>99</v>
      </c>
      <c r="I216" s="6">
        <v>15</v>
      </c>
      <c r="J216" s="7">
        <f>MEDIAN(租金配对!K742:K756)</f>
        <v>0.0179947171472595</v>
      </c>
      <c r="K216" s="6" t="s">
        <v>598</v>
      </c>
      <c r="L216" s="6">
        <f>MEDIAN(租金配对!L742:L756)</f>
        <v>0.0204545454545455</v>
      </c>
    </row>
    <row r="217" ht="21" customHeight="1" spans="1:12">
      <c r="A217" s="5" t="s">
        <v>15</v>
      </c>
      <c r="B217" s="6" t="s">
        <v>66</v>
      </c>
      <c r="C217" s="6" t="s">
        <v>152</v>
      </c>
      <c r="D217" s="6" t="s">
        <v>153</v>
      </c>
      <c r="E217" s="6" t="s">
        <v>599</v>
      </c>
      <c r="F217" s="6" t="s">
        <v>178</v>
      </c>
      <c r="G217" s="6">
        <v>45.65</v>
      </c>
      <c r="H217" s="6">
        <v>109</v>
      </c>
      <c r="I217" s="6">
        <v>15</v>
      </c>
      <c r="J217" s="7">
        <f>MEDIAN(租金配对!K697:K711)</f>
        <v>0.0161772219383788</v>
      </c>
      <c r="K217" s="6" t="s">
        <v>600</v>
      </c>
      <c r="L217" s="6">
        <f>MEDIAN(租金配对!L697:L711)</f>
        <v>0.0185779816513761</v>
      </c>
    </row>
    <row r="218" ht="21" customHeight="1" spans="1:12">
      <c r="A218" s="5" t="s">
        <v>15</v>
      </c>
      <c r="B218" s="6" t="s">
        <v>66</v>
      </c>
      <c r="C218" s="6" t="s">
        <v>152</v>
      </c>
      <c r="D218" s="6" t="s">
        <v>153</v>
      </c>
      <c r="E218" s="6" t="s">
        <v>601</v>
      </c>
      <c r="F218" s="6" t="s">
        <v>181</v>
      </c>
      <c r="G218" s="6">
        <v>47.26</v>
      </c>
      <c r="H218" s="6">
        <v>96.9</v>
      </c>
      <c r="I218" s="6">
        <v>15</v>
      </c>
      <c r="J218" s="7">
        <f>MEDIAN(租金配对!K577:K591)</f>
        <v>0.0184240511548063</v>
      </c>
      <c r="K218" s="6" t="s">
        <v>602</v>
      </c>
      <c r="L218" s="6">
        <f>MEDIAN(租金配对!L577:L591)</f>
        <v>0.0208978328173375</v>
      </c>
    </row>
    <row r="219" ht="21" customHeight="1" spans="1:12">
      <c r="A219" s="5" t="s">
        <v>15</v>
      </c>
      <c r="B219" s="6" t="s">
        <v>66</v>
      </c>
      <c r="C219" s="6" t="s">
        <v>152</v>
      </c>
      <c r="D219" s="6" t="s">
        <v>153</v>
      </c>
      <c r="E219" s="6" t="s">
        <v>603</v>
      </c>
      <c r="F219" s="6" t="s">
        <v>181</v>
      </c>
      <c r="G219" s="6">
        <v>45.79</v>
      </c>
      <c r="H219" s="6">
        <v>108</v>
      </c>
      <c r="I219" s="6">
        <v>15</v>
      </c>
      <c r="J219" s="7">
        <f>MEDIAN(租金配对!K622:K636)</f>
        <v>0.0163438256658596</v>
      </c>
      <c r="K219" s="6" t="s">
        <v>604</v>
      </c>
      <c r="L219" s="6">
        <f>MEDIAN(租金配对!L622:L636)</f>
        <v>0.01875</v>
      </c>
    </row>
    <row r="220" ht="21" customHeight="1" spans="1:12">
      <c r="A220" s="5" t="s">
        <v>15</v>
      </c>
      <c r="B220" s="6" t="s">
        <v>66</v>
      </c>
      <c r="C220" s="6" t="s">
        <v>152</v>
      </c>
      <c r="D220" s="6" t="s">
        <v>153</v>
      </c>
      <c r="E220" s="6" t="s">
        <v>605</v>
      </c>
      <c r="F220" s="6" t="s">
        <v>181</v>
      </c>
      <c r="G220" s="6">
        <v>45.46</v>
      </c>
      <c r="H220" s="6">
        <v>102</v>
      </c>
      <c r="I220" s="6">
        <v>15</v>
      </c>
      <c r="J220" s="7">
        <f>MEDIAN(租金配对!K667:K681)</f>
        <v>0.0174120495655889</v>
      </c>
      <c r="K220" s="6" t="s">
        <v>606</v>
      </c>
      <c r="L220" s="6">
        <f>MEDIAN(租金配对!L667:L681)</f>
        <v>0.0198529411764706</v>
      </c>
    </row>
    <row r="221" ht="21" customHeight="1" spans="1:12">
      <c r="A221" s="5" t="s">
        <v>15</v>
      </c>
      <c r="B221" s="6" t="s">
        <v>66</v>
      </c>
      <c r="C221" s="6" t="s">
        <v>152</v>
      </c>
      <c r="D221" s="6" t="s">
        <v>153</v>
      </c>
      <c r="E221" s="6" t="s">
        <v>607</v>
      </c>
      <c r="F221" s="6" t="s">
        <v>178</v>
      </c>
      <c r="G221" s="6">
        <v>45.25</v>
      </c>
      <c r="H221" s="6">
        <v>93</v>
      </c>
      <c r="I221" s="6">
        <v>15</v>
      </c>
      <c r="J221" s="7">
        <f>MEDIAN(租金配对!K592:K606)</f>
        <v>0.0192728266812466</v>
      </c>
      <c r="K221" s="6" t="s">
        <v>608</v>
      </c>
      <c r="L221" s="6">
        <f>MEDIAN(租金配对!L592:L606)</f>
        <v>0.0217741935483871</v>
      </c>
    </row>
    <row r="222" ht="21" customHeight="1" spans="1:12">
      <c r="A222" s="5" t="s">
        <v>15</v>
      </c>
      <c r="B222" s="6" t="s">
        <v>66</v>
      </c>
      <c r="C222" s="6" t="s">
        <v>152</v>
      </c>
      <c r="D222" s="6" t="s">
        <v>153</v>
      </c>
      <c r="E222" s="6" t="s">
        <v>609</v>
      </c>
      <c r="F222" s="6" t="s">
        <v>181</v>
      </c>
      <c r="G222" s="6">
        <v>45.47</v>
      </c>
      <c r="H222" s="6">
        <v>110</v>
      </c>
      <c r="I222" s="6">
        <v>15</v>
      </c>
      <c r="J222" s="7">
        <f>MEDIAN(租金配对!K607:K621)</f>
        <v>0.0160136473695796</v>
      </c>
      <c r="K222" s="6" t="s">
        <v>610</v>
      </c>
      <c r="L222" s="6">
        <f>MEDIAN(租金配对!L607:L621)</f>
        <v>0.0184090909090909</v>
      </c>
    </row>
    <row r="223" ht="21" customHeight="1" spans="1:12">
      <c r="A223" s="5" t="s">
        <v>15</v>
      </c>
      <c r="B223" s="6" t="s">
        <v>66</v>
      </c>
      <c r="C223" s="6" t="s">
        <v>152</v>
      </c>
      <c r="D223" s="6" t="s">
        <v>153</v>
      </c>
      <c r="E223" s="6" t="s">
        <v>611</v>
      </c>
      <c r="F223" s="6" t="s">
        <v>181</v>
      </c>
      <c r="G223" s="6">
        <v>47.47</v>
      </c>
      <c r="H223" s="6">
        <v>95</v>
      </c>
      <c r="I223" s="6">
        <v>15</v>
      </c>
      <c r="J223" s="7">
        <f>MEDIAN(租金配对!K757:K771)</f>
        <v>0.0188288517904932</v>
      </c>
      <c r="K223" s="6" t="s">
        <v>612</v>
      </c>
      <c r="L223" s="6">
        <f>MEDIAN(租金配对!L757:L771)</f>
        <v>0.0213157894736842</v>
      </c>
    </row>
    <row r="224" ht="21" customHeight="1" spans="1:12">
      <c r="A224" s="5" t="s">
        <v>15</v>
      </c>
      <c r="B224" s="6" t="s">
        <v>66</v>
      </c>
      <c r="C224" s="6" t="s">
        <v>152</v>
      </c>
      <c r="D224" s="6" t="s">
        <v>153</v>
      </c>
      <c r="E224" s="6" t="s">
        <v>613</v>
      </c>
      <c r="F224" s="6" t="s">
        <v>181</v>
      </c>
      <c r="G224" s="6">
        <v>45.48</v>
      </c>
      <c r="H224" s="6">
        <v>105</v>
      </c>
      <c r="I224" s="6">
        <v>15</v>
      </c>
      <c r="J224" s="7">
        <f>MEDIAN(租金配对!K712:K726)</f>
        <v>0.0168626772742996</v>
      </c>
      <c r="K224" s="6" t="s">
        <v>614</v>
      </c>
      <c r="L224" s="6">
        <f>MEDIAN(租金配对!L712:L726)</f>
        <v>0.0192857142857143</v>
      </c>
    </row>
    <row r="225" ht="21" customHeight="1" spans="1:12">
      <c r="A225" s="5" t="s">
        <v>15</v>
      </c>
      <c r="B225" s="6" t="s">
        <v>66</v>
      </c>
      <c r="C225" s="6" t="s">
        <v>152</v>
      </c>
      <c r="D225" s="6" t="s">
        <v>153</v>
      </c>
      <c r="E225" s="6" t="s">
        <v>615</v>
      </c>
      <c r="F225" s="6" t="s">
        <v>181</v>
      </c>
      <c r="G225" s="6">
        <v>45.45</v>
      </c>
      <c r="H225" s="6">
        <v>96</v>
      </c>
      <c r="I225" s="6">
        <v>15</v>
      </c>
      <c r="J225" s="7">
        <f>MEDIAN(租金配对!K637:K651)</f>
        <v>0.0186138014527845</v>
      </c>
      <c r="K225" s="6" t="s">
        <v>616</v>
      </c>
      <c r="L225" s="6">
        <f>MEDIAN(租金配对!L637:L651)</f>
        <v>0.02109375</v>
      </c>
    </row>
    <row r="226" ht="21" customHeight="1" spans="1:12">
      <c r="A226" s="5" t="s">
        <v>15</v>
      </c>
      <c r="B226" s="6" t="s">
        <v>66</v>
      </c>
      <c r="C226" s="6" t="s">
        <v>152</v>
      </c>
      <c r="D226" s="6" t="s">
        <v>153</v>
      </c>
      <c r="E226" s="6" t="s">
        <v>617</v>
      </c>
      <c r="F226" s="6" t="s">
        <v>178</v>
      </c>
      <c r="G226" s="6">
        <v>45.78</v>
      </c>
      <c r="H226" s="6">
        <v>109</v>
      </c>
      <c r="I226" s="6">
        <v>15</v>
      </c>
      <c r="J226" s="7">
        <f>MEDIAN(租金配对!K727:K741)</f>
        <v>0.0161772219383788</v>
      </c>
      <c r="K226" s="6" t="s">
        <v>618</v>
      </c>
      <c r="L226" s="6">
        <f>MEDIAN(租金配对!L727:L741)</f>
        <v>0.0185779816513761</v>
      </c>
    </row>
    <row r="227" ht="21" customHeight="1" spans="1:12">
      <c r="A227" s="5" t="s">
        <v>15</v>
      </c>
      <c r="B227" s="6" t="s">
        <v>66</v>
      </c>
      <c r="C227" s="6" t="s">
        <v>152</v>
      </c>
      <c r="D227" s="6" t="s">
        <v>153</v>
      </c>
      <c r="E227" s="6" t="s">
        <v>619</v>
      </c>
      <c r="F227" s="6" t="s">
        <v>178</v>
      </c>
      <c r="G227" s="6">
        <v>46.28</v>
      </c>
      <c r="H227" s="6">
        <v>98</v>
      </c>
      <c r="I227" s="6">
        <v>15</v>
      </c>
      <c r="J227" s="7">
        <f>MEDIAN(租金配对!K682:K696)</f>
        <v>0.0181968671245738</v>
      </c>
      <c r="K227" s="6" t="s">
        <v>620</v>
      </c>
      <c r="L227" s="6">
        <f>MEDIAN(租金配对!L682:L696)</f>
        <v>0.0206632653061225</v>
      </c>
    </row>
    <row r="228" ht="21" customHeight="1" spans="1:12">
      <c r="A228" s="5" t="s">
        <v>15</v>
      </c>
      <c r="B228" s="6" t="s">
        <v>66</v>
      </c>
      <c r="C228" s="6" t="s">
        <v>152</v>
      </c>
      <c r="D228" s="6" t="s">
        <v>153</v>
      </c>
      <c r="E228" s="6" t="s">
        <v>621</v>
      </c>
      <c r="F228" s="6" t="s">
        <v>178</v>
      </c>
      <c r="G228" s="6">
        <v>45.47</v>
      </c>
      <c r="H228" s="6">
        <v>86</v>
      </c>
      <c r="I228" s="6">
        <v>15</v>
      </c>
      <c r="J228" s="7">
        <f>MEDIAN(租金配对!K772:K786)</f>
        <v>0.0209893575088687</v>
      </c>
      <c r="K228" s="6" t="s">
        <v>622</v>
      </c>
      <c r="L228" s="6">
        <f>MEDIAN(租金配对!L772:L786)</f>
        <v>0.023546511627907</v>
      </c>
    </row>
    <row r="229" ht="21" customHeight="1" spans="1:12">
      <c r="A229" s="5" t="s">
        <v>15</v>
      </c>
      <c r="B229" s="6" t="s">
        <v>66</v>
      </c>
      <c r="C229" s="6" t="s">
        <v>159</v>
      </c>
      <c r="D229" s="6" t="s">
        <v>160</v>
      </c>
      <c r="E229" s="6" t="s">
        <v>623</v>
      </c>
      <c r="F229" s="6" t="s">
        <v>181</v>
      </c>
      <c r="G229" s="6">
        <v>36.02</v>
      </c>
      <c r="H229" s="6">
        <v>82</v>
      </c>
      <c r="I229" s="6">
        <v>0</v>
      </c>
      <c r="J229" s="7"/>
      <c r="K229" s="6" t="s">
        <v>624</v>
      </c>
      <c r="L229" s="6"/>
    </row>
    <row r="230" ht="21" customHeight="1" spans="1:12">
      <c r="A230" s="5" t="s">
        <v>15</v>
      </c>
      <c r="B230" s="6" t="s">
        <v>66</v>
      </c>
      <c r="C230" s="6" t="s">
        <v>159</v>
      </c>
      <c r="D230" s="6" t="s">
        <v>153</v>
      </c>
      <c r="E230" s="6" t="s">
        <v>625</v>
      </c>
      <c r="F230" s="6" t="s">
        <v>178</v>
      </c>
      <c r="G230" s="6">
        <v>36.29</v>
      </c>
      <c r="H230" s="6">
        <v>88.8</v>
      </c>
      <c r="I230" s="6">
        <v>1</v>
      </c>
      <c r="J230" s="7">
        <f>MEDIAN(租金配对!K561:K561)</f>
        <v>0.0189069214492943</v>
      </c>
      <c r="K230" s="6" t="s">
        <v>626</v>
      </c>
      <c r="L230" s="6">
        <f>MEDIAN(租金配对!L561:L561)</f>
        <v>0.0213963963963964</v>
      </c>
    </row>
    <row r="231" ht="21" customHeight="1" spans="1:12">
      <c r="A231" s="5" t="s">
        <v>15</v>
      </c>
      <c r="B231" s="6" t="s">
        <v>54</v>
      </c>
      <c r="C231" s="6" t="s">
        <v>152</v>
      </c>
      <c r="D231" s="6" t="s">
        <v>153</v>
      </c>
      <c r="E231" s="6" t="s">
        <v>627</v>
      </c>
      <c r="F231" s="6" t="s">
        <v>178</v>
      </c>
      <c r="G231" s="6">
        <v>53.53</v>
      </c>
      <c r="H231" s="6">
        <v>73</v>
      </c>
      <c r="I231" s="6">
        <v>1</v>
      </c>
      <c r="J231" s="7">
        <f>MEDIAN(租金配对!K787:K787)</f>
        <v>0.0273723838269926</v>
      </c>
      <c r="K231" s="6" t="s">
        <v>628</v>
      </c>
      <c r="L231" s="6">
        <f>MEDIAN(租金配对!L787:L787)</f>
        <v>0.0301369863013699</v>
      </c>
    </row>
    <row r="232" ht="21" customHeight="1" spans="1:12">
      <c r="A232" s="5" t="s">
        <v>12</v>
      </c>
      <c r="B232" s="6" t="s">
        <v>75</v>
      </c>
      <c r="C232" s="6" t="s">
        <v>152</v>
      </c>
      <c r="D232" s="6" t="s">
        <v>153</v>
      </c>
      <c r="E232" s="6" t="s">
        <v>629</v>
      </c>
      <c r="F232" s="6" t="s">
        <v>181</v>
      </c>
      <c r="G232" s="6">
        <v>47.74</v>
      </c>
      <c r="H232" s="6">
        <v>79</v>
      </c>
      <c r="I232" s="6">
        <v>1</v>
      </c>
      <c r="J232" s="7">
        <f>MEDIAN(租金配对!K790:K790)</f>
        <v>0.0288334814724002</v>
      </c>
      <c r="K232" s="6" t="s">
        <v>630</v>
      </c>
      <c r="L232" s="6">
        <f>MEDIAN(租金配对!L790:L790)</f>
        <v>0.0316455696202532</v>
      </c>
    </row>
    <row r="233" ht="21" customHeight="1" spans="1:12">
      <c r="A233" s="5" t="s">
        <v>12</v>
      </c>
      <c r="B233" s="6" t="s">
        <v>75</v>
      </c>
      <c r="C233" s="6" t="s">
        <v>152</v>
      </c>
      <c r="D233" s="6" t="s">
        <v>153</v>
      </c>
      <c r="E233" s="6" t="s">
        <v>631</v>
      </c>
      <c r="F233" s="6" t="s">
        <v>181</v>
      </c>
      <c r="G233" s="6">
        <v>47.74</v>
      </c>
      <c r="H233" s="6">
        <v>84.9</v>
      </c>
      <c r="I233" s="6">
        <v>1</v>
      </c>
      <c r="J233" s="7">
        <f>MEDIAN(租金配对!K788:K788)</f>
        <v>0.0267035424099567</v>
      </c>
      <c r="K233" s="6" t="s">
        <v>632</v>
      </c>
      <c r="L233" s="6">
        <f>MEDIAN(租金配对!L788:L788)</f>
        <v>0.0294464075382803</v>
      </c>
    </row>
    <row r="234" ht="21" customHeight="1" spans="1:12">
      <c r="A234" s="5" t="s">
        <v>12</v>
      </c>
      <c r="B234" s="6" t="s">
        <v>75</v>
      </c>
      <c r="C234" s="6" t="s">
        <v>152</v>
      </c>
      <c r="D234" s="6" t="s">
        <v>153</v>
      </c>
      <c r="E234" s="6" t="s">
        <v>633</v>
      </c>
      <c r="F234" s="6" t="s">
        <v>181</v>
      </c>
      <c r="G234" s="6">
        <v>46.73</v>
      </c>
      <c r="H234" s="6">
        <v>79</v>
      </c>
      <c r="I234" s="6">
        <v>1</v>
      </c>
      <c r="J234" s="7">
        <f>MEDIAN(租金配对!K789:K789)</f>
        <v>0.0288334814724002</v>
      </c>
      <c r="K234" s="6" t="s">
        <v>634</v>
      </c>
      <c r="L234" s="6">
        <f>MEDIAN(租金配对!L789:L789)</f>
        <v>0.0316455696202532</v>
      </c>
    </row>
    <row r="235" ht="21" customHeight="1" spans="1:12">
      <c r="A235" s="5" t="s">
        <v>12</v>
      </c>
      <c r="B235" s="6" t="s">
        <v>77</v>
      </c>
      <c r="C235" s="6" t="s">
        <v>152</v>
      </c>
      <c r="D235" s="6" t="s">
        <v>153</v>
      </c>
      <c r="E235" s="6" t="s">
        <v>635</v>
      </c>
      <c r="F235" s="6" t="s">
        <v>181</v>
      </c>
      <c r="G235" s="6">
        <v>54.77</v>
      </c>
      <c r="H235" s="6">
        <v>110</v>
      </c>
      <c r="I235" s="6">
        <v>7</v>
      </c>
      <c r="J235" s="7">
        <f>MEDIAN(租金配对!K833:K839)</f>
        <v>0.0201959057891261</v>
      </c>
      <c r="K235" s="6" t="s">
        <v>636</v>
      </c>
      <c r="L235" s="6">
        <f>MEDIAN(租金配对!L833:L839)</f>
        <v>0.0227272727272727</v>
      </c>
    </row>
    <row r="236" ht="21" customHeight="1" spans="1:12">
      <c r="A236" s="5" t="s">
        <v>12</v>
      </c>
      <c r="B236" s="6" t="s">
        <v>77</v>
      </c>
      <c r="C236" s="6" t="s">
        <v>152</v>
      </c>
      <c r="D236" s="6" t="s">
        <v>153</v>
      </c>
      <c r="E236" s="6" t="s">
        <v>637</v>
      </c>
      <c r="F236" s="6" t="s">
        <v>181</v>
      </c>
      <c r="G236" s="6">
        <v>51.28</v>
      </c>
      <c r="H236" s="6">
        <v>92</v>
      </c>
      <c r="I236" s="6">
        <v>6</v>
      </c>
      <c r="J236" s="7">
        <f>MEDIAN(租金配对!K840:K845)</f>
        <v>0.0250289504158332</v>
      </c>
      <c r="K236" s="6" t="s">
        <v>638</v>
      </c>
      <c r="L236" s="6">
        <f>MEDIAN(租金配对!L840:L845)</f>
        <v>0.0277173913043478</v>
      </c>
    </row>
    <row r="237" ht="21" customHeight="1" spans="1:12">
      <c r="A237" s="5" t="s">
        <v>12</v>
      </c>
      <c r="B237" s="6" t="s">
        <v>77</v>
      </c>
      <c r="C237" s="6" t="s">
        <v>152</v>
      </c>
      <c r="D237" s="6" t="s">
        <v>153</v>
      </c>
      <c r="E237" s="6" t="s">
        <v>639</v>
      </c>
      <c r="F237" s="6" t="s">
        <v>181</v>
      </c>
      <c r="G237" s="6">
        <v>54.77</v>
      </c>
      <c r="H237" s="6">
        <v>83</v>
      </c>
      <c r="I237" s="6">
        <v>7</v>
      </c>
      <c r="J237" s="7">
        <f>MEDIAN(租金配对!K791:K797)</f>
        <v>0.0273563989614633</v>
      </c>
      <c r="K237" s="6" t="s">
        <v>640</v>
      </c>
      <c r="L237" s="6">
        <f>MEDIAN(租金配对!L791:L797)</f>
        <v>0.0301204819277108</v>
      </c>
    </row>
    <row r="238" ht="21" customHeight="1" spans="1:12">
      <c r="A238" s="5" t="s">
        <v>12</v>
      </c>
      <c r="B238" s="6" t="s">
        <v>77</v>
      </c>
      <c r="C238" s="6" t="s">
        <v>152</v>
      </c>
      <c r="D238" s="6" t="s">
        <v>153</v>
      </c>
      <c r="E238" s="6" t="s">
        <v>641</v>
      </c>
      <c r="F238" s="6" t="s">
        <v>181</v>
      </c>
      <c r="G238" s="6">
        <v>54.77</v>
      </c>
      <c r="H238" s="6">
        <v>85</v>
      </c>
      <c r="I238" s="6">
        <v>7</v>
      </c>
      <c r="J238" s="7">
        <f>MEDIAN(租金配对!K812:K818)</f>
        <v>0.0266699900299103</v>
      </c>
      <c r="K238" s="6" t="s">
        <v>642</v>
      </c>
      <c r="L238" s="6">
        <f>MEDIAN(租金配对!L812:L818)</f>
        <v>0.0294117647058824</v>
      </c>
    </row>
    <row r="239" ht="21" customHeight="1" spans="1:12">
      <c r="A239" s="5" t="s">
        <v>12</v>
      </c>
      <c r="B239" s="6" t="s">
        <v>77</v>
      </c>
      <c r="C239" s="6" t="s">
        <v>152</v>
      </c>
      <c r="D239" s="6" t="s">
        <v>153</v>
      </c>
      <c r="E239" s="6" t="s">
        <v>643</v>
      </c>
      <c r="F239" s="6" t="s">
        <v>178</v>
      </c>
      <c r="G239" s="6">
        <v>52.38</v>
      </c>
      <c r="H239" s="6">
        <v>95</v>
      </c>
      <c r="I239" s="6">
        <v>7</v>
      </c>
      <c r="J239" s="7">
        <f>MEDIAN(租金配对!K826:K832)</f>
        <v>0.0236714668025997</v>
      </c>
      <c r="K239" s="6" t="s">
        <v>644</v>
      </c>
      <c r="L239" s="6">
        <f>MEDIAN(租金配对!L826:L832)</f>
        <v>0.0263157894736842</v>
      </c>
    </row>
    <row r="240" ht="21" customHeight="1" spans="1:12">
      <c r="A240" s="5" t="s">
        <v>12</v>
      </c>
      <c r="B240" s="6" t="s">
        <v>77</v>
      </c>
      <c r="C240" s="6" t="s">
        <v>152</v>
      </c>
      <c r="D240" s="6" t="s">
        <v>153</v>
      </c>
      <c r="E240" s="6" t="s">
        <v>645</v>
      </c>
      <c r="F240" s="6" t="s">
        <v>181</v>
      </c>
      <c r="G240" s="6">
        <v>52.38</v>
      </c>
      <c r="H240" s="6">
        <v>78</v>
      </c>
      <c r="I240" s="6">
        <v>7</v>
      </c>
      <c r="J240" s="7">
        <f>MEDIAN(租金配对!K805:K811)</f>
        <v>0.0292264232942199</v>
      </c>
      <c r="K240" s="6" t="s">
        <v>646</v>
      </c>
      <c r="L240" s="6">
        <f>MEDIAN(租金配对!L805:L811)</f>
        <v>0.032051282051282</v>
      </c>
    </row>
    <row r="241" ht="21" customHeight="1" spans="1:12">
      <c r="A241" s="5" t="s">
        <v>12</v>
      </c>
      <c r="B241" s="6" t="s">
        <v>77</v>
      </c>
      <c r="C241" s="6" t="s">
        <v>152</v>
      </c>
      <c r="D241" s="6" t="s">
        <v>153</v>
      </c>
      <c r="E241" s="6" t="s">
        <v>647</v>
      </c>
      <c r="F241" s="6" t="s">
        <v>181</v>
      </c>
      <c r="G241" s="6">
        <v>52.38</v>
      </c>
      <c r="H241" s="6">
        <v>83</v>
      </c>
      <c r="I241" s="6">
        <v>7</v>
      </c>
      <c r="J241" s="7">
        <f>MEDIAN(租金配对!K798:K804)</f>
        <v>0.0273563989614633</v>
      </c>
      <c r="K241" s="6" t="s">
        <v>648</v>
      </c>
      <c r="L241" s="6">
        <f>MEDIAN(租金配对!L798:L804)</f>
        <v>0.0301204819277108</v>
      </c>
    </row>
    <row r="242" ht="21" customHeight="1" spans="1:12">
      <c r="A242" s="5" t="s">
        <v>12</v>
      </c>
      <c r="B242" s="6" t="s">
        <v>77</v>
      </c>
      <c r="C242" s="6" t="s">
        <v>152</v>
      </c>
      <c r="D242" s="6" t="s">
        <v>153</v>
      </c>
      <c r="E242" s="6" t="s">
        <v>649</v>
      </c>
      <c r="F242" s="6" t="s">
        <v>178</v>
      </c>
      <c r="G242" s="6">
        <v>56.39</v>
      </c>
      <c r="H242" s="6">
        <v>93</v>
      </c>
      <c r="I242" s="6">
        <v>7</v>
      </c>
      <c r="J242" s="7">
        <f>MEDIAN(租金配对!K819:K825)</f>
        <v>0.024219583951678</v>
      </c>
      <c r="K242" s="6" t="s">
        <v>650</v>
      </c>
      <c r="L242" s="6">
        <f>MEDIAN(租金配对!L819:L825)</f>
        <v>0.0268817204301075</v>
      </c>
    </row>
    <row r="243" ht="21" customHeight="1" spans="1:12">
      <c r="A243" s="5" t="s">
        <v>12</v>
      </c>
      <c r="B243" s="6" t="s">
        <v>77</v>
      </c>
      <c r="C243" s="6" t="s">
        <v>157</v>
      </c>
      <c r="D243" s="6" t="s">
        <v>153</v>
      </c>
      <c r="E243" s="6" t="s">
        <v>651</v>
      </c>
      <c r="F243" s="6" t="s">
        <v>178</v>
      </c>
      <c r="G243" s="6">
        <v>66.95</v>
      </c>
      <c r="H243" s="6">
        <v>110</v>
      </c>
      <c r="I243" s="6">
        <v>4</v>
      </c>
      <c r="J243" s="7">
        <f>MEDIAN(租金配对!K846:K849)</f>
        <v>0.0219568567026194</v>
      </c>
      <c r="K243" s="6" t="s">
        <v>652</v>
      </c>
      <c r="L243" s="6">
        <f>MEDIAN(租金配对!L846:L849)</f>
        <v>0.0245454545454545</v>
      </c>
    </row>
    <row r="244" ht="21" customHeight="1" spans="1:12">
      <c r="A244" s="5" t="s">
        <v>12</v>
      </c>
      <c r="B244" s="6" t="s">
        <v>77</v>
      </c>
      <c r="C244" s="6" t="s">
        <v>157</v>
      </c>
      <c r="D244" s="6" t="s">
        <v>155</v>
      </c>
      <c r="E244" s="6" t="s">
        <v>653</v>
      </c>
      <c r="F244" s="6" t="s">
        <v>178</v>
      </c>
      <c r="G244" s="6">
        <v>60.84</v>
      </c>
      <c r="H244" s="6">
        <v>99</v>
      </c>
      <c r="I244" s="6">
        <v>5</v>
      </c>
      <c r="J244" s="7">
        <f>MEDIAN(租金配对!K858:K862)</f>
        <v>0.0226416709467557</v>
      </c>
      <c r="K244" s="6" t="s">
        <v>654</v>
      </c>
      <c r="L244" s="6">
        <f>MEDIAN(租金配对!L858:L862)</f>
        <v>0.0252525252525253</v>
      </c>
    </row>
    <row r="245" ht="21" customHeight="1" spans="1:12">
      <c r="A245" s="5" t="s">
        <v>12</v>
      </c>
      <c r="B245" s="6" t="s">
        <v>77</v>
      </c>
      <c r="C245" s="6" t="s">
        <v>157</v>
      </c>
      <c r="D245" s="6" t="s">
        <v>155</v>
      </c>
      <c r="E245" s="6" t="s">
        <v>655</v>
      </c>
      <c r="F245" s="6" t="s">
        <v>178</v>
      </c>
      <c r="G245" s="6">
        <v>61.9</v>
      </c>
      <c r="H245" s="6">
        <v>89.5</v>
      </c>
      <c r="I245" s="6">
        <v>8</v>
      </c>
      <c r="J245" s="7">
        <f>MEDIAN(租金配对!K850:K857)</f>
        <v>0.0263198831279505</v>
      </c>
      <c r="K245" s="6" t="s">
        <v>656</v>
      </c>
      <c r="L245" s="6">
        <f>MEDIAN(租金配对!L850:L857)</f>
        <v>0.0290502793296089</v>
      </c>
    </row>
    <row r="246" ht="21" customHeight="1" spans="1:12">
      <c r="A246" s="5" t="s">
        <v>12</v>
      </c>
      <c r="B246" s="6" t="s">
        <v>77</v>
      </c>
      <c r="C246" s="6" t="s">
        <v>157</v>
      </c>
      <c r="D246" s="6" t="s">
        <v>155</v>
      </c>
      <c r="E246" s="6" t="s">
        <v>657</v>
      </c>
      <c r="F246" s="6" t="s">
        <v>181</v>
      </c>
      <c r="G246" s="6">
        <v>60.84</v>
      </c>
      <c r="H246" s="6">
        <v>96</v>
      </c>
      <c r="I246" s="6">
        <v>5</v>
      </c>
      <c r="J246" s="7">
        <f>MEDIAN(租金配对!K863:K867)</f>
        <v>0.0234059725585149</v>
      </c>
      <c r="K246" s="6" t="s">
        <v>658</v>
      </c>
      <c r="L246" s="6">
        <f>MEDIAN(租金配对!L863:L867)</f>
        <v>0.0260416666666667</v>
      </c>
    </row>
    <row r="247" ht="21" customHeight="1" spans="1:12">
      <c r="A247" s="5" t="s">
        <v>12</v>
      </c>
      <c r="B247" s="6" t="s">
        <v>72</v>
      </c>
      <c r="C247" s="6" t="s">
        <v>159</v>
      </c>
      <c r="D247" s="6" t="s">
        <v>160</v>
      </c>
      <c r="E247" s="6" t="s">
        <v>659</v>
      </c>
      <c r="F247" s="6" t="s">
        <v>181</v>
      </c>
      <c r="G247" s="6">
        <v>32.99</v>
      </c>
      <c r="H247" s="6">
        <v>43</v>
      </c>
      <c r="I247" s="6">
        <v>7</v>
      </c>
      <c r="J247" s="7">
        <f>MEDIAN(租金配对!K889:K895)</f>
        <v>0.0364744636522327</v>
      </c>
      <c r="K247" s="6" t="s">
        <v>660</v>
      </c>
      <c r="L247" s="6">
        <f>MEDIAN(租金配对!L889:L895)</f>
        <v>0.0395348837209302</v>
      </c>
    </row>
    <row r="248" ht="21" customHeight="1" spans="1:12">
      <c r="A248" s="5" t="s">
        <v>12</v>
      </c>
      <c r="B248" s="6" t="s">
        <v>72</v>
      </c>
      <c r="C248" s="6" t="s">
        <v>159</v>
      </c>
      <c r="D248" s="6" t="s">
        <v>160</v>
      </c>
      <c r="E248" s="6" t="s">
        <v>661</v>
      </c>
      <c r="F248" s="6" t="s">
        <v>181</v>
      </c>
      <c r="G248" s="6">
        <v>32.68</v>
      </c>
      <c r="H248" s="6">
        <v>40</v>
      </c>
      <c r="I248" s="6">
        <v>7</v>
      </c>
      <c r="J248" s="7">
        <f>MEDIAN(租金配对!K875:K881)</f>
        <v>0.0393462469733656</v>
      </c>
      <c r="K248" s="6" t="s">
        <v>662</v>
      </c>
      <c r="L248" s="6">
        <f>MEDIAN(租金配对!L875:L881)</f>
        <v>0.0425</v>
      </c>
    </row>
    <row r="249" ht="21" customHeight="1" spans="1:12">
      <c r="A249" s="5" t="s">
        <v>12</v>
      </c>
      <c r="B249" s="6" t="s">
        <v>72</v>
      </c>
      <c r="C249" s="6" t="s">
        <v>159</v>
      </c>
      <c r="D249" s="6" t="s">
        <v>160</v>
      </c>
      <c r="E249" s="6" t="s">
        <v>663</v>
      </c>
      <c r="F249" s="6" t="s">
        <v>178</v>
      </c>
      <c r="G249" s="6">
        <v>32.68</v>
      </c>
      <c r="H249" s="6">
        <v>40</v>
      </c>
      <c r="I249" s="6">
        <v>7</v>
      </c>
      <c r="J249" s="7">
        <f>MEDIAN(租金配对!K882:K888)</f>
        <v>0.0393462469733656</v>
      </c>
      <c r="K249" s="6" t="s">
        <v>664</v>
      </c>
      <c r="L249" s="6">
        <f>MEDIAN(租金配对!L882:L888)</f>
        <v>0.0425</v>
      </c>
    </row>
    <row r="250" ht="21" customHeight="1" spans="1:12">
      <c r="A250" s="5" t="s">
        <v>12</v>
      </c>
      <c r="B250" s="6" t="s">
        <v>72</v>
      </c>
      <c r="C250" s="6" t="s">
        <v>159</v>
      </c>
      <c r="D250" s="6" t="s">
        <v>160</v>
      </c>
      <c r="E250" s="6" t="s">
        <v>665</v>
      </c>
      <c r="F250" s="6" t="s">
        <v>181</v>
      </c>
      <c r="G250" s="6">
        <v>32.99</v>
      </c>
      <c r="H250" s="6">
        <v>43</v>
      </c>
      <c r="I250" s="6">
        <v>7</v>
      </c>
      <c r="J250" s="7">
        <f>MEDIAN(租金配对!K868:K874)</f>
        <v>0.0364744636522327</v>
      </c>
      <c r="K250" s="6" t="s">
        <v>666</v>
      </c>
      <c r="L250" s="6">
        <f>MEDIAN(租金配对!L868:L874)</f>
        <v>0.0395348837209302</v>
      </c>
    </row>
    <row r="251" ht="21" customHeight="1" spans="1:12">
      <c r="A251" s="5" t="s">
        <v>12</v>
      </c>
      <c r="B251" s="6" t="s">
        <v>72</v>
      </c>
      <c r="C251" s="6" t="s">
        <v>159</v>
      </c>
      <c r="D251" s="6" t="s">
        <v>153</v>
      </c>
      <c r="E251" s="6" t="s">
        <v>667</v>
      </c>
      <c r="F251" s="6" t="s">
        <v>181</v>
      </c>
      <c r="G251" s="6">
        <v>32.99</v>
      </c>
      <c r="H251" s="6">
        <v>40</v>
      </c>
      <c r="I251" s="6">
        <v>2</v>
      </c>
      <c r="J251" s="7">
        <f>MEDIAN(租金配对!K896:K897)</f>
        <v>0.0417675544794189</v>
      </c>
      <c r="K251" s="6" t="s">
        <v>668</v>
      </c>
      <c r="L251" s="6">
        <f>MEDIAN(租金配对!L896:L897)</f>
        <v>0.045</v>
      </c>
    </row>
    <row r="252" ht="21" customHeight="1" spans="1:12">
      <c r="A252" s="5" t="s">
        <v>12</v>
      </c>
      <c r="B252" s="6" t="s">
        <v>79</v>
      </c>
      <c r="C252" s="6" t="s">
        <v>157</v>
      </c>
      <c r="D252" s="6" t="s">
        <v>155</v>
      </c>
      <c r="E252" s="6" t="s">
        <v>669</v>
      </c>
      <c r="F252" s="6" t="s">
        <v>178</v>
      </c>
      <c r="G252" s="6">
        <v>73.38</v>
      </c>
      <c r="H252" s="6">
        <v>109</v>
      </c>
      <c r="I252" s="6">
        <v>2</v>
      </c>
      <c r="J252" s="7">
        <f>MEDIAN(租金配对!K899:K900)</f>
        <v>0.017287913454917</v>
      </c>
      <c r="K252" s="6" t="s">
        <v>670</v>
      </c>
      <c r="L252" s="6">
        <f>MEDIAN(租金配对!L899:L900)</f>
        <v>0.0197247706422018</v>
      </c>
    </row>
    <row r="253" ht="21" customHeight="1" spans="1:12">
      <c r="A253" s="5" t="s">
        <v>12</v>
      </c>
      <c r="B253" s="6" t="s">
        <v>79</v>
      </c>
      <c r="C253" s="6" t="s">
        <v>159</v>
      </c>
      <c r="D253" s="6" t="s">
        <v>160</v>
      </c>
      <c r="E253" s="6" t="s">
        <v>671</v>
      </c>
      <c r="F253" s="6" t="s">
        <v>181</v>
      </c>
      <c r="G253" s="6">
        <v>37.91</v>
      </c>
      <c r="H253" s="6">
        <v>47</v>
      </c>
      <c r="I253" s="6">
        <v>1</v>
      </c>
      <c r="J253" s="7">
        <f>MEDIAN(租金配对!K898:K898)</f>
        <v>0.0249729534799856</v>
      </c>
      <c r="K253" s="6" t="s">
        <v>672</v>
      </c>
      <c r="L253" s="6">
        <f>MEDIAN(租金配对!L898:L898)</f>
        <v>0.0276595744680851</v>
      </c>
    </row>
    <row r="254" ht="21" customHeight="1" spans="1:12">
      <c r="A254" s="5" t="s">
        <v>12</v>
      </c>
      <c r="B254" s="6" t="s">
        <v>79</v>
      </c>
      <c r="C254" s="6" t="s">
        <v>159</v>
      </c>
      <c r="D254" s="6" t="s">
        <v>153</v>
      </c>
      <c r="E254" s="6" t="s">
        <v>673</v>
      </c>
      <c r="F254" s="6" t="s">
        <v>181</v>
      </c>
      <c r="G254" s="6">
        <v>37.91</v>
      </c>
      <c r="H254" s="6">
        <v>48</v>
      </c>
      <c r="I254" s="6">
        <v>0</v>
      </c>
      <c r="J254" s="7"/>
      <c r="K254" s="6" t="s">
        <v>674</v>
      </c>
      <c r="L254" s="6"/>
    </row>
    <row r="255" ht="21" customHeight="1" spans="1:12">
      <c r="A255" s="5" t="s">
        <v>12</v>
      </c>
      <c r="B255" s="6" t="s">
        <v>76</v>
      </c>
      <c r="C255" s="6" t="s">
        <v>152</v>
      </c>
      <c r="D255" s="6" t="s">
        <v>153</v>
      </c>
      <c r="E255" s="6" t="s">
        <v>675</v>
      </c>
      <c r="F255" s="6" t="s">
        <v>178</v>
      </c>
      <c r="G255" s="6">
        <v>48.71</v>
      </c>
      <c r="H255" s="6">
        <v>70</v>
      </c>
      <c r="I255" s="6">
        <v>1</v>
      </c>
      <c r="J255" s="7">
        <f>MEDIAN(租金配对!K901:K901)</f>
        <v>0.0272397094430993</v>
      </c>
      <c r="K255" s="6" t="s">
        <v>676</v>
      </c>
      <c r="L255" s="6">
        <f>MEDIAN(租金配对!L901:L901)</f>
        <v>0.03</v>
      </c>
    </row>
    <row r="256" ht="21" customHeight="1" spans="1:12">
      <c r="A256" s="5" t="s">
        <v>12</v>
      </c>
      <c r="B256" s="6" t="s">
        <v>76</v>
      </c>
      <c r="C256" s="6" t="s">
        <v>152</v>
      </c>
      <c r="D256" s="6" t="s">
        <v>153</v>
      </c>
      <c r="E256" s="6" t="s">
        <v>677</v>
      </c>
      <c r="F256" s="6" t="s">
        <v>181</v>
      </c>
      <c r="G256" s="6">
        <v>48.71</v>
      </c>
      <c r="H256" s="6">
        <v>65</v>
      </c>
      <c r="I256" s="6">
        <v>1</v>
      </c>
      <c r="J256" s="7">
        <f>MEDIAN(租金配对!K902:K902)</f>
        <v>0.02947476252561</v>
      </c>
      <c r="K256" s="6" t="s">
        <v>678</v>
      </c>
      <c r="L256" s="6">
        <f>MEDIAN(租金配对!L902:L902)</f>
        <v>0.0323076923076923</v>
      </c>
    </row>
    <row r="257" ht="21" customHeight="1" spans="1:12">
      <c r="A257" s="5" t="s">
        <v>12</v>
      </c>
      <c r="B257" s="6" t="s">
        <v>76</v>
      </c>
      <c r="C257" s="6" t="s">
        <v>157</v>
      </c>
      <c r="D257" s="6" t="s">
        <v>162</v>
      </c>
      <c r="E257" s="6" t="s">
        <v>679</v>
      </c>
      <c r="F257" s="6" t="s">
        <v>181</v>
      </c>
      <c r="G257" s="6">
        <v>89.13</v>
      </c>
      <c r="H257" s="6">
        <v>119</v>
      </c>
      <c r="I257" s="6">
        <v>0</v>
      </c>
      <c r="J257" s="7"/>
      <c r="K257" s="6" t="s">
        <v>680</v>
      </c>
      <c r="L257" s="6"/>
    </row>
    <row r="258" ht="21" customHeight="1" spans="1:12">
      <c r="A258" s="5" t="s">
        <v>12</v>
      </c>
      <c r="B258" s="6" t="s">
        <v>74</v>
      </c>
      <c r="C258" s="6" t="s">
        <v>152</v>
      </c>
      <c r="D258" s="6" t="s">
        <v>153</v>
      </c>
      <c r="E258" s="6" t="s">
        <v>681</v>
      </c>
      <c r="F258" s="6" t="s">
        <v>178</v>
      </c>
      <c r="G258" s="6">
        <v>43.12</v>
      </c>
      <c r="H258" s="6">
        <v>60</v>
      </c>
      <c r="I258" s="6">
        <v>1</v>
      </c>
      <c r="J258" s="7">
        <f>MEDIAN(租金配对!K917:K917)</f>
        <v>0.0353107344632768</v>
      </c>
      <c r="K258" s="6" t="s">
        <v>682</v>
      </c>
      <c r="L258" s="6">
        <f>MEDIAN(租金配对!L917:L917)</f>
        <v>0.0383333333333333</v>
      </c>
    </row>
    <row r="259" ht="21" customHeight="1" spans="1:12">
      <c r="A259" s="5" t="s">
        <v>12</v>
      </c>
      <c r="B259" s="6" t="s">
        <v>74</v>
      </c>
      <c r="C259" s="6" t="s">
        <v>152</v>
      </c>
      <c r="D259" s="6" t="s">
        <v>153</v>
      </c>
      <c r="E259" s="6" t="s">
        <v>683</v>
      </c>
      <c r="F259" s="6" t="s">
        <v>178</v>
      </c>
      <c r="G259" s="6">
        <v>51.85</v>
      </c>
      <c r="H259" s="6">
        <v>74</v>
      </c>
      <c r="I259" s="6">
        <v>2</v>
      </c>
      <c r="J259" s="7">
        <f>MEDIAN(租金配对!K912:K913)</f>
        <v>0.0271742686996924</v>
      </c>
      <c r="K259" s="6" t="s">
        <v>684</v>
      </c>
      <c r="L259" s="6">
        <f>MEDIAN(租金配对!L912:L913)</f>
        <v>0.0299324324324324</v>
      </c>
    </row>
    <row r="260" ht="21" customHeight="1" spans="1:12">
      <c r="A260" s="5" t="s">
        <v>12</v>
      </c>
      <c r="B260" s="6" t="s">
        <v>74</v>
      </c>
      <c r="C260" s="6" t="s">
        <v>152</v>
      </c>
      <c r="D260" s="6" t="s">
        <v>153</v>
      </c>
      <c r="E260" s="6" t="s">
        <v>685</v>
      </c>
      <c r="F260" s="6" t="s">
        <v>178</v>
      </c>
      <c r="G260" s="6">
        <v>51.85</v>
      </c>
      <c r="H260" s="6">
        <v>70</v>
      </c>
      <c r="I260" s="6">
        <v>2</v>
      </c>
      <c r="J260" s="7">
        <f>MEDIAN(租金配对!K914:K915)</f>
        <v>0.0288308543756486</v>
      </c>
      <c r="K260" s="6" t="s">
        <v>686</v>
      </c>
      <c r="L260" s="6">
        <f>MEDIAN(租金配对!L914:L915)</f>
        <v>0.0316428571428571</v>
      </c>
    </row>
    <row r="261" ht="21" customHeight="1" spans="1:12">
      <c r="A261" s="5" t="s">
        <v>12</v>
      </c>
      <c r="B261" s="6" t="s">
        <v>74</v>
      </c>
      <c r="C261" s="6" t="s">
        <v>152</v>
      </c>
      <c r="D261" s="6" t="s">
        <v>153</v>
      </c>
      <c r="E261" s="6" t="s">
        <v>687</v>
      </c>
      <c r="F261" s="6" t="s">
        <v>178</v>
      </c>
      <c r="G261" s="6">
        <v>43.12</v>
      </c>
      <c r="H261" s="6">
        <v>65.8</v>
      </c>
      <c r="I261" s="6">
        <v>1</v>
      </c>
      <c r="J261" s="7">
        <f>MEDIAN(租金配对!K916:K916)</f>
        <v>0.0320381668715088</v>
      </c>
      <c r="K261" s="6" t="s">
        <v>688</v>
      </c>
      <c r="L261" s="6">
        <f>MEDIAN(租金配对!L916:L916)</f>
        <v>0.0349544072948328</v>
      </c>
    </row>
    <row r="262" ht="21" customHeight="1" spans="1:12">
      <c r="A262" s="5" t="s">
        <v>12</v>
      </c>
      <c r="B262" s="6" t="s">
        <v>74</v>
      </c>
      <c r="C262" s="6" t="s">
        <v>152</v>
      </c>
      <c r="D262" s="6" t="s">
        <v>155</v>
      </c>
      <c r="E262" s="6" t="s">
        <v>689</v>
      </c>
      <c r="F262" s="6" t="s">
        <v>181</v>
      </c>
      <c r="G262" s="6">
        <v>59</v>
      </c>
      <c r="H262" s="6">
        <v>80</v>
      </c>
      <c r="I262" s="6">
        <v>0</v>
      </c>
      <c r="J262" s="7"/>
      <c r="K262" s="6" t="s">
        <v>690</v>
      </c>
      <c r="L262" s="6"/>
    </row>
    <row r="263" ht="21" customHeight="1" spans="1:12">
      <c r="A263" s="5" t="s">
        <v>12</v>
      </c>
      <c r="B263" s="6" t="s">
        <v>74</v>
      </c>
      <c r="C263" s="6" t="s">
        <v>152</v>
      </c>
      <c r="D263" s="6" t="s">
        <v>155</v>
      </c>
      <c r="E263" s="6" t="s">
        <v>691</v>
      </c>
      <c r="F263" s="6" t="s">
        <v>178</v>
      </c>
      <c r="G263" s="6">
        <v>59</v>
      </c>
      <c r="H263" s="6">
        <v>98</v>
      </c>
      <c r="I263" s="6">
        <v>0</v>
      </c>
      <c r="J263" s="7"/>
      <c r="K263" s="6" t="s">
        <v>692</v>
      </c>
      <c r="L263" s="6"/>
    </row>
    <row r="264" ht="21" customHeight="1" spans="1:12">
      <c r="A264" s="5" t="s">
        <v>12</v>
      </c>
      <c r="B264" s="6" t="s">
        <v>74</v>
      </c>
      <c r="C264" s="6" t="s">
        <v>157</v>
      </c>
      <c r="D264" s="6" t="s">
        <v>155</v>
      </c>
      <c r="E264" s="6" t="s">
        <v>693</v>
      </c>
      <c r="F264" s="6" t="s">
        <v>178</v>
      </c>
      <c r="G264" s="6">
        <v>60.95</v>
      </c>
      <c r="H264" s="6">
        <v>93</v>
      </c>
      <c r="I264" s="6">
        <v>3</v>
      </c>
      <c r="J264" s="7">
        <f>MEDIAN(租金配对!K933:K935)</f>
        <v>0.0294266968679216</v>
      </c>
      <c r="K264" s="6" t="s">
        <v>694</v>
      </c>
      <c r="L264" s="6">
        <f>MEDIAN(租金配对!L933:L935)</f>
        <v>0.032258064516129</v>
      </c>
    </row>
    <row r="265" ht="21" customHeight="1" spans="1:12">
      <c r="A265" s="5" t="s">
        <v>12</v>
      </c>
      <c r="B265" s="6" t="s">
        <v>74</v>
      </c>
      <c r="C265" s="6" t="s">
        <v>157</v>
      </c>
      <c r="D265" s="6" t="s">
        <v>155</v>
      </c>
      <c r="E265" s="6" t="s">
        <v>695</v>
      </c>
      <c r="F265" s="6" t="s">
        <v>178</v>
      </c>
      <c r="G265" s="6">
        <v>67.52</v>
      </c>
      <c r="H265" s="6">
        <v>102</v>
      </c>
      <c r="I265" s="6">
        <v>3</v>
      </c>
      <c r="J265" s="7">
        <f>MEDIAN(租金配对!K936:K938)</f>
        <v>0.0266699900299103</v>
      </c>
      <c r="K265" s="6" t="s">
        <v>696</v>
      </c>
      <c r="L265" s="6">
        <f>MEDIAN(租金配对!L936:L938)</f>
        <v>0.0294117647058824</v>
      </c>
    </row>
    <row r="266" ht="21" customHeight="1" spans="1:12">
      <c r="A266" s="5" t="s">
        <v>12</v>
      </c>
      <c r="B266" s="6" t="s">
        <v>74</v>
      </c>
      <c r="C266" s="6" t="s">
        <v>157</v>
      </c>
      <c r="D266" s="6" t="s">
        <v>155</v>
      </c>
      <c r="E266" s="6" t="s">
        <v>697</v>
      </c>
      <c r="F266" s="6" t="s">
        <v>181</v>
      </c>
      <c r="G266" s="6">
        <v>67.2</v>
      </c>
      <c r="H266" s="6">
        <v>97</v>
      </c>
      <c r="I266" s="6">
        <v>3</v>
      </c>
      <c r="J266" s="7">
        <f>MEDIAN(租金配对!K924:K926)</f>
        <v>0.0281383390329747</v>
      </c>
      <c r="K266" s="6" t="s">
        <v>698</v>
      </c>
      <c r="L266" s="6">
        <f>MEDIAN(租金配对!L924:L926)</f>
        <v>0.0309278350515464</v>
      </c>
    </row>
    <row r="267" ht="21" customHeight="1" spans="1:12">
      <c r="A267" s="5" t="s">
        <v>12</v>
      </c>
      <c r="B267" s="6" t="s">
        <v>74</v>
      </c>
      <c r="C267" s="6" t="s">
        <v>157</v>
      </c>
      <c r="D267" s="6" t="s">
        <v>155</v>
      </c>
      <c r="E267" s="6" t="s">
        <v>699</v>
      </c>
      <c r="F267" s="6" t="s">
        <v>181</v>
      </c>
      <c r="G267" s="6">
        <v>67.52</v>
      </c>
      <c r="H267" s="6">
        <v>93</v>
      </c>
      <c r="I267" s="6">
        <v>3</v>
      </c>
      <c r="J267" s="7">
        <f>MEDIAN(租金配对!K921:K923)</f>
        <v>0.0294266968679216</v>
      </c>
      <c r="K267" s="6" t="s">
        <v>700</v>
      </c>
      <c r="L267" s="6">
        <f>MEDIAN(租金配对!L921:L923)</f>
        <v>0.032258064516129</v>
      </c>
    </row>
    <row r="268" ht="21" customHeight="1" spans="1:12">
      <c r="A268" s="5" t="s">
        <v>12</v>
      </c>
      <c r="B268" s="6" t="s">
        <v>74</v>
      </c>
      <c r="C268" s="6" t="s">
        <v>157</v>
      </c>
      <c r="D268" s="6" t="s">
        <v>155</v>
      </c>
      <c r="E268" s="6" t="s">
        <v>701</v>
      </c>
      <c r="F268" s="6" t="s">
        <v>181</v>
      </c>
      <c r="G268" s="6">
        <v>60.95</v>
      </c>
      <c r="H268" s="6">
        <v>97</v>
      </c>
      <c r="I268" s="6">
        <v>3</v>
      </c>
      <c r="J268" s="7">
        <f>MEDIAN(租金配对!K927:K929)</f>
        <v>0.0281383390329747</v>
      </c>
      <c r="K268" s="6" t="s">
        <v>702</v>
      </c>
      <c r="L268" s="6">
        <f>MEDIAN(租金配对!L927:L929)</f>
        <v>0.0309278350515464</v>
      </c>
    </row>
    <row r="269" ht="21" customHeight="1" spans="1:12">
      <c r="A269" s="5" t="s">
        <v>12</v>
      </c>
      <c r="B269" s="6" t="s">
        <v>74</v>
      </c>
      <c r="C269" s="6" t="s">
        <v>157</v>
      </c>
      <c r="D269" s="6" t="s">
        <v>155</v>
      </c>
      <c r="E269" s="6" t="s">
        <v>703</v>
      </c>
      <c r="F269" s="6" t="s">
        <v>181</v>
      </c>
      <c r="G269" s="6">
        <v>67.2</v>
      </c>
      <c r="H269" s="6">
        <v>89</v>
      </c>
      <c r="I269" s="6">
        <v>3</v>
      </c>
      <c r="J269" s="7">
        <f>MEDIAN(租金配对!K918:K920)</f>
        <v>0.0308308621487064</v>
      </c>
      <c r="K269" s="6" t="s">
        <v>704</v>
      </c>
      <c r="L269" s="6">
        <f>MEDIAN(租金配对!L918:L920)</f>
        <v>0.0337078651685393</v>
      </c>
    </row>
    <row r="270" ht="21" customHeight="1" spans="1:12">
      <c r="A270" s="5" t="s">
        <v>12</v>
      </c>
      <c r="B270" s="6" t="s">
        <v>74</v>
      </c>
      <c r="C270" s="6" t="s">
        <v>157</v>
      </c>
      <c r="D270" s="6" t="s">
        <v>155</v>
      </c>
      <c r="E270" s="6" t="s">
        <v>705</v>
      </c>
      <c r="F270" s="6" t="s">
        <v>181</v>
      </c>
      <c r="G270" s="6">
        <v>67.52</v>
      </c>
      <c r="H270" s="6">
        <v>92</v>
      </c>
      <c r="I270" s="6">
        <v>3</v>
      </c>
      <c r="J270" s="7">
        <f>MEDIAN(租金配对!K930:K932)</f>
        <v>0.0297662911885462</v>
      </c>
      <c r="K270" s="6" t="s">
        <v>706</v>
      </c>
      <c r="L270" s="6">
        <f>MEDIAN(租金配对!L930:L932)</f>
        <v>0.0326086956521739</v>
      </c>
    </row>
    <row r="271" ht="21" customHeight="1" spans="1:12">
      <c r="A271" s="5" t="s">
        <v>12</v>
      </c>
      <c r="B271" s="6" t="s">
        <v>74</v>
      </c>
      <c r="C271" s="6" t="s">
        <v>159</v>
      </c>
      <c r="D271" s="6" t="s">
        <v>160</v>
      </c>
      <c r="E271" s="6" t="s">
        <v>707</v>
      </c>
      <c r="F271" s="6" t="s">
        <v>181</v>
      </c>
      <c r="G271" s="6">
        <v>26.49</v>
      </c>
      <c r="H271" s="6">
        <v>40</v>
      </c>
      <c r="I271" s="6">
        <v>2</v>
      </c>
      <c r="J271" s="7">
        <f>MEDIAN(租金配对!K903:K904)</f>
        <v>0.0375302663438257</v>
      </c>
      <c r="K271" s="6" t="s">
        <v>708</v>
      </c>
      <c r="L271" s="6">
        <f>MEDIAN(租金配对!L903:L904)</f>
        <v>0.040625</v>
      </c>
    </row>
    <row r="272" ht="21" customHeight="1" spans="1:12">
      <c r="A272" s="5" t="s">
        <v>12</v>
      </c>
      <c r="B272" s="6" t="s">
        <v>74</v>
      </c>
      <c r="C272" s="6" t="s">
        <v>159</v>
      </c>
      <c r="D272" s="6" t="s">
        <v>160</v>
      </c>
      <c r="E272" s="6" t="s">
        <v>709</v>
      </c>
      <c r="F272" s="6" t="s">
        <v>181</v>
      </c>
      <c r="G272" s="6">
        <v>37.86</v>
      </c>
      <c r="H272" s="6">
        <v>56</v>
      </c>
      <c r="I272" s="6">
        <v>3</v>
      </c>
      <c r="J272" s="7">
        <f>MEDIAN(租金配对!K905:K907)</f>
        <v>0.0275856105153926</v>
      </c>
      <c r="K272" s="6" t="s">
        <v>710</v>
      </c>
      <c r="L272" s="6">
        <f>MEDIAN(租金配对!L905:L907)</f>
        <v>0.0303571428571429</v>
      </c>
    </row>
    <row r="273" ht="21" customHeight="1" spans="1:12">
      <c r="A273" s="5" t="s">
        <v>12</v>
      </c>
      <c r="B273" s="6" t="s">
        <v>74</v>
      </c>
      <c r="C273" s="6" t="s">
        <v>159</v>
      </c>
      <c r="D273" s="6" t="s">
        <v>160</v>
      </c>
      <c r="E273" s="6" t="s">
        <v>711</v>
      </c>
      <c r="F273" s="6" t="s">
        <v>178</v>
      </c>
      <c r="G273" s="6">
        <v>27.96</v>
      </c>
      <c r="H273" s="6">
        <v>43</v>
      </c>
      <c r="I273" s="6">
        <v>2</v>
      </c>
      <c r="J273" s="7">
        <f>MEDIAN(租金配对!K908:K909)</f>
        <v>0.0347851793456839</v>
      </c>
      <c r="K273" s="6" t="s">
        <v>712</v>
      </c>
      <c r="L273" s="6">
        <f>MEDIAN(租金配对!L908:L909)</f>
        <v>0.0377906976744186</v>
      </c>
    </row>
    <row r="274" ht="21" customHeight="1" spans="1:12">
      <c r="A274" s="5" t="s">
        <v>12</v>
      </c>
      <c r="B274" s="6" t="s">
        <v>74</v>
      </c>
      <c r="C274" s="6" t="s">
        <v>159</v>
      </c>
      <c r="D274" s="6" t="s">
        <v>153</v>
      </c>
      <c r="E274" s="6" t="s">
        <v>713</v>
      </c>
      <c r="F274" s="6" t="s">
        <v>181</v>
      </c>
      <c r="G274" s="6">
        <v>27.94</v>
      </c>
      <c r="H274" s="6">
        <v>43</v>
      </c>
      <c r="I274" s="6">
        <v>1</v>
      </c>
      <c r="J274" s="7">
        <f>MEDIAN(租金配对!K910:K910)</f>
        <v>0.0342220845768343</v>
      </c>
      <c r="K274" s="6" t="s">
        <v>714</v>
      </c>
      <c r="L274" s="6">
        <f>MEDIAN(租金配对!L910:L910)</f>
        <v>0.0372093023255814</v>
      </c>
    </row>
    <row r="275" ht="21" customHeight="1" spans="1:12">
      <c r="A275" s="5" t="s">
        <v>12</v>
      </c>
      <c r="B275" s="6" t="s">
        <v>74</v>
      </c>
      <c r="C275" s="6" t="s">
        <v>159</v>
      </c>
      <c r="D275" s="6" t="s">
        <v>153</v>
      </c>
      <c r="E275" s="6" t="s">
        <v>715</v>
      </c>
      <c r="F275" s="6" t="s">
        <v>181</v>
      </c>
      <c r="G275" s="6">
        <v>26.49</v>
      </c>
      <c r="H275" s="6">
        <v>42</v>
      </c>
      <c r="I275" s="6">
        <v>1</v>
      </c>
      <c r="J275" s="7">
        <f>MEDIAN(租金配对!K911:K911)</f>
        <v>0.0350801337484146</v>
      </c>
      <c r="K275" s="6" t="s">
        <v>716</v>
      </c>
      <c r="L275" s="6">
        <f>MEDIAN(租金配对!L911:L911)</f>
        <v>0.0380952380952381</v>
      </c>
    </row>
    <row r="276" ht="21" customHeight="1" spans="1:12">
      <c r="A276" s="5" t="s">
        <v>12</v>
      </c>
      <c r="B276" s="6" t="s">
        <v>74</v>
      </c>
      <c r="C276" s="6" t="s">
        <v>159</v>
      </c>
      <c r="D276" s="6" t="s">
        <v>153</v>
      </c>
      <c r="E276" s="6" t="s">
        <v>717</v>
      </c>
      <c r="F276" s="6" t="s">
        <v>181</v>
      </c>
      <c r="G276" s="6">
        <v>32</v>
      </c>
      <c r="H276" s="6">
        <v>45</v>
      </c>
      <c r="I276" s="6">
        <v>0</v>
      </c>
      <c r="J276" s="7"/>
      <c r="K276" s="6" t="s">
        <v>718</v>
      </c>
      <c r="L276" s="6"/>
    </row>
    <row r="277" ht="21" customHeight="1" spans="1:12">
      <c r="A277" s="5" t="s">
        <v>12</v>
      </c>
      <c r="B277" s="6" t="s">
        <v>80</v>
      </c>
      <c r="C277" s="6" t="s">
        <v>157</v>
      </c>
      <c r="D277" s="6" t="s">
        <v>155</v>
      </c>
      <c r="E277" s="6" t="s">
        <v>719</v>
      </c>
      <c r="F277" s="6" t="s">
        <v>178</v>
      </c>
      <c r="G277" s="6">
        <v>77.38</v>
      </c>
      <c r="H277" s="6">
        <v>120</v>
      </c>
      <c r="I277" s="6">
        <v>1</v>
      </c>
      <c r="J277" s="7">
        <f>MEDIAN(租金配对!K939:K939)</f>
        <v>0.0143260694108152</v>
      </c>
      <c r="K277" s="6" t="s">
        <v>720</v>
      </c>
      <c r="L277" s="6">
        <f>MEDIAN(租金配对!L939:L939)</f>
        <v>0.0166666666666667</v>
      </c>
    </row>
    <row r="278" ht="21" customHeight="1" spans="1:12">
      <c r="A278" s="5" t="s">
        <v>12</v>
      </c>
      <c r="B278" s="6" t="s">
        <v>80</v>
      </c>
      <c r="C278" s="6" t="s">
        <v>157</v>
      </c>
      <c r="D278" s="6" t="s">
        <v>155</v>
      </c>
      <c r="E278" s="6" t="s">
        <v>721</v>
      </c>
      <c r="F278" s="6" t="s">
        <v>181</v>
      </c>
      <c r="G278" s="6">
        <v>62.8</v>
      </c>
      <c r="H278" s="6">
        <v>89</v>
      </c>
      <c r="I278" s="6">
        <v>0</v>
      </c>
      <c r="J278" s="7"/>
      <c r="K278" s="6" t="s">
        <v>722</v>
      </c>
      <c r="L278" s="6"/>
    </row>
    <row r="279" ht="21" customHeight="1" spans="1:12">
      <c r="A279" s="5" t="s">
        <v>12</v>
      </c>
      <c r="B279" s="6" t="s">
        <v>78</v>
      </c>
      <c r="C279" s="6" t="s">
        <v>152</v>
      </c>
      <c r="D279" s="6" t="s">
        <v>153</v>
      </c>
      <c r="E279" s="6" t="s">
        <v>723</v>
      </c>
      <c r="F279" s="6" t="s">
        <v>181</v>
      </c>
      <c r="G279" s="6">
        <v>41.46</v>
      </c>
      <c r="H279" s="6">
        <v>79</v>
      </c>
      <c r="I279" s="6">
        <v>0</v>
      </c>
      <c r="J279" s="7"/>
      <c r="K279" s="6" t="s">
        <v>724</v>
      </c>
      <c r="L279" s="6"/>
    </row>
    <row r="280" ht="21" customHeight="1" spans="1:12">
      <c r="A280" s="5" t="s">
        <v>12</v>
      </c>
      <c r="B280" s="6" t="s">
        <v>78</v>
      </c>
      <c r="C280" s="6" t="s">
        <v>152</v>
      </c>
      <c r="D280" s="6" t="s">
        <v>153</v>
      </c>
      <c r="E280" s="6" t="s">
        <v>725</v>
      </c>
      <c r="F280" s="6" t="s">
        <v>181</v>
      </c>
      <c r="G280" s="6">
        <v>42.63</v>
      </c>
      <c r="H280" s="6">
        <v>70</v>
      </c>
      <c r="I280" s="6">
        <v>1</v>
      </c>
      <c r="J280" s="7">
        <f>MEDIAN(租金配对!K943:K943)</f>
        <v>0.0244725008647527</v>
      </c>
      <c r="K280" s="6" t="s">
        <v>726</v>
      </c>
      <c r="L280" s="6">
        <f>MEDIAN(租金配对!L943:L943)</f>
        <v>0.0271428571428571</v>
      </c>
    </row>
    <row r="281" ht="21" customHeight="1" spans="1:12">
      <c r="A281" s="5" t="s">
        <v>12</v>
      </c>
      <c r="B281" s="6" t="s">
        <v>78</v>
      </c>
      <c r="C281" s="6" t="s">
        <v>152</v>
      </c>
      <c r="D281" s="6" t="s">
        <v>153</v>
      </c>
      <c r="E281" s="6" t="s">
        <v>727</v>
      </c>
      <c r="F281" s="6" t="s">
        <v>181</v>
      </c>
      <c r="G281" s="6">
        <v>42.14</v>
      </c>
      <c r="H281" s="6">
        <v>70</v>
      </c>
      <c r="I281" s="6">
        <v>1</v>
      </c>
      <c r="J281" s="7">
        <f>MEDIAN(租金配对!K944:K944)</f>
        <v>0.0244725008647527</v>
      </c>
      <c r="K281" s="6" t="s">
        <v>728</v>
      </c>
      <c r="L281" s="6">
        <f>MEDIAN(租金配对!L944:L944)</f>
        <v>0.0271428571428571</v>
      </c>
    </row>
    <row r="282" ht="21" customHeight="1" spans="1:12">
      <c r="A282" s="5" t="s">
        <v>12</v>
      </c>
      <c r="B282" s="6" t="s">
        <v>78</v>
      </c>
      <c r="C282" s="6" t="s">
        <v>152</v>
      </c>
      <c r="D282" s="6" t="s">
        <v>153</v>
      </c>
      <c r="E282" s="6" t="s">
        <v>729</v>
      </c>
      <c r="F282" s="6" t="s">
        <v>181</v>
      </c>
      <c r="G282" s="6">
        <v>52.24</v>
      </c>
      <c r="H282" s="6">
        <v>84</v>
      </c>
      <c r="I282" s="6">
        <v>1</v>
      </c>
      <c r="J282" s="7">
        <f>MEDIAN(租金配对!K940:K940)</f>
        <v>0.0200910872823706</v>
      </c>
      <c r="K282" s="6" t="s">
        <v>730</v>
      </c>
      <c r="L282" s="6">
        <f>MEDIAN(租金配对!L940:L940)</f>
        <v>0.0226190476190476</v>
      </c>
    </row>
    <row r="283" ht="21" customHeight="1" spans="1:12">
      <c r="A283" s="5" t="s">
        <v>12</v>
      </c>
      <c r="B283" s="6" t="s">
        <v>78</v>
      </c>
      <c r="C283" s="6" t="s">
        <v>152</v>
      </c>
      <c r="D283" s="6" t="s">
        <v>153</v>
      </c>
      <c r="E283" s="6" t="s">
        <v>731</v>
      </c>
      <c r="F283" s="6" t="s">
        <v>181</v>
      </c>
      <c r="G283" s="6">
        <v>56.08</v>
      </c>
      <c r="H283" s="6">
        <v>99.7</v>
      </c>
      <c r="I283" s="6">
        <v>1</v>
      </c>
      <c r="J283" s="7">
        <f>MEDIAN(租金配对!K941:K941)</f>
        <v>0.0166413283433837</v>
      </c>
      <c r="K283" s="6" t="s">
        <v>732</v>
      </c>
      <c r="L283" s="6">
        <f>MEDIAN(租金配对!L941:L941)</f>
        <v>0.0190571715145436</v>
      </c>
    </row>
    <row r="284" ht="21" customHeight="1" spans="1:12">
      <c r="A284" s="5" t="s">
        <v>12</v>
      </c>
      <c r="B284" s="6" t="s">
        <v>78</v>
      </c>
      <c r="C284" s="6" t="s">
        <v>152</v>
      </c>
      <c r="D284" s="6" t="s">
        <v>153</v>
      </c>
      <c r="E284" s="6" t="s">
        <v>733</v>
      </c>
      <c r="F284" s="6" t="s">
        <v>178</v>
      </c>
      <c r="G284" s="6">
        <v>45.52</v>
      </c>
      <c r="H284" s="6">
        <v>75</v>
      </c>
      <c r="I284" s="6">
        <v>1</v>
      </c>
      <c r="J284" s="7">
        <f>MEDIAN(租金配对!K942:K942)</f>
        <v>0.0227199354317998</v>
      </c>
      <c r="K284" s="6" t="s">
        <v>734</v>
      </c>
      <c r="L284" s="6">
        <f>MEDIAN(租金配对!L942:L942)</f>
        <v>0.0253333333333333</v>
      </c>
    </row>
    <row r="285" ht="21" customHeight="1" spans="1:12">
      <c r="A285" s="5" t="s">
        <v>12</v>
      </c>
      <c r="B285" s="6" t="s">
        <v>73</v>
      </c>
      <c r="C285" s="6" t="s">
        <v>159</v>
      </c>
      <c r="D285" s="6" t="s">
        <v>160</v>
      </c>
      <c r="E285" s="6" t="s">
        <v>735</v>
      </c>
      <c r="F285" s="6" t="s">
        <v>178</v>
      </c>
      <c r="G285" s="6">
        <v>33.85</v>
      </c>
      <c r="H285" s="6">
        <v>45</v>
      </c>
      <c r="I285" s="6">
        <v>3</v>
      </c>
      <c r="J285" s="7">
        <f>MEDIAN(租金配对!K945:K947)</f>
        <v>0.0315442561205273</v>
      </c>
      <c r="K285" s="6" t="s">
        <v>736</v>
      </c>
      <c r="L285" s="6">
        <f>MEDIAN(租金配对!L945:L947)</f>
        <v>0.0344444444444444</v>
      </c>
    </row>
    <row r="286" ht="21" customHeight="1" spans="1:12">
      <c r="A286" s="5" t="s">
        <v>12</v>
      </c>
      <c r="B286" s="6" t="s">
        <v>81</v>
      </c>
      <c r="C286" s="6" t="s">
        <v>152</v>
      </c>
      <c r="D286" s="6" t="s">
        <v>153</v>
      </c>
      <c r="E286" s="6" t="s">
        <v>737</v>
      </c>
      <c r="F286" s="6" t="s">
        <v>178</v>
      </c>
      <c r="G286" s="6">
        <v>58.53</v>
      </c>
      <c r="H286" s="6">
        <v>90</v>
      </c>
      <c r="I286" s="6">
        <v>0</v>
      </c>
      <c r="J286" s="7"/>
      <c r="K286" s="6" t="s">
        <v>738</v>
      </c>
      <c r="L286" s="6"/>
    </row>
    <row r="287" ht="21" customHeight="1" spans="1:12">
      <c r="A287" s="5" t="s">
        <v>9</v>
      </c>
      <c r="B287" s="6" t="s">
        <v>90</v>
      </c>
      <c r="C287" s="6" t="s">
        <v>152</v>
      </c>
      <c r="D287" s="6" t="s">
        <v>153</v>
      </c>
      <c r="E287" s="6" t="s">
        <v>739</v>
      </c>
      <c r="F287" s="6" t="s">
        <v>181</v>
      </c>
      <c r="G287" s="6">
        <v>57.19</v>
      </c>
      <c r="H287" s="6">
        <v>78</v>
      </c>
      <c r="I287" s="6">
        <v>2</v>
      </c>
      <c r="J287" s="7">
        <f>MEDIAN(租金配对!K948:K949)</f>
        <v>0.0192928540386168</v>
      </c>
      <c r="K287" s="6" t="s">
        <v>740</v>
      </c>
      <c r="L287" s="6">
        <f>MEDIAN(租金配对!L948:L949)</f>
        <v>0.0217948717948718</v>
      </c>
    </row>
    <row r="288" ht="21" customHeight="1" spans="1:12">
      <c r="A288" s="5" t="s">
        <v>9</v>
      </c>
      <c r="B288" s="6" t="s">
        <v>90</v>
      </c>
      <c r="C288" s="6" t="s">
        <v>157</v>
      </c>
      <c r="D288" s="6" t="s">
        <v>153</v>
      </c>
      <c r="E288" s="6" t="s">
        <v>741</v>
      </c>
      <c r="F288" s="6" t="s">
        <v>178</v>
      </c>
      <c r="G288" s="6">
        <v>61.41</v>
      </c>
      <c r="H288" s="6">
        <v>110</v>
      </c>
      <c r="I288" s="6">
        <v>1</v>
      </c>
      <c r="J288" s="7">
        <f>MEDIAN(租金配对!K950:K950)</f>
        <v>0.0180827646929342</v>
      </c>
      <c r="K288" s="6" t="s">
        <v>742</v>
      </c>
      <c r="L288" s="6">
        <f>MEDIAN(租金配对!L950:L950)</f>
        <v>0.0205454545454545</v>
      </c>
    </row>
    <row r="289" ht="21" customHeight="1" spans="1:12">
      <c r="A289" s="5" t="s">
        <v>9</v>
      </c>
      <c r="B289" s="6" t="s">
        <v>90</v>
      </c>
      <c r="C289" s="6" t="s">
        <v>157</v>
      </c>
      <c r="D289" s="6" t="s">
        <v>161</v>
      </c>
      <c r="E289" s="6" t="s">
        <v>743</v>
      </c>
      <c r="F289" s="6" t="s">
        <v>178</v>
      </c>
      <c r="G289" s="6">
        <v>75.89</v>
      </c>
      <c r="H289" s="6">
        <v>110</v>
      </c>
      <c r="I289" s="6">
        <v>0</v>
      </c>
      <c r="J289" s="7"/>
      <c r="K289" s="6" t="s">
        <v>744</v>
      </c>
      <c r="L289" s="6"/>
    </row>
    <row r="290" ht="21" customHeight="1" spans="1:12">
      <c r="A290" s="5" t="s">
        <v>9</v>
      </c>
      <c r="B290" s="6" t="s">
        <v>90</v>
      </c>
      <c r="C290" s="6" t="s">
        <v>157</v>
      </c>
      <c r="D290" s="6" t="s">
        <v>155</v>
      </c>
      <c r="E290" s="6" t="s">
        <v>745</v>
      </c>
      <c r="F290" s="6" t="s">
        <v>178</v>
      </c>
      <c r="G290" s="6">
        <v>64.21</v>
      </c>
      <c r="H290" s="6">
        <v>115</v>
      </c>
      <c r="I290" s="6">
        <v>3</v>
      </c>
      <c r="J290" s="7">
        <f>MEDIAN(租金配对!K951:K953)</f>
        <v>0.0200810611643331</v>
      </c>
      <c r="K290" s="6" t="s">
        <v>746</v>
      </c>
      <c r="L290" s="6">
        <f>MEDIAN(租金配对!L951:L953)</f>
        <v>0.0226086956521739</v>
      </c>
    </row>
    <row r="291" ht="21" customHeight="1" spans="1:12">
      <c r="A291" s="5" t="s">
        <v>9</v>
      </c>
      <c r="B291" s="6" t="s">
        <v>86</v>
      </c>
      <c r="C291" s="6" t="s">
        <v>157</v>
      </c>
      <c r="D291" s="6" t="s">
        <v>153</v>
      </c>
      <c r="E291" s="6" t="s">
        <v>747</v>
      </c>
      <c r="F291" s="6" t="s">
        <v>181</v>
      </c>
      <c r="G291" s="6">
        <v>67.14</v>
      </c>
      <c r="H291" s="6">
        <v>89</v>
      </c>
      <c r="I291" s="6">
        <v>3</v>
      </c>
      <c r="J291" s="7">
        <f>MEDIAN(租金配对!K957:K959)</f>
        <v>0.0275661778708817</v>
      </c>
      <c r="K291" s="6" t="s">
        <v>748</v>
      </c>
      <c r="L291" s="6">
        <f>MEDIAN(租金配对!L957:L959)</f>
        <v>0.0303370786516854</v>
      </c>
    </row>
    <row r="292" ht="21" customHeight="1" spans="1:12">
      <c r="A292" s="5" t="s">
        <v>9</v>
      </c>
      <c r="B292" s="6" t="s">
        <v>86</v>
      </c>
      <c r="C292" s="6" t="s">
        <v>157</v>
      </c>
      <c r="D292" s="6" t="s">
        <v>153</v>
      </c>
      <c r="E292" s="6" t="s">
        <v>749</v>
      </c>
      <c r="F292" s="6" t="s">
        <v>181</v>
      </c>
      <c r="G292" s="6">
        <v>62.98</v>
      </c>
      <c r="H292" s="6">
        <v>106</v>
      </c>
      <c r="I292" s="6">
        <v>3</v>
      </c>
      <c r="J292" s="7">
        <f>MEDIAN(租金配对!K954:K956)</f>
        <v>0.022853944903833</v>
      </c>
      <c r="K292" s="6" t="s">
        <v>750</v>
      </c>
      <c r="L292" s="6">
        <f>MEDIAN(租金配对!L954:L956)</f>
        <v>0.0254716981132075</v>
      </c>
    </row>
    <row r="293" ht="21" customHeight="1" spans="1:12">
      <c r="A293" s="5" t="s">
        <v>9</v>
      </c>
      <c r="B293" s="6" t="s">
        <v>86</v>
      </c>
      <c r="C293" s="6" t="s">
        <v>157</v>
      </c>
      <c r="D293" s="6" t="s">
        <v>155</v>
      </c>
      <c r="E293" s="6" t="s">
        <v>751</v>
      </c>
      <c r="F293" s="6" t="s">
        <v>181</v>
      </c>
      <c r="G293" s="6">
        <v>76.47</v>
      </c>
      <c r="H293" s="6">
        <v>99</v>
      </c>
      <c r="I293" s="6">
        <v>0</v>
      </c>
      <c r="J293" s="7"/>
      <c r="K293" s="6" t="s">
        <v>752</v>
      </c>
      <c r="L293" s="6"/>
    </row>
    <row r="294" ht="21" customHeight="1" spans="1:12">
      <c r="A294" s="5" t="s">
        <v>9</v>
      </c>
      <c r="B294" s="6" t="s">
        <v>86</v>
      </c>
      <c r="C294" s="6" t="s">
        <v>157</v>
      </c>
      <c r="D294" s="6" t="s">
        <v>155</v>
      </c>
      <c r="E294" s="6" t="s">
        <v>753</v>
      </c>
      <c r="F294" s="6" t="s">
        <v>181</v>
      </c>
      <c r="G294" s="6">
        <v>67.14</v>
      </c>
      <c r="H294" s="6">
        <v>110</v>
      </c>
      <c r="I294" s="6">
        <v>0</v>
      </c>
      <c r="J294" s="7"/>
      <c r="K294" s="6" t="s">
        <v>754</v>
      </c>
      <c r="L294" s="6"/>
    </row>
    <row r="295" ht="21" customHeight="1" spans="1:12">
      <c r="A295" s="5" t="s">
        <v>9</v>
      </c>
      <c r="B295" s="6" t="s">
        <v>86</v>
      </c>
      <c r="C295" s="6" t="s">
        <v>157</v>
      </c>
      <c r="D295" s="6" t="s">
        <v>155</v>
      </c>
      <c r="E295" s="6" t="s">
        <v>755</v>
      </c>
      <c r="F295" s="6" t="s">
        <v>181</v>
      </c>
      <c r="G295" s="6">
        <v>62.98</v>
      </c>
      <c r="H295" s="6">
        <v>95</v>
      </c>
      <c r="I295" s="6">
        <v>0</v>
      </c>
      <c r="J295" s="7"/>
      <c r="K295" s="6" t="s">
        <v>756</v>
      </c>
      <c r="L295" s="6"/>
    </row>
    <row r="296" ht="21" customHeight="1" spans="1:12">
      <c r="A296" s="5" t="s">
        <v>9</v>
      </c>
      <c r="B296" s="6" t="s">
        <v>86</v>
      </c>
      <c r="C296" s="6" t="s">
        <v>157</v>
      </c>
      <c r="D296" s="6" t="s">
        <v>162</v>
      </c>
      <c r="E296" s="6" t="s">
        <v>757</v>
      </c>
      <c r="F296" s="6" t="s">
        <v>181</v>
      </c>
      <c r="G296" s="6">
        <v>76.47</v>
      </c>
      <c r="H296" s="6">
        <v>98</v>
      </c>
      <c r="I296" s="6">
        <v>0</v>
      </c>
      <c r="J296" s="7"/>
      <c r="K296" s="6" t="s">
        <v>758</v>
      </c>
      <c r="L296" s="6"/>
    </row>
    <row r="297" ht="21" customHeight="1" spans="1:12">
      <c r="A297" s="5" t="s">
        <v>9</v>
      </c>
      <c r="B297" s="6" t="s">
        <v>83</v>
      </c>
      <c r="C297" s="6" t="s">
        <v>152</v>
      </c>
      <c r="D297" s="6" t="s">
        <v>160</v>
      </c>
      <c r="E297" s="6" t="s">
        <v>759</v>
      </c>
      <c r="F297" s="6" t="s">
        <v>181</v>
      </c>
      <c r="G297" s="6">
        <v>41.92</v>
      </c>
      <c r="H297" s="6">
        <v>56.8</v>
      </c>
      <c r="I297" s="6">
        <v>0</v>
      </c>
      <c r="J297" s="7"/>
      <c r="K297" s="6" t="s">
        <v>760</v>
      </c>
      <c r="L297" s="6"/>
    </row>
    <row r="298" ht="21" customHeight="1" spans="1:12">
      <c r="A298" s="5" t="s">
        <v>9</v>
      </c>
      <c r="B298" s="6" t="s">
        <v>83</v>
      </c>
      <c r="C298" s="6" t="s">
        <v>152</v>
      </c>
      <c r="D298" s="6" t="s">
        <v>160</v>
      </c>
      <c r="E298" s="6" t="s">
        <v>761</v>
      </c>
      <c r="F298" s="6" t="s">
        <v>181</v>
      </c>
      <c r="G298" s="6">
        <v>43.71</v>
      </c>
      <c r="H298" s="6">
        <v>53</v>
      </c>
      <c r="I298" s="6">
        <v>0</v>
      </c>
      <c r="J298" s="7"/>
      <c r="K298" s="6" t="s">
        <v>762</v>
      </c>
      <c r="L298" s="6"/>
    </row>
    <row r="299" ht="21" customHeight="1" spans="1:12">
      <c r="A299" s="5" t="s">
        <v>9</v>
      </c>
      <c r="B299" s="6" t="s">
        <v>83</v>
      </c>
      <c r="C299" s="6" t="s">
        <v>152</v>
      </c>
      <c r="D299" s="6" t="s">
        <v>160</v>
      </c>
      <c r="E299" s="6" t="s">
        <v>763</v>
      </c>
      <c r="F299" s="6" t="s">
        <v>181</v>
      </c>
      <c r="G299" s="6">
        <v>41.79</v>
      </c>
      <c r="H299" s="6">
        <v>58.8</v>
      </c>
      <c r="I299" s="6">
        <v>0</v>
      </c>
      <c r="J299" s="7"/>
      <c r="K299" s="6" t="s">
        <v>764</v>
      </c>
      <c r="L299" s="6"/>
    </row>
    <row r="300" ht="21" customHeight="1" spans="1:12">
      <c r="A300" s="5" t="s">
        <v>9</v>
      </c>
      <c r="B300" s="6" t="s">
        <v>83</v>
      </c>
      <c r="C300" s="6" t="s">
        <v>152</v>
      </c>
      <c r="D300" s="6" t="s">
        <v>153</v>
      </c>
      <c r="E300" s="6" t="s">
        <v>765</v>
      </c>
      <c r="F300" s="6" t="s">
        <v>181</v>
      </c>
      <c r="G300" s="6">
        <v>53.2</v>
      </c>
      <c r="H300" s="6">
        <v>70</v>
      </c>
      <c r="I300" s="6">
        <v>8</v>
      </c>
      <c r="J300" s="7">
        <f>MEDIAN(租金配对!K988:K995)</f>
        <v>0.0327741265997925</v>
      </c>
      <c r="K300" s="6" t="s">
        <v>766</v>
      </c>
      <c r="L300" s="6">
        <f>MEDIAN(租金配对!L988:L995)</f>
        <v>0.0357142857142857</v>
      </c>
    </row>
    <row r="301" ht="21" customHeight="1" spans="1:12">
      <c r="A301" s="5" t="s">
        <v>9</v>
      </c>
      <c r="B301" s="6" t="s">
        <v>83</v>
      </c>
      <c r="C301" s="6" t="s">
        <v>152</v>
      </c>
      <c r="D301" s="6" t="s">
        <v>153</v>
      </c>
      <c r="E301" s="6" t="s">
        <v>767</v>
      </c>
      <c r="F301" s="6" t="s">
        <v>181</v>
      </c>
      <c r="G301" s="6">
        <v>52.49</v>
      </c>
      <c r="H301" s="6">
        <v>72</v>
      </c>
      <c r="I301" s="6">
        <v>8</v>
      </c>
      <c r="J301" s="7">
        <f>MEDIAN(租金配对!K1004:K1011)</f>
        <v>0.0318132902878666</v>
      </c>
      <c r="K301" s="6" t="s">
        <v>768</v>
      </c>
      <c r="L301" s="6">
        <f>MEDIAN(租金配对!L1004:L1011)</f>
        <v>0.0347222222222222</v>
      </c>
    </row>
    <row r="302" ht="21" customHeight="1" spans="1:12">
      <c r="A302" s="5" t="s">
        <v>9</v>
      </c>
      <c r="B302" s="6" t="s">
        <v>83</v>
      </c>
      <c r="C302" s="6" t="s">
        <v>152</v>
      </c>
      <c r="D302" s="6" t="s">
        <v>153</v>
      </c>
      <c r="E302" s="6" t="s">
        <v>769</v>
      </c>
      <c r="F302" s="6" t="s">
        <v>178</v>
      </c>
      <c r="G302" s="6">
        <v>40.94</v>
      </c>
      <c r="H302" s="6">
        <v>59</v>
      </c>
      <c r="I302" s="6">
        <v>1</v>
      </c>
      <c r="J302" s="7">
        <f>MEDIAN(租金配对!K1036:K1036)</f>
        <v>0.0334776542044568</v>
      </c>
      <c r="K302" s="6" t="s">
        <v>770</v>
      </c>
      <c r="L302" s="6">
        <f>MEDIAN(租金配对!L1036:L1036)</f>
        <v>0.0364406779661017</v>
      </c>
    </row>
    <row r="303" ht="21" customHeight="1" spans="1:12">
      <c r="A303" s="5" t="s">
        <v>9</v>
      </c>
      <c r="B303" s="6" t="s">
        <v>83</v>
      </c>
      <c r="C303" s="6" t="s">
        <v>152</v>
      </c>
      <c r="D303" s="6" t="s">
        <v>153</v>
      </c>
      <c r="E303" s="6" t="s">
        <v>771</v>
      </c>
      <c r="F303" s="6" t="s">
        <v>181</v>
      </c>
      <c r="G303" s="6">
        <v>53.01</v>
      </c>
      <c r="H303" s="6">
        <v>69</v>
      </c>
      <c r="I303" s="6">
        <v>8</v>
      </c>
      <c r="J303" s="7">
        <f>MEDIAN(租金配对!K1012:K1019)</f>
        <v>0.0332754325016668</v>
      </c>
      <c r="K303" s="6" t="s">
        <v>772</v>
      </c>
      <c r="L303" s="6">
        <f>MEDIAN(租金配对!L1012:L1019)</f>
        <v>0.036231884057971</v>
      </c>
    </row>
    <row r="304" ht="21" customHeight="1" spans="1:12">
      <c r="A304" s="5" t="s">
        <v>9</v>
      </c>
      <c r="B304" s="6" t="s">
        <v>83</v>
      </c>
      <c r="C304" s="6" t="s">
        <v>152</v>
      </c>
      <c r="D304" s="6" t="s">
        <v>153</v>
      </c>
      <c r="E304" s="6" t="s">
        <v>773</v>
      </c>
      <c r="F304" s="6" t="s">
        <v>178</v>
      </c>
      <c r="G304" s="6">
        <v>53.18</v>
      </c>
      <c r="H304" s="6">
        <v>71</v>
      </c>
      <c r="I304" s="6">
        <v>8</v>
      </c>
      <c r="J304" s="7">
        <f>MEDIAN(租金配对!K996:K1003)</f>
        <v>0.0322869419909286</v>
      </c>
      <c r="K304" s="6" t="s">
        <v>774</v>
      </c>
      <c r="L304" s="6">
        <f>MEDIAN(租金配对!L996:L1003)</f>
        <v>0.0352112676056338</v>
      </c>
    </row>
    <row r="305" ht="21" customHeight="1" spans="1:12">
      <c r="A305" s="5" t="s">
        <v>9</v>
      </c>
      <c r="B305" s="6" t="s">
        <v>83</v>
      </c>
      <c r="C305" s="6" t="s">
        <v>152</v>
      </c>
      <c r="D305" s="6" t="s">
        <v>153</v>
      </c>
      <c r="E305" s="6" t="s">
        <v>775</v>
      </c>
      <c r="F305" s="6" t="s">
        <v>181</v>
      </c>
      <c r="G305" s="6">
        <v>52.11</v>
      </c>
      <c r="H305" s="6">
        <v>69.8</v>
      </c>
      <c r="I305" s="6">
        <v>8</v>
      </c>
      <c r="J305" s="7">
        <f>MEDIAN(租金配对!K1020:K1027)</f>
        <v>0.0328732386548908</v>
      </c>
      <c r="K305" s="6" t="s">
        <v>776</v>
      </c>
      <c r="L305" s="6">
        <f>MEDIAN(租金配对!L1020:L1027)</f>
        <v>0.0358166189111748</v>
      </c>
    </row>
    <row r="306" ht="21" customHeight="1" spans="1:12">
      <c r="A306" s="5" t="s">
        <v>9</v>
      </c>
      <c r="B306" s="6" t="s">
        <v>83</v>
      </c>
      <c r="C306" s="6" t="s">
        <v>152</v>
      </c>
      <c r="D306" s="6" t="s">
        <v>153</v>
      </c>
      <c r="E306" s="6" t="s">
        <v>777</v>
      </c>
      <c r="F306" s="6" t="s">
        <v>178</v>
      </c>
      <c r="G306" s="6">
        <v>53.18</v>
      </c>
      <c r="H306" s="6">
        <v>71.8</v>
      </c>
      <c r="I306" s="6">
        <v>8</v>
      </c>
      <c r="J306" s="7">
        <f>MEDIAN(租金配对!K1028:K1035)</f>
        <v>0.0319069651372187</v>
      </c>
      <c r="K306" s="6" t="s">
        <v>778</v>
      </c>
      <c r="L306" s="6">
        <f>MEDIAN(租金配对!L1028:L1035)</f>
        <v>0.0348189415041783</v>
      </c>
    </row>
    <row r="307" ht="21" customHeight="1" spans="1:12">
      <c r="A307" s="5" t="s">
        <v>9</v>
      </c>
      <c r="B307" s="6" t="s">
        <v>83</v>
      </c>
      <c r="C307" s="6" t="s">
        <v>157</v>
      </c>
      <c r="D307" s="6" t="s">
        <v>155</v>
      </c>
      <c r="E307" s="6" t="s">
        <v>779</v>
      </c>
      <c r="F307" s="6" t="s">
        <v>181</v>
      </c>
      <c r="G307" s="6">
        <v>79.05</v>
      </c>
      <c r="H307" s="6">
        <v>90</v>
      </c>
      <c r="I307" s="6">
        <v>1</v>
      </c>
      <c r="J307" s="7">
        <f>MEDIAN(租金配对!K1038:K1038)</f>
        <v>0.0304681194511703</v>
      </c>
      <c r="K307" s="6" t="s">
        <v>780</v>
      </c>
      <c r="L307" s="6">
        <f>MEDIAN(租金配对!L1038:L1038)</f>
        <v>0.0333333333333333</v>
      </c>
    </row>
    <row r="308" ht="21" customHeight="1" spans="1:12">
      <c r="A308" s="5" t="s">
        <v>9</v>
      </c>
      <c r="B308" s="6" t="s">
        <v>83</v>
      </c>
      <c r="C308" s="6" t="s">
        <v>157</v>
      </c>
      <c r="D308" s="6" t="s">
        <v>155</v>
      </c>
      <c r="E308" s="6" t="s">
        <v>781</v>
      </c>
      <c r="F308" s="6" t="s">
        <v>178</v>
      </c>
      <c r="G308" s="6">
        <v>83.39</v>
      </c>
      <c r="H308" s="6">
        <v>120</v>
      </c>
      <c r="I308" s="6">
        <v>1</v>
      </c>
      <c r="J308" s="7">
        <f>MEDIAN(租金配对!K1037:K1037)</f>
        <v>0.0223970944309927</v>
      </c>
      <c r="K308" s="6" t="s">
        <v>782</v>
      </c>
      <c r="L308" s="6">
        <f>MEDIAN(租金配对!L1037:L1037)</f>
        <v>0.025</v>
      </c>
    </row>
    <row r="309" ht="21" customHeight="1" spans="1:12">
      <c r="A309" s="5" t="s">
        <v>9</v>
      </c>
      <c r="B309" s="6" t="s">
        <v>83</v>
      </c>
      <c r="C309" s="6" t="s">
        <v>159</v>
      </c>
      <c r="D309" s="6" t="s">
        <v>160</v>
      </c>
      <c r="E309" s="6" t="s">
        <v>783</v>
      </c>
      <c r="F309" s="6" t="s">
        <v>178</v>
      </c>
      <c r="G309" s="6">
        <v>33</v>
      </c>
      <c r="H309" s="6">
        <v>52</v>
      </c>
      <c r="I309" s="6">
        <v>10</v>
      </c>
      <c r="J309" s="7">
        <f>MEDIAN(租金配对!K960:K969)</f>
        <v>0.0331067237846899</v>
      </c>
      <c r="K309" s="6" t="s">
        <v>784</v>
      </c>
      <c r="L309" s="6">
        <f>MEDIAN(租金配对!L960:L969)</f>
        <v>0.0360576923076923</v>
      </c>
    </row>
    <row r="310" ht="21" customHeight="1" spans="1:12">
      <c r="A310" s="5" t="s">
        <v>9</v>
      </c>
      <c r="B310" s="6" t="s">
        <v>83</v>
      </c>
      <c r="C310" s="6" t="s">
        <v>159</v>
      </c>
      <c r="D310" s="6" t="s">
        <v>160</v>
      </c>
      <c r="E310" s="6" t="s">
        <v>785</v>
      </c>
      <c r="F310" s="6" t="s">
        <v>181</v>
      </c>
      <c r="G310" s="6">
        <v>34.35</v>
      </c>
      <c r="H310" s="6">
        <v>46.8</v>
      </c>
      <c r="I310" s="6">
        <v>10</v>
      </c>
      <c r="J310" s="7">
        <f>MEDIAN(租金配对!K978:K987)</f>
        <v>0.0369870242751599</v>
      </c>
      <c r="K310" s="6" t="s">
        <v>786</v>
      </c>
      <c r="L310" s="6">
        <f>MEDIAN(租金配对!L978:L987)</f>
        <v>0.0400641025641026</v>
      </c>
    </row>
    <row r="311" ht="21" customHeight="1" spans="1:12">
      <c r="A311" s="5" t="s">
        <v>9</v>
      </c>
      <c r="B311" s="6" t="s">
        <v>83</v>
      </c>
      <c r="C311" s="6" t="s">
        <v>159</v>
      </c>
      <c r="D311" s="6" t="s">
        <v>160</v>
      </c>
      <c r="E311" s="6" t="s">
        <v>787</v>
      </c>
      <c r="F311" s="6" t="s">
        <v>181</v>
      </c>
      <c r="G311" s="6">
        <v>30.06</v>
      </c>
      <c r="H311" s="6">
        <v>49</v>
      </c>
      <c r="I311" s="6">
        <v>8</v>
      </c>
      <c r="J311" s="7">
        <f>MEDIAN(租金配对!K970:K977)</f>
        <v>0.0362331373227257</v>
      </c>
      <c r="K311" s="6" t="s">
        <v>788</v>
      </c>
      <c r="L311" s="6">
        <f>MEDIAN(租金配对!L970:L977)</f>
        <v>0.0392857142857143</v>
      </c>
    </row>
    <row r="312" ht="21" customHeight="1" spans="1:12">
      <c r="A312" s="5" t="s">
        <v>9</v>
      </c>
      <c r="B312" s="6" t="s">
        <v>88</v>
      </c>
      <c r="C312" s="6" t="s">
        <v>157</v>
      </c>
      <c r="D312" s="6" t="s">
        <v>153</v>
      </c>
      <c r="E312" s="6" t="s">
        <v>789</v>
      </c>
      <c r="F312" s="6" t="s">
        <v>181</v>
      </c>
      <c r="G312" s="6">
        <v>61.39</v>
      </c>
      <c r="H312" s="6">
        <v>95</v>
      </c>
      <c r="I312" s="6">
        <v>1</v>
      </c>
      <c r="J312" s="7">
        <f>MEDIAN(租金配对!K1039:K1039)</f>
        <v>0.0236714668025997</v>
      </c>
      <c r="K312" s="6" t="s">
        <v>790</v>
      </c>
      <c r="L312" s="6">
        <f>MEDIAN(租金配对!L1039:L1039)</f>
        <v>0.0263157894736842</v>
      </c>
    </row>
    <row r="313" ht="21" customHeight="1" spans="1:12">
      <c r="A313" s="5" t="s">
        <v>9</v>
      </c>
      <c r="B313" s="6" t="s">
        <v>88</v>
      </c>
      <c r="C313" s="6" t="s">
        <v>157</v>
      </c>
      <c r="D313" s="6" t="s">
        <v>153</v>
      </c>
      <c r="E313" s="6" t="s">
        <v>791</v>
      </c>
      <c r="F313" s="6" t="s">
        <v>178</v>
      </c>
      <c r="G313" s="6">
        <v>61.03</v>
      </c>
      <c r="H313" s="6">
        <v>92</v>
      </c>
      <c r="I313" s="6">
        <v>1</v>
      </c>
      <c r="J313" s="7">
        <f>MEDIAN(租金配对!K1040:K1040)</f>
        <v>0.0245025792188651</v>
      </c>
      <c r="K313" s="6" t="s">
        <v>792</v>
      </c>
      <c r="L313" s="6">
        <f>MEDIAN(租金配对!L1040:L1040)</f>
        <v>0.0271739130434783</v>
      </c>
    </row>
    <row r="314" ht="21" customHeight="1" spans="1:12">
      <c r="A314" s="5" t="s">
        <v>9</v>
      </c>
      <c r="B314" s="6" t="s">
        <v>88</v>
      </c>
      <c r="C314" s="6" t="s">
        <v>157</v>
      </c>
      <c r="D314" s="6" t="s">
        <v>155</v>
      </c>
      <c r="E314" s="6" t="s">
        <v>793</v>
      </c>
      <c r="F314" s="6" t="s">
        <v>181</v>
      </c>
      <c r="G314" s="6">
        <v>75.06</v>
      </c>
      <c r="H314" s="6">
        <v>120</v>
      </c>
      <c r="I314" s="6">
        <v>5</v>
      </c>
      <c r="J314" s="7">
        <f>MEDIAN(租金配对!K1041:K1045)</f>
        <v>0.0199757869249395</v>
      </c>
      <c r="K314" s="6" t="s">
        <v>794</v>
      </c>
      <c r="L314" s="6">
        <f>MEDIAN(租金配对!L1041:L1045)</f>
        <v>0.0225</v>
      </c>
    </row>
    <row r="315" ht="21" customHeight="1" spans="1:12">
      <c r="A315" s="5" t="s">
        <v>9</v>
      </c>
      <c r="B315" s="6" t="s">
        <v>88</v>
      </c>
      <c r="C315" s="6" t="s">
        <v>157</v>
      </c>
      <c r="D315" s="6" t="s">
        <v>162</v>
      </c>
      <c r="E315" s="6" t="s">
        <v>795</v>
      </c>
      <c r="F315" s="6" t="s">
        <v>181</v>
      </c>
      <c r="G315" s="6">
        <v>76.99</v>
      </c>
      <c r="H315" s="6">
        <v>115</v>
      </c>
      <c r="I315" s="6">
        <v>1</v>
      </c>
      <c r="J315" s="7">
        <f>MEDIAN(租金配对!K1046:K1046)</f>
        <v>0.0234498368249289</v>
      </c>
      <c r="K315" s="6" t="s">
        <v>796</v>
      </c>
      <c r="L315" s="6">
        <f>MEDIAN(租金配对!L1046:L1046)</f>
        <v>0.0260869565217391</v>
      </c>
    </row>
    <row r="316" ht="21" customHeight="1" spans="1:12">
      <c r="A316" s="5" t="s">
        <v>9</v>
      </c>
      <c r="B316" s="6" t="s">
        <v>91</v>
      </c>
      <c r="C316" s="6" t="s">
        <v>157</v>
      </c>
      <c r="D316" s="6" t="s">
        <v>162</v>
      </c>
      <c r="E316" s="6" t="s">
        <v>797</v>
      </c>
      <c r="F316" s="6" t="s">
        <v>181</v>
      </c>
      <c r="G316" s="6">
        <v>70.99</v>
      </c>
      <c r="H316" s="6">
        <v>89.8</v>
      </c>
      <c r="I316" s="6">
        <v>0</v>
      </c>
      <c r="J316" s="7"/>
      <c r="K316" s="6" t="s">
        <v>798</v>
      </c>
      <c r="L316" s="6"/>
    </row>
    <row r="317" ht="21" customHeight="1" spans="1:12">
      <c r="A317" s="5" t="s">
        <v>9</v>
      </c>
      <c r="B317" s="6" t="s">
        <v>92</v>
      </c>
      <c r="C317" s="6" t="s">
        <v>157</v>
      </c>
      <c r="D317" s="6" t="s">
        <v>153</v>
      </c>
      <c r="E317" s="6" t="s">
        <v>799</v>
      </c>
      <c r="F317" s="6" t="s">
        <v>181</v>
      </c>
      <c r="G317" s="6">
        <v>72.04</v>
      </c>
      <c r="H317" s="6">
        <v>88</v>
      </c>
      <c r="I317" s="6">
        <v>0</v>
      </c>
      <c r="J317" s="7"/>
      <c r="K317" s="6" t="s">
        <v>800</v>
      </c>
      <c r="L317" s="6"/>
    </row>
    <row r="318" ht="21" customHeight="1" spans="1:12">
      <c r="A318" s="5" t="s">
        <v>9</v>
      </c>
      <c r="B318" s="6" t="s">
        <v>93</v>
      </c>
      <c r="C318" s="6" t="s">
        <v>152</v>
      </c>
      <c r="D318" s="6" t="s">
        <v>155</v>
      </c>
      <c r="E318" s="6" t="s">
        <v>801</v>
      </c>
      <c r="F318" s="6" t="s">
        <v>181</v>
      </c>
      <c r="G318" s="6">
        <v>57.85</v>
      </c>
      <c r="H318" s="6">
        <v>115</v>
      </c>
      <c r="I318" s="6">
        <v>0</v>
      </c>
      <c r="J318" s="7"/>
      <c r="K318" s="6" t="s">
        <v>802</v>
      </c>
      <c r="L318" s="6"/>
    </row>
    <row r="319" ht="21" customHeight="1" spans="1:12">
      <c r="A319" s="5" t="s">
        <v>9</v>
      </c>
      <c r="B319" s="6" t="s">
        <v>89</v>
      </c>
      <c r="C319" s="6" t="s">
        <v>152</v>
      </c>
      <c r="D319" s="6" t="s">
        <v>153</v>
      </c>
      <c r="E319" s="6" t="s">
        <v>803</v>
      </c>
      <c r="F319" s="6" t="s">
        <v>178</v>
      </c>
      <c r="G319" s="6">
        <v>47.83</v>
      </c>
      <c r="H319" s="6">
        <v>92</v>
      </c>
      <c r="I319" s="6">
        <v>0</v>
      </c>
      <c r="J319" s="7"/>
      <c r="K319" s="6" t="s">
        <v>804</v>
      </c>
      <c r="L319" s="6"/>
    </row>
    <row r="320" ht="21" customHeight="1" spans="1:12">
      <c r="A320" s="5" t="s">
        <v>9</v>
      </c>
      <c r="B320" s="6" t="s">
        <v>89</v>
      </c>
      <c r="C320" s="6" t="s">
        <v>157</v>
      </c>
      <c r="D320" s="6" t="s">
        <v>155</v>
      </c>
      <c r="E320" s="6" t="s">
        <v>805</v>
      </c>
      <c r="F320" s="6" t="s">
        <v>178</v>
      </c>
      <c r="G320" s="6">
        <v>70.16</v>
      </c>
      <c r="H320" s="6">
        <v>115</v>
      </c>
      <c r="I320" s="6">
        <v>16</v>
      </c>
      <c r="J320" s="7">
        <f>MEDIAN(租金配对!K1083:K1098)</f>
        <v>0.021765448994631</v>
      </c>
      <c r="K320" s="6" t="s">
        <v>806</v>
      </c>
      <c r="L320" s="6">
        <f>MEDIAN(租金配对!L1083:L1098)</f>
        <v>0.0243478260869565</v>
      </c>
    </row>
    <row r="321" ht="21" customHeight="1" spans="1:12">
      <c r="A321" s="5" t="s">
        <v>9</v>
      </c>
      <c r="B321" s="6" t="s">
        <v>89</v>
      </c>
      <c r="C321" s="6" t="s">
        <v>157</v>
      </c>
      <c r="D321" s="6" t="s">
        <v>155</v>
      </c>
      <c r="E321" s="6" t="s">
        <v>807</v>
      </c>
      <c r="F321" s="6" t="s">
        <v>181</v>
      </c>
      <c r="G321" s="6">
        <v>61.59</v>
      </c>
      <c r="H321" s="6">
        <v>119</v>
      </c>
      <c r="I321" s="6">
        <v>11</v>
      </c>
      <c r="J321" s="7">
        <f>MEDIAN(租金配对!K1047:K1057)</f>
        <v>0.0201589110220359</v>
      </c>
      <c r="K321" s="6" t="s">
        <v>808</v>
      </c>
      <c r="L321" s="6">
        <f>MEDIAN(租金配对!L1047:L1057)</f>
        <v>0.0226890756302521</v>
      </c>
    </row>
    <row r="322" ht="21" customHeight="1" spans="1:12">
      <c r="A322" s="5" t="s">
        <v>9</v>
      </c>
      <c r="B322" s="6" t="s">
        <v>89</v>
      </c>
      <c r="C322" s="6" t="s">
        <v>157</v>
      </c>
      <c r="D322" s="6" t="s">
        <v>155</v>
      </c>
      <c r="E322" s="6" t="s">
        <v>809</v>
      </c>
      <c r="F322" s="6" t="s">
        <v>178</v>
      </c>
      <c r="G322" s="6">
        <v>66.17</v>
      </c>
      <c r="H322" s="6">
        <v>112</v>
      </c>
      <c r="I322" s="6">
        <v>15</v>
      </c>
      <c r="J322" s="7">
        <f>MEDIAN(租金配对!K1058:K1072)</f>
        <v>0.0223970944309927</v>
      </c>
      <c r="K322" s="6" t="s">
        <v>810</v>
      </c>
      <c r="L322" s="6">
        <f>MEDIAN(租金配对!L1058:L1072)</f>
        <v>0.025</v>
      </c>
    </row>
    <row r="323" ht="21" customHeight="1" spans="1:12">
      <c r="A323" s="5" t="s">
        <v>9</v>
      </c>
      <c r="B323" s="6" t="s">
        <v>89</v>
      </c>
      <c r="C323" s="6" t="s">
        <v>157</v>
      </c>
      <c r="D323" s="6" t="s">
        <v>155</v>
      </c>
      <c r="E323" s="6" t="s">
        <v>811</v>
      </c>
      <c r="F323" s="6" t="s">
        <v>181</v>
      </c>
      <c r="G323" s="6">
        <v>60.83</v>
      </c>
      <c r="H323" s="6">
        <v>102</v>
      </c>
      <c r="I323" s="6">
        <v>10</v>
      </c>
      <c r="J323" s="7">
        <f>MEDIAN(租金配对!K1073:K1082)</f>
        <v>0.0242961591416228</v>
      </c>
      <c r="K323" s="6" t="s">
        <v>812</v>
      </c>
      <c r="L323" s="6">
        <f>MEDIAN(租金配对!L1073:L1082)</f>
        <v>0.0269607843137255</v>
      </c>
    </row>
    <row r="324" ht="21" customHeight="1" spans="1:12">
      <c r="A324" s="5" t="s">
        <v>9</v>
      </c>
      <c r="B324" s="6" t="s">
        <v>89</v>
      </c>
      <c r="C324" s="6" t="s">
        <v>159</v>
      </c>
      <c r="D324" s="6" t="s">
        <v>160</v>
      </c>
      <c r="E324" s="6" t="s">
        <v>813</v>
      </c>
      <c r="F324" s="6" t="s">
        <v>178</v>
      </c>
      <c r="G324" s="6">
        <v>38.23</v>
      </c>
      <c r="H324" s="6">
        <v>88</v>
      </c>
      <c r="I324" s="6">
        <v>0</v>
      </c>
      <c r="J324" s="7"/>
      <c r="K324" s="6" t="s">
        <v>814</v>
      </c>
      <c r="L324" s="6"/>
    </row>
    <row r="325" ht="21" customHeight="1" spans="1:12">
      <c r="A325" s="5" t="s">
        <v>9</v>
      </c>
      <c r="B325" s="6" t="s">
        <v>89</v>
      </c>
      <c r="C325" s="6" t="s">
        <v>159</v>
      </c>
      <c r="D325" s="6" t="s">
        <v>153</v>
      </c>
      <c r="E325" s="6" t="s">
        <v>815</v>
      </c>
      <c r="F325" s="6" t="s">
        <v>181</v>
      </c>
      <c r="G325" s="6">
        <v>32.15</v>
      </c>
      <c r="H325" s="6">
        <v>62</v>
      </c>
      <c r="I325" s="6">
        <v>0</v>
      </c>
      <c r="J325" s="7"/>
      <c r="K325" s="6" t="s">
        <v>816</v>
      </c>
      <c r="L325" s="6"/>
    </row>
    <row r="326" ht="21" customHeight="1" spans="1:12">
      <c r="A326" s="5" t="s">
        <v>9</v>
      </c>
      <c r="B326" s="6" t="s">
        <v>89</v>
      </c>
      <c r="C326" s="6" t="s">
        <v>159</v>
      </c>
      <c r="D326" s="6" t="s">
        <v>153</v>
      </c>
      <c r="E326" s="6" t="s">
        <v>817</v>
      </c>
      <c r="F326" s="6" t="s">
        <v>178</v>
      </c>
      <c r="G326" s="6">
        <v>32.09</v>
      </c>
      <c r="H326" s="6">
        <v>69</v>
      </c>
      <c r="I326" s="6">
        <v>0</v>
      </c>
      <c r="J326" s="7"/>
      <c r="K326" s="6" t="s">
        <v>818</v>
      </c>
      <c r="L326" s="6"/>
    </row>
    <row r="327" ht="21" customHeight="1" spans="1:12">
      <c r="A327" s="5" t="s">
        <v>9</v>
      </c>
      <c r="B327" s="6" t="s">
        <v>94</v>
      </c>
      <c r="C327" s="6" t="s">
        <v>157</v>
      </c>
      <c r="D327" s="6" t="s">
        <v>163</v>
      </c>
      <c r="E327" s="6" t="s">
        <v>819</v>
      </c>
      <c r="F327" s="6" t="s">
        <v>181</v>
      </c>
      <c r="G327" s="6">
        <v>88.74</v>
      </c>
      <c r="H327" s="6">
        <v>110</v>
      </c>
      <c r="I327" s="6">
        <v>0</v>
      </c>
      <c r="J327" s="7"/>
      <c r="K327" s="6" t="s">
        <v>820</v>
      </c>
      <c r="L327" s="6"/>
    </row>
    <row r="328" ht="21" customHeight="1" spans="1:12">
      <c r="A328" s="5" t="s">
        <v>9</v>
      </c>
      <c r="B328" s="6" t="s">
        <v>84</v>
      </c>
      <c r="C328" s="6" t="s">
        <v>152</v>
      </c>
      <c r="D328" s="6" t="s">
        <v>153</v>
      </c>
      <c r="E328" s="6" t="s">
        <v>821</v>
      </c>
      <c r="F328" s="6" t="s">
        <v>181</v>
      </c>
      <c r="G328" s="6">
        <v>42.11</v>
      </c>
      <c r="H328" s="6">
        <v>75</v>
      </c>
      <c r="I328" s="6">
        <v>1</v>
      </c>
      <c r="J328" s="7">
        <f>MEDIAN(租金配对!K1099:K1099)</f>
        <v>0.0253026634382567</v>
      </c>
      <c r="K328" s="6" t="s">
        <v>822</v>
      </c>
      <c r="L328" s="6">
        <f>MEDIAN(租金配对!L1099:L1099)</f>
        <v>0.028</v>
      </c>
    </row>
    <row r="329" ht="21" customHeight="1" spans="1:12">
      <c r="A329" s="5" t="s">
        <v>9</v>
      </c>
      <c r="B329" s="6" t="s">
        <v>84</v>
      </c>
      <c r="C329" s="6" t="s">
        <v>157</v>
      </c>
      <c r="D329" s="6" t="s">
        <v>153</v>
      </c>
      <c r="E329" s="6" t="s">
        <v>823</v>
      </c>
      <c r="F329" s="6" t="s">
        <v>181</v>
      </c>
      <c r="G329" s="6">
        <v>63.77</v>
      </c>
      <c r="H329" s="6">
        <v>89</v>
      </c>
      <c r="I329" s="6">
        <v>0</v>
      </c>
      <c r="J329" s="7"/>
      <c r="K329" s="6" t="s">
        <v>824</v>
      </c>
      <c r="L329" s="6"/>
    </row>
    <row r="330" ht="21" customHeight="1" spans="1:12">
      <c r="A330" s="5" t="s">
        <v>9</v>
      </c>
      <c r="B330" s="6" t="s">
        <v>84</v>
      </c>
      <c r="C330" s="6" t="s">
        <v>157</v>
      </c>
      <c r="D330" s="6" t="s">
        <v>153</v>
      </c>
      <c r="E330" s="6" t="s">
        <v>825</v>
      </c>
      <c r="F330" s="6" t="s">
        <v>181</v>
      </c>
      <c r="G330" s="6">
        <v>63.77</v>
      </c>
      <c r="H330" s="6">
        <v>95</v>
      </c>
      <c r="I330" s="6">
        <v>0</v>
      </c>
      <c r="J330" s="7"/>
      <c r="K330" s="6" t="s">
        <v>826</v>
      </c>
      <c r="L330" s="6"/>
    </row>
    <row r="331" ht="21" customHeight="1" spans="1:12">
      <c r="A331" s="5" t="s">
        <v>9</v>
      </c>
      <c r="B331" s="6" t="s">
        <v>84</v>
      </c>
      <c r="C331" s="6" t="s">
        <v>157</v>
      </c>
      <c r="D331" s="6" t="s">
        <v>164</v>
      </c>
      <c r="E331" s="6" t="s">
        <v>827</v>
      </c>
      <c r="F331" s="6" t="s">
        <v>178</v>
      </c>
      <c r="G331" s="6">
        <v>63.77</v>
      </c>
      <c r="H331" s="6">
        <v>118.8</v>
      </c>
      <c r="I331" s="6">
        <v>0</v>
      </c>
      <c r="J331" s="7"/>
      <c r="K331" s="6" t="s">
        <v>828</v>
      </c>
      <c r="L331" s="6"/>
    </row>
    <row r="332" ht="21" customHeight="1" spans="1:12">
      <c r="A332" s="5" t="s">
        <v>9</v>
      </c>
      <c r="B332" s="6" t="s">
        <v>84</v>
      </c>
      <c r="C332" s="6" t="s">
        <v>157</v>
      </c>
      <c r="D332" s="6" t="s">
        <v>155</v>
      </c>
      <c r="E332" s="6" t="s">
        <v>829</v>
      </c>
      <c r="F332" s="6" t="s">
        <v>178</v>
      </c>
      <c r="G332" s="6">
        <v>63.83</v>
      </c>
      <c r="H332" s="6">
        <v>87</v>
      </c>
      <c r="I332" s="6">
        <v>0</v>
      </c>
      <c r="J332" s="7"/>
      <c r="K332" s="6" t="s">
        <v>830</v>
      </c>
      <c r="L332" s="6"/>
    </row>
    <row r="333" ht="21" customHeight="1" spans="1:12">
      <c r="A333" s="5" t="s">
        <v>9</v>
      </c>
      <c r="B333" s="6" t="s">
        <v>84</v>
      </c>
      <c r="C333" s="6" t="s">
        <v>157</v>
      </c>
      <c r="D333" s="6" t="s">
        <v>155</v>
      </c>
      <c r="E333" s="6" t="s">
        <v>831</v>
      </c>
      <c r="F333" s="6" t="s">
        <v>181</v>
      </c>
      <c r="G333" s="6">
        <v>64.13</v>
      </c>
      <c r="H333" s="6">
        <v>90</v>
      </c>
      <c r="I333" s="6">
        <v>0</v>
      </c>
      <c r="J333" s="7"/>
      <c r="K333" s="6" t="s">
        <v>832</v>
      </c>
      <c r="L333" s="6"/>
    </row>
    <row r="334" ht="21" customHeight="1" spans="1:12">
      <c r="A334" s="5" t="s">
        <v>9</v>
      </c>
      <c r="B334" s="6" t="s">
        <v>85</v>
      </c>
      <c r="C334" s="6" t="s">
        <v>152</v>
      </c>
      <c r="D334" s="6" t="s">
        <v>153</v>
      </c>
      <c r="E334" s="6" t="s">
        <v>833</v>
      </c>
      <c r="F334" s="6" t="s">
        <v>181</v>
      </c>
      <c r="G334" s="6">
        <v>47.26</v>
      </c>
      <c r="H334" s="6">
        <v>96</v>
      </c>
      <c r="I334" s="6">
        <v>3</v>
      </c>
      <c r="J334" s="7">
        <f>MEDIAN(租金配对!K1106:K1108)</f>
        <v>0.0254237288135593</v>
      </c>
      <c r="K334" s="6" t="s">
        <v>834</v>
      </c>
      <c r="L334" s="6">
        <f>MEDIAN(租金配对!L1106:L1108)</f>
        <v>0.028125</v>
      </c>
    </row>
    <row r="335" ht="21" customHeight="1" spans="1:12">
      <c r="A335" s="5" t="s">
        <v>9</v>
      </c>
      <c r="B335" s="6" t="s">
        <v>85</v>
      </c>
      <c r="C335" s="6" t="s">
        <v>152</v>
      </c>
      <c r="D335" s="6" t="s">
        <v>153</v>
      </c>
      <c r="E335" s="6" t="s">
        <v>835</v>
      </c>
      <c r="F335" s="6" t="s">
        <v>181</v>
      </c>
      <c r="G335" s="6">
        <v>50.13</v>
      </c>
      <c r="H335" s="6">
        <v>78</v>
      </c>
      <c r="I335" s="6">
        <v>3</v>
      </c>
      <c r="J335" s="7">
        <f>MEDIAN(租金配对!K1100:K1102)</f>
        <v>0.0317098156081207</v>
      </c>
      <c r="K335" s="6" t="s">
        <v>836</v>
      </c>
      <c r="L335" s="6">
        <f>MEDIAN(租金配对!L1100:L1102)</f>
        <v>0.0346153846153846</v>
      </c>
    </row>
    <row r="336" ht="21" customHeight="1" spans="1:12">
      <c r="A336" s="5" t="s">
        <v>9</v>
      </c>
      <c r="B336" s="6" t="s">
        <v>85</v>
      </c>
      <c r="C336" s="6" t="s">
        <v>152</v>
      </c>
      <c r="D336" s="6" t="s">
        <v>153</v>
      </c>
      <c r="E336" s="6" t="s">
        <v>837</v>
      </c>
      <c r="F336" s="6" t="s">
        <v>181</v>
      </c>
      <c r="G336" s="6">
        <v>50.13</v>
      </c>
      <c r="H336" s="6">
        <v>74.7</v>
      </c>
      <c r="I336" s="6">
        <v>3</v>
      </c>
      <c r="J336" s="7">
        <f>MEDIAN(租金配对!K1103:K1105)</f>
        <v>0.0331908748796639</v>
      </c>
      <c r="K336" s="6" t="s">
        <v>838</v>
      </c>
      <c r="L336" s="6">
        <f>MEDIAN(租金配对!L1103:L1105)</f>
        <v>0.036144578313253</v>
      </c>
    </row>
    <row r="337" ht="21" customHeight="1" spans="1:12">
      <c r="A337" s="5" t="s">
        <v>9</v>
      </c>
      <c r="B337" s="6" t="s">
        <v>85</v>
      </c>
      <c r="C337" s="6" t="s">
        <v>157</v>
      </c>
      <c r="D337" s="6" t="s">
        <v>155</v>
      </c>
      <c r="E337" s="6" t="s">
        <v>839</v>
      </c>
      <c r="F337" s="6" t="s">
        <v>181</v>
      </c>
      <c r="G337" s="6">
        <v>60.87</v>
      </c>
      <c r="H337" s="6">
        <v>102</v>
      </c>
      <c r="I337" s="6">
        <v>6</v>
      </c>
      <c r="J337" s="7">
        <f>MEDIAN(租金配对!K1109:K1114)</f>
        <v>0.0266699900299103</v>
      </c>
      <c r="K337" s="6" t="s">
        <v>840</v>
      </c>
      <c r="L337" s="6">
        <f>MEDIAN(租金配对!L1109:L1114)</f>
        <v>0.0294117647058824</v>
      </c>
    </row>
    <row r="338" ht="21" customHeight="1" spans="1:12">
      <c r="A338" s="5" t="s">
        <v>9</v>
      </c>
      <c r="B338" s="6" t="s">
        <v>85</v>
      </c>
      <c r="C338" s="6" t="s">
        <v>157</v>
      </c>
      <c r="D338" s="6" t="s">
        <v>155</v>
      </c>
      <c r="E338" s="6" t="s">
        <v>841</v>
      </c>
      <c r="F338" s="6" t="s">
        <v>181</v>
      </c>
      <c r="G338" s="6">
        <v>60.15</v>
      </c>
      <c r="H338" s="6">
        <v>116</v>
      </c>
      <c r="I338" s="6">
        <v>6</v>
      </c>
      <c r="J338" s="7">
        <f>MEDIAN(租金配对!K1129:K1134)</f>
        <v>0.0232320280537697</v>
      </c>
      <c r="K338" s="6" t="s">
        <v>842</v>
      </c>
      <c r="L338" s="6">
        <f>MEDIAN(租金配对!L1129:L1134)</f>
        <v>0.0258620689655172</v>
      </c>
    </row>
    <row r="339" ht="21" customHeight="1" spans="1:12">
      <c r="A339" s="5" t="s">
        <v>9</v>
      </c>
      <c r="B339" s="6" t="s">
        <v>85</v>
      </c>
      <c r="C339" s="6" t="s">
        <v>157</v>
      </c>
      <c r="D339" s="6" t="s">
        <v>155</v>
      </c>
      <c r="E339" s="6" t="s">
        <v>843</v>
      </c>
      <c r="F339" s="6" t="s">
        <v>178</v>
      </c>
      <c r="G339" s="6">
        <v>65.43</v>
      </c>
      <c r="H339" s="6">
        <v>120</v>
      </c>
      <c r="I339" s="6">
        <v>8</v>
      </c>
      <c r="J339" s="7">
        <f>MEDIAN(租金配对!K1115:K1122)</f>
        <v>0.0228006456820016</v>
      </c>
      <c r="K339" s="6" t="s">
        <v>844</v>
      </c>
      <c r="L339" s="6">
        <f>MEDIAN(租金配对!L1115:L1122)</f>
        <v>0.0254166666666667</v>
      </c>
    </row>
    <row r="340" ht="21" customHeight="1" spans="1:12">
      <c r="A340" s="5" t="s">
        <v>9</v>
      </c>
      <c r="B340" s="6" t="s">
        <v>85</v>
      </c>
      <c r="C340" s="6" t="s">
        <v>157</v>
      </c>
      <c r="D340" s="6" t="s">
        <v>155</v>
      </c>
      <c r="E340" s="6" t="s">
        <v>845</v>
      </c>
      <c r="F340" s="6" t="s">
        <v>181</v>
      </c>
      <c r="G340" s="6">
        <v>60.15</v>
      </c>
      <c r="H340" s="6">
        <v>105</v>
      </c>
      <c r="I340" s="6">
        <v>6</v>
      </c>
      <c r="J340" s="7">
        <f>MEDIAN(租金配对!K1123:K1128)</f>
        <v>0.025856105153926</v>
      </c>
      <c r="K340" s="6" t="s">
        <v>846</v>
      </c>
      <c r="L340" s="6">
        <f>MEDIAN(租金配对!L1123:L1128)</f>
        <v>0.0285714285714286</v>
      </c>
    </row>
    <row r="341" ht="21" customHeight="1" spans="1:12">
      <c r="A341" s="5" t="s">
        <v>9</v>
      </c>
      <c r="B341" s="6" t="s">
        <v>85</v>
      </c>
      <c r="C341" s="6" t="s">
        <v>157</v>
      </c>
      <c r="D341" s="6" t="s">
        <v>155</v>
      </c>
      <c r="E341" s="6" t="s">
        <v>847</v>
      </c>
      <c r="F341" s="6" t="s">
        <v>181</v>
      </c>
      <c r="G341" s="6">
        <v>64.59</v>
      </c>
      <c r="H341" s="6">
        <v>115</v>
      </c>
      <c r="I341" s="6">
        <v>8</v>
      </c>
      <c r="J341" s="7">
        <f>MEDIAN(租金配对!K1135:K1142)</f>
        <v>0.0238709337825034</v>
      </c>
      <c r="K341" s="6" t="s">
        <v>848</v>
      </c>
      <c r="L341" s="6">
        <f>MEDIAN(租金配对!L1135:L1142)</f>
        <v>0.0265217391304348</v>
      </c>
    </row>
    <row r="342" ht="21" customHeight="1" spans="1:12">
      <c r="A342" s="5" t="s">
        <v>9</v>
      </c>
      <c r="B342" s="6" t="s">
        <v>85</v>
      </c>
      <c r="C342" s="6" t="s">
        <v>157</v>
      </c>
      <c r="D342" s="6" t="s">
        <v>155</v>
      </c>
      <c r="E342" s="6" t="s">
        <v>849</v>
      </c>
      <c r="F342" s="6" t="s">
        <v>178</v>
      </c>
      <c r="G342" s="6">
        <v>68.66</v>
      </c>
      <c r="H342" s="6">
        <v>120</v>
      </c>
      <c r="I342" s="6">
        <v>8</v>
      </c>
      <c r="J342" s="7">
        <f>MEDIAN(租金配对!K1151:K1158)</f>
        <v>0.0228006456820016</v>
      </c>
      <c r="K342" s="6" t="s">
        <v>850</v>
      </c>
      <c r="L342" s="6">
        <f>MEDIAN(租金配对!L1151:L1158)</f>
        <v>0.0254166666666667</v>
      </c>
    </row>
    <row r="343" ht="21" customHeight="1" spans="1:12">
      <c r="A343" s="5" t="s">
        <v>9</v>
      </c>
      <c r="B343" s="6" t="s">
        <v>85</v>
      </c>
      <c r="C343" s="6" t="s">
        <v>157</v>
      </c>
      <c r="D343" s="6" t="s">
        <v>155</v>
      </c>
      <c r="E343" s="6" t="s">
        <v>851</v>
      </c>
      <c r="F343" s="6" t="s">
        <v>181</v>
      </c>
      <c r="G343" s="6">
        <v>64.59</v>
      </c>
      <c r="H343" s="6">
        <v>110</v>
      </c>
      <c r="I343" s="6">
        <v>8</v>
      </c>
      <c r="J343" s="7">
        <f>MEDIAN(租金配对!K1143:K1150)</f>
        <v>0.0250385208012327</v>
      </c>
      <c r="K343" s="6" t="s">
        <v>852</v>
      </c>
      <c r="L343" s="6">
        <f>MEDIAN(租金配对!L1143:L1150)</f>
        <v>0.0277272727272727</v>
      </c>
    </row>
    <row r="344" ht="21" customHeight="1" spans="1:12">
      <c r="A344" s="5" t="s">
        <v>9</v>
      </c>
      <c r="B344" s="6" t="s">
        <v>87</v>
      </c>
      <c r="C344" s="6" t="s">
        <v>152</v>
      </c>
      <c r="D344" s="6" t="s">
        <v>153</v>
      </c>
      <c r="E344" s="6" t="s">
        <v>853</v>
      </c>
      <c r="F344" s="6" t="s">
        <v>181</v>
      </c>
      <c r="G344" s="6">
        <v>43.7</v>
      </c>
      <c r="H344" s="6">
        <v>76</v>
      </c>
      <c r="I344" s="6">
        <v>9</v>
      </c>
      <c r="J344" s="7">
        <f>MEDIAN(租金配对!K1159:K1167)</f>
        <v>0.0274945839174207</v>
      </c>
      <c r="K344" s="6" t="s">
        <v>854</v>
      </c>
      <c r="L344" s="6">
        <f>MEDIAN(租金配对!L1159:L1167)</f>
        <v>0.0302631578947368</v>
      </c>
    </row>
    <row r="345" ht="21" customHeight="1" spans="1:12">
      <c r="A345" s="5" t="s">
        <v>9</v>
      </c>
      <c r="B345" s="6" t="s">
        <v>87</v>
      </c>
      <c r="C345" s="6" t="s">
        <v>157</v>
      </c>
      <c r="D345" s="6" t="s">
        <v>155</v>
      </c>
      <c r="E345" s="6" t="s">
        <v>855</v>
      </c>
      <c r="F345" s="6" t="s">
        <v>178</v>
      </c>
      <c r="G345" s="6">
        <v>66.57</v>
      </c>
      <c r="H345" s="6">
        <v>118</v>
      </c>
      <c r="I345" s="6">
        <v>5</v>
      </c>
      <c r="J345" s="7">
        <f>MEDIAN(租金配对!K1168:K1172)</f>
        <v>0.0228074855337136</v>
      </c>
      <c r="K345" s="6" t="s">
        <v>856</v>
      </c>
      <c r="L345" s="6">
        <f>MEDIAN(租金配对!L1168:L1172)</f>
        <v>0.0254237288135593</v>
      </c>
    </row>
    <row r="346" ht="21" customHeight="1" spans="1:12">
      <c r="A346" s="5" t="s">
        <v>9</v>
      </c>
      <c r="B346" s="6" t="s">
        <v>87</v>
      </c>
      <c r="C346" s="6" t="s">
        <v>157</v>
      </c>
      <c r="D346" s="6" t="s">
        <v>155</v>
      </c>
      <c r="E346" s="6" t="s">
        <v>857</v>
      </c>
      <c r="F346" s="6" t="s">
        <v>181</v>
      </c>
      <c r="G346" s="6">
        <v>74.64</v>
      </c>
      <c r="H346" s="6">
        <v>118</v>
      </c>
      <c r="I346" s="6">
        <v>5</v>
      </c>
      <c r="J346" s="7">
        <f>MEDIAN(租金配对!K1178:K1182)</f>
        <v>0.0228074855337136</v>
      </c>
      <c r="K346" s="6" t="s">
        <v>858</v>
      </c>
      <c r="L346" s="6">
        <f>MEDIAN(租金配对!L1178:L1182)</f>
        <v>0.0254237288135593</v>
      </c>
    </row>
    <row r="347" ht="21" customHeight="1" spans="1:12">
      <c r="A347" s="5" t="s">
        <v>9</v>
      </c>
      <c r="B347" s="6" t="s">
        <v>87</v>
      </c>
      <c r="C347" s="6" t="s">
        <v>157</v>
      </c>
      <c r="D347" s="6" t="s">
        <v>155</v>
      </c>
      <c r="E347" s="6" t="s">
        <v>859</v>
      </c>
      <c r="F347" s="6" t="s">
        <v>181</v>
      </c>
      <c r="G347" s="6">
        <v>66.57</v>
      </c>
      <c r="H347" s="6">
        <v>106</v>
      </c>
      <c r="I347" s="6">
        <v>5</v>
      </c>
      <c r="J347" s="7">
        <f>MEDIAN(租金配对!K1173:K1177)</f>
        <v>0.0255950477408744</v>
      </c>
      <c r="K347" s="6" t="s">
        <v>860</v>
      </c>
      <c r="L347" s="6">
        <f>MEDIAN(租金配对!L1173:L1177)</f>
        <v>0.0283018867924528</v>
      </c>
    </row>
    <row r="348" ht="21" customHeight="1" spans="1:12">
      <c r="A348" s="5" t="s">
        <v>9</v>
      </c>
      <c r="B348" s="6" t="s">
        <v>87</v>
      </c>
      <c r="C348" s="6" t="s">
        <v>157</v>
      </c>
      <c r="D348" s="6" t="s">
        <v>162</v>
      </c>
      <c r="E348" s="6" t="s">
        <v>861</v>
      </c>
      <c r="F348" s="6" t="s">
        <v>178</v>
      </c>
      <c r="G348" s="6">
        <v>63.25</v>
      </c>
      <c r="H348" s="6">
        <v>102</v>
      </c>
      <c r="I348" s="6">
        <v>0</v>
      </c>
      <c r="J348" s="7"/>
      <c r="K348" s="6" t="s">
        <v>862</v>
      </c>
      <c r="L348" s="6"/>
    </row>
    <row r="349" ht="21" customHeight="1" spans="1:12">
      <c r="A349" s="5" t="s">
        <v>9</v>
      </c>
      <c r="B349" s="6" t="s">
        <v>95</v>
      </c>
      <c r="C349" s="6" t="s">
        <v>157</v>
      </c>
      <c r="D349" s="6" t="s">
        <v>155</v>
      </c>
      <c r="E349" s="6" t="s">
        <v>863</v>
      </c>
      <c r="F349" s="6" t="s">
        <v>181</v>
      </c>
      <c r="G349" s="6">
        <v>81.75</v>
      </c>
      <c r="H349" s="6">
        <v>97</v>
      </c>
      <c r="I349" s="6">
        <v>0</v>
      </c>
      <c r="J349" s="7"/>
      <c r="K349" s="6" t="s">
        <v>864</v>
      </c>
      <c r="L349" s="6"/>
    </row>
    <row r="350" ht="21" customHeight="1" spans="1:12">
      <c r="A350" s="5" t="s">
        <v>9</v>
      </c>
      <c r="B350" s="6" t="s">
        <v>95</v>
      </c>
      <c r="C350" s="6" t="s">
        <v>157</v>
      </c>
      <c r="D350" s="6" t="s">
        <v>162</v>
      </c>
      <c r="E350" s="6" t="s">
        <v>865</v>
      </c>
      <c r="F350" s="6" t="s">
        <v>178</v>
      </c>
      <c r="G350" s="6">
        <v>77.43</v>
      </c>
      <c r="H350" s="6">
        <v>103</v>
      </c>
      <c r="I350" s="6">
        <v>0</v>
      </c>
      <c r="J350" s="7"/>
      <c r="K350" s="6" t="s">
        <v>866</v>
      </c>
      <c r="L350" s="6"/>
    </row>
    <row r="351" ht="21" customHeight="1" spans="1:12">
      <c r="A351" s="5" t="s">
        <v>9</v>
      </c>
      <c r="B351" s="6" t="s">
        <v>96</v>
      </c>
      <c r="C351" s="6" t="s">
        <v>157</v>
      </c>
      <c r="D351" s="6" t="s">
        <v>165</v>
      </c>
      <c r="E351" s="6" t="s">
        <v>867</v>
      </c>
      <c r="F351" s="6" t="s">
        <v>181</v>
      </c>
      <c r="G351" s="6">
        <v>82.37</v>
      </c>
      <c r="H351" s="6">
        <v>115</v>
      </c>
      <c r="I351" s="6">
        <v>0</v>
      </c>
      <c r="J351" s="7"/>
      <c r="K351" s="6" t="s">
        <v>868</v>
      </c>
      <c r="L351" s="6"/>
    </row>
    <row r="352" ht="21" customHeight="1" spans="1:12">
      <c r="A352" s="5" t="s">
        <v>9</v>
      </c>
      <c r="B352" s="6" t="s">
        <v>97</v>
      </c>
      <c r="C352" s="6" t="s">
        <v>152</v>
      </c>
      <c r="D352" s="6" t="s">
        <v>153</v>
      </c>
      <c r="E352" s="6" t="s">
        <v>869</v>
      </c>
      <c r="F352" s="6" t="s">
        <v>181</v>
      </c>
      <c r="G352" s="6">
        <v>57.21</v>
      </c>
      <c r="H352" s="6">
        <v>118</v>
      </c>
      <c r="I352" s="6">
        <v>0</v>
      </c>
      <c r="J352" s="7"/>
      <c r="K352" s="6" t="s">
        <v>870</v>
      </c>
      <c r="L352" s="6"/>
    </row>
    <row r="353" ht="21" customHeight="1" spans="1:12">
      <c r="A353" s="5" t="s">
        <v>9</v>
      </c>
      <c r="B353" s="6" t="s">
        <v>97</v>
      </c>
      <c r="C353" s="6" t="s">
        <v>157</v>
      </c>
      <c r="D353" s="6" t="s">
        <v>153</v>
      </c>
      <c r="E353" s="6" t="s">
        <v>871</v>
      </c>
      <c r="F353" s="6" t="s">
        <v>181</v>
      </c>
      <c r="G353" s="6">
        <v>61.48</v>
      </c>
      <c r="H353" s="6">
        <v>110</v>
      </c>
      <c r="I353" s="6">
        <v>0</v>
      </c>
      <c r="J353" s="7"/>
      <c r="K353" s="6" t="s">
        <v>872</v>
      </c>
      <c r="L353" s="6"/>
    </row>
    <row r="354" ht="21" customHeight="1" spans="1:12">
      <c r="A354" s="5" t="s">
        <v>9</v>
      </c>
      <c r="B354" s="6" t="s">
        <v>98</v>
      </c>
      <c r="C354" s="6" t="s">
        <v>152</v>
      </c>
      <c r="D354" s="6" t="s">
        <v>160</v>
      </c>
      <c r="E354" s="6" t="s">
        <v>873</v>
      </c>
      <c r="F354" s="6" t="s">
        <v>181</v>
      </c>
      <c r="G354" s="6">
        <v>44.3</v>
      </c>
      <c r="H354" s="6">
        <v>75</v>
      </c>
      <c r="I354" s="6">
        <v>0</v>
      </c>
      <c r="J354" s="7"/>
      <c r="K354" s="6" t="s">
        <v>874</v>
      </c>
      <c r="L354" s="6"/>
    </row>
    <row r="355" ht="21" customHeight="1" spans="1:12">
      <c r="A355" s="5" t="s">
        <v>9</v>
      </c>
      <c r="B355" s="6" t="s">
        <v>98</v>
      </c>
      <c r="C355" s="6" t="s">
        <v>152</v>
      </c>
      <c r="D355" s="6" t="s">
        <v>153</v>
      </c>
      <c r="E355" s="6" t="s">
        <v>875</v>
      </c>
      <c r="F355" s="6" t="s">
        <v>181</v>
      </c>
      <c r="G355" s="6">
        <v>44.3</v>
      </c>
      <c r="H355" s="6">
        <v>83</v>
      </c>
      <c r="I355" s="6">
        <v>0</v>
      </c>
      <c r="J355" s="7"/>
      <c r="K355" s="6" t="s">
        <v>876</v>
      </c>
      <c r="L355" s="6"/>
    </row>
    <row r="356" ht="21" customHeight="1" spans="1:12">
      <c r="A356" s="5" t="s">
        <v>9</v>
      </c>
      <c r="B356" s="6" t="s">
        <v>82</v>
      </c>
      <c r="C356" s="6" t="s">
        <v>152</v>
      </c>
      <c r="D356" s="6" t="s">
        <v>160</v>
      </c>
      <c r="E356" s="6" t="s">
        <v>877</v>
      </c>
      <c r="F356" s="6" t="s">
        <v>178</v>
      </c>
      <c r="G356" s="6">
        <v>43.58</v>
      </c>
      <c r="H356" s="6">
        <v>68</v>
      </c>
      <c r="I356" s="6">
        <v>1</v>
      </c>
      <c r="J356" s="7">
        <f>MEDIAN(租金配对!K1183:K1183)</f>
        <v>0.0380643782936904</v>
      </c>
      <c r="K356" s="6" t="s">
        <v>878</v>
      </c>
      <c r="L356" s="6">
        <f>MEDIAN(租金配对!L1183:L1183)</f>
        <v>0.0411764705882353</v>
      </c>
    </row>
    <row r="357" ht="21" customHeight="1" spans="1:12">
      <c r="A357" s="5" t="s">
        <v>9</v>
      </c>
      <c r="B357" s="6" t="s">
        <v>99</v>
      </c>
      <c r="C357" s="6" t="s">
        <v>157</v>
      </c>
      <c r="D357" s="6" t="s">
        <v>153</v>
      </c>
      <c r="E357" s="6" t="s">
        <v>879</v>
      </c>
      <c r="F357" s="6" t="s">
        <v>181</v>
      </c>
      <c r="G357" s="6">
        <v>78.15</v>
      </c>
      <c r="H357" s="6">
        <v>82</v>
      </c>
      <c r="I357" s="6">
        <v>0</v>
      </c>
      <c r="J357" s="7"/>
      <c r="K357" s="6" t="s">
        <v>880</v>
      </c>
      <c r="L357" s="6"/>
    </row>
    <row r="358" ht="21" customHeight="1" spans="1:12">
      <c r="A358" s="5" t="s">
        <v>10</v>
      </c>
      <c r="B358" s="6" t="s">
        <v>104</v>
      </c>
      <c r="C358" s="6" t="s">
        <v>152</v>
      </c>
      <c r="D358" s="6" t="s">
        <v>153</v>
      </c>
      <c r="E358" s="6" t="s">
        <v>881</v>
      </c>
      <c r="F358" s="6" t="s">
        <v>178</v>
      </c>
      <c r="G358" s="6">
        <v>53.96</v>
      </c>
      <c r="H358" s="6">
        <v>75</v>
      </c>
      <c r="I358" s="6">
        <v>5</v>
      </c>
      <c r="J358" s="7">
        <f>MEDIAN(租金配对!K1198:K1202)</f>
        <v>0.0304681194511703</v>
      </c>
      <c r="K358" s="6" t="s">
        <v>882</v>
      </c>
      <c r="L358" s="6">
        <f>MEDIAN(租金配对!L1198:L1202)</f>
        <v>0.0333333333333333</v>
      </c>
    </row>
    <row r="359" ht="21" customHeight="1" spans="1:12">
      <c r="A359" s="5" t="s">
        <v>10</v>
      </c>
      <c r="B359" s="6" t="s">
        <v>104</v>
      </c>
      <c r="C359" s="6" t="s">
        <v>152</v>
      </c>
      <c r="D359" s="6" t="s">
        <v>153</v>
      </c>
      <c r="E359" s="6" t="s">
        <v>883</v>
      </c>
      <c r="F359" s="6" t="s">
        <v>181</v>
      </c>
      <c r="G359" s="6">
        <v>53.96</v>
      </c>
      <c r="H359" s="6">
        <v>72</v>
      </c>
      <c r="I359" s="6">
        <v>5</v>
      </c>
      <c r="J359" s="7">
        <f>MEDIAN(租金配对!K1203:K1207)</f>
        <v>0.0318132902878666</v>
      </c>
      <c r="K359" s="6" t="s">
        <v>884</v>
      </c>
      <c r="L359" s="6">
        <f>MEDIAN(租金配对!L1203:L1207)</f>
        <v>0.0347222222222222</v>
      </c>
    </row>
    <row r="360" ht="21" customHeight="1" spans="1:12">
      <c r="A360" s="5" t="s">
        <v>10</v>
      </c>
      <c r="B360" s="6" t="s">
        <v>104</v>
      </c>
      <c r="C360" s="6" t="s">
        <v>159</v>
      </c>
      <c r="D360" s="6" t="s">
        <v>160</v>
      </c>
      <c r="E360" s="6" t="s">
        <v>885</v>
      </c>
      <c r="F360" s="6" t="s">
        <v>178</v>
      </c>
      <c r="G360" s="6">
        <v>36.57</v>
      </c>
      <c r="H360" s="6">
        <v>48</v>
      </c>
      <c r="I360" s="6">
        <v>13</v>
      </c>
      <c r="J360" s="7">
        <f>MEDIAN(租金配对!K1184:K1196)</f>
        <v>0.0345036319612591</v>
      </c>
      <c r="K360" s="6" t="s">
        <v>886</v>
      </c>
      <c r="L360" s="6">
        <f>MEDIAN(租金配对!L1184:L1196)</f>
        <v>0.0375</v>
      </c>
    </row>
    <row r="361" ht="21" customHeight="1" spans="1:12">
      <c r="A361" s="5" t="s">
        <v>10</v>
      </c>
      <c r="B361" s="6" t="s">
        <v>104</v>
      </c>
      <c r="C361" s="6" t="s">
        <v>159</v>
      </c>
      <c r="D361" s="6" t="s">
        <v>153</v>
      </c>
      <c r="E361" s="6" t="s">
        <v>887</v>
      </c>
      <c r="F361" s="6" t="s">
        <v>181</v>
      </c>
      <c r="G361" s="6">
        <v>36.59</v>
      </c>
      <c r="H361" s="6">
        <v>52</v>
      </c>
      <c r="I361" s="6">
        <v>1</v>
      </c>
      <c r="J361" s="7">
        <f>MEDIAN(租金配对!K1197:K1197)</f>
        <v>0.0289159992549823</v>
      </c>
      <c r="K361" s="6" t="s">
        <v>888</v>
      </c>
      <c r="L361" s="6">
        <f>MEDIAN(租金配对!L1197:L1197)</f>
        <v>0.0317307692307692</v>
      </c>
    </row>
    <row r="362" ht="21" customHeight="1" spans="1:12">
      <c r="A362" s="5" t="s">
        <v>10</v>
      </c>
      <c r="B362" s="6" t="s">
        <v>102</v>
      </c>
      <c r="C362" s="6" t="s">
        <v>152</v>
      </c>
      <c r="D362" s="6" t="s">
        <v>160</v>
      </c>
      <c r="E362" s="6" t="s">
        <v>889</v>
      </c>
      <c r="F362" s="6" t="s">
        <v>181</v>
      </c>
      <c r="G362" s="6">
        <v>49.7</v>
      </c>
      <c r="H362" s="6">
        <v>58</v>
      </c>
      <c r="I362" s="6">
        <v>1</v>
      </c>
      <c r="J362" s="7">
        <f>MEDIAN(租金配对!K1208:K1208)</f>
        <v>0.0357560323954246</v>
      </c>
      <c r="K362" s="6" t="s">
        <v>890</v>
      </c>
      <c r="L362" s="6">
        <f>MEDIAN(租金配对!L1208:L1208)</f>
        <v>0.0387931034482759</v>
      </c>
    </row>
    <row r="363" ht="21" customHeight="1" spans="1:12">
      <c r="A363" s="5" t="s">
        <v>10</v>
      </c>
      <c r="B363" s="6" t="s">
        <v>102</v>
      </c>
      <c r="C363" s="6" t="s">
        <v>152</v>
      </c>
      <c r="D363" s="6" t="s">
        <v>153</v>
      </c>
      <c r="E363" s="6" t="s">
        <v>891</v>
      </c>
      <c r="F363" s="6" t="s">
        <v>181</v>
      </c>
      <c r="G363" s="6">
        <v>56.3</v>
      </c>
      <c r="H363" s="6">
        <v>56</v>
      </c>
      <c r="I363" s="6">
        <v>1</v>
      </c>
      <c r="J363" s="7">
        <f>MEDIAN(租金配对!K1209:K1209)</f>
        <v>0.0275856105153926</v>
      </c>
      <c r="K363" s="6" t="s">
        <v>892</v>
      </c>
      <c r="L363" s="6">
        <f>MEDIAN(租金配对!L1209:L1209)</f>
        <v>0.0303571428571429</v>
      </c>
    </row>
    <row r="364" ht="21" customHeight="1" spans="1:12">
      <c r="A364" s="5" t="s">
        <v>10</v>
      </c>
      <c r="B364" s="6" t="s">
        <v>102</v>
      </c>
      <c r="C364" s="6" t="s">
        <v>157</v>
      </c>
      <c r="D364" s="6" t="s">
        <v>153</v>
      </c>
      <c r="E364" s="6" t="s">
        <v>893</v>
      </c>
      <c r="F364" s="6" t="s">
        <v>181</v>
      </c>
      <c r="G364" s="6">
        <v>62.17</v>
      </c>
      <c r="H364" s="6">
        <v>60</v>
      </c>
      <c r="I364" s="6">
        <v>0</v>
      </c>
      <c r="J364" s="7"/>
      <c r="K364" s="6" t="s">
        <v>894</v>
      </c>
      <c r="L364" s="6"/>
    </row>
    <row r="365" ht="21" customHeight="1" spans="1:12">
      <c r="A365" s="5" t="s">
        <v>10</v>
      </c>
      <c r="B365" s="6" t="s">
        <v>102</v>
      </c>
      <c r="C365" s="6" t="s">
        <v>157</v>
      </c>
      <c r="D365" s="6" t="s">
        <v>155</v>
      </c>
      <c r="E365" s="6" t="s">
        <v>895</v>
      </c>
      <c r="F365" s="6" t="s">
        <v>181</v>
      </c>
      <c r="G365" s="6">
        <v>75.16</v>
      </c>
      <c r="H365" s="6">
        <v>78.8</v>
      </c>
      <c r="I365" s="6">
        <v>0</v>
      </c>
      <c r="J365" s="7"/>
      <c r="K365" s="6" t="s">
        <v>896</v>
      </c>
      <c r="L365" s="6"/>
    </row>
    <row r="366" ht="21" customHeight="1" spans="1:12">
      <c r="A366" s="5" t="s">
        <v>10</v>
      </c>
      <c r="B366" s="6" t="s">
        <v>102</v>
      </c>
      <c r="C366" s="6" t="s">
        <v>157</v>
      </c>
      <c r="D366" s="6" t="s">
        <v>155</v>
      </c>
      <c r="E366" s="6" t="s">
        <v>897</v>
      </c>
      <c r="F366" s="6" t="s">
        <v>181</v>
      </c>
      <c r="G366" s="6">
        <v>78.06</v>
      </c>
      <c r="H366" s="6">
        <v>78</v>
      </c>
      <c r="I366" s="6">
        <v>0</v>
      </c>
      <c r="J366" s="7"/>
      <c r="K366" s="6" t="s">
        <v>898</v>
      </c>
      <c r="L366" s="6"/>
    </row>
    <row r="367" ht="21" customHeight="1" spans="1:12">
      <c r="A367" s="5" t="s">
        <v>10</v>
      </c>
      <c r="B367" s="6" t="s">
        <v>102</v>
      </c>
      <c r="C367" s="6" t="s">
        <v>157</v>
      </c>
      <c r="D367" s="6" t="s">
        <v>162</v>
      </c>
      <c r="E367" s="6" t="s">
        <v>899</v>
      </c>
      <c r="F367" s="6" t="s">
        <v>181</v>
      </c>
      <c r="G367" s="6">
        <v>62.17</v>
      </c>
      <c r="H367" s="6">
        <v>65</v>
      </c>
      <c r="I367" s="6">
        <v>0</v>
      </c>
      <c r="J367" s="7"/>
      <c r="K367" s="6" t="s">
        <v>900</v>
      </c>
      <c r="L367" s="6"/>
    </row>
    <row r="368" ht="21" customHeight="1" spans="1:12">
      <c r="A368" s="5" t="s">
        <v>10</v>
      </c>
      <c r="B368" s="6" t="s">
        <v>101</v>
      </c>
      <c r="C368" s="6" t="s">
        <v>166</v>
      </c>
      <c r="D368" s="6" t="s">
        <v>153</v>
      </c>
      <c r="E368" s="6" t="s">
        <v>901</v>
      </c>
      <c r="F368" s="6" t="s">
        <v>181</v>
      </c>
      <c r="G368" s="6">
        <v>98.5</v>
      </c>
      <c r="H368" s="6">
        <v>95</v>
      </c>
      <c r="I368" s="6">
        <v>1</v>
      </c>
      <c r="J368" s="7">
        <f>MEDIAN(租金配对!K1210:K1210)</f>
        <v>0.0338664457754556</v>
      </c>
      <c r="K368" s="6" t="s">
        <v>902</v>
      </c>
      <c r="L368" s="6">
        <f>MEDIAN(租金配对!L1210:L1210)</f>
        <v>0.0368421052631579</v>
      </c>
    </row>
    <row r="369" ht="21" customHeight="1" spans="1:12">
      <c r="A369" s="5" t="s">
        <v>10</v>
      </c>
      <c r="B369" s="6" t="s">
        <v>106</v>
      </c>
      <c r="C369" s="6" t="s">
        <v>152</v>
      </c>
      <c r="D369" s="6" t="s">
        <v>160</v>
      </c>
      <c r="E369" s="6" t="s">
        <v>903</v>
      </c>
      <c r="F369" s="6" t="s">
        <v>181</v>
      </c>
      <c r="G369" s="6">
        <v>40.69</v>
      </c>
      <c r="H369" s="6">
        <v>62</v>
      </c>
      <c r="I369" s="6">
        <v>2</v>
      </c>
      <c r="J369" s="7">
        <f>MEDIAN(租金配对!K1212:K1213)</f>
        <v>0.0255213621807389</v>
      </c>
      <c r="K369" s="6" t="s">
        <v>904</v>
      </c>
      <c r="L369" s="6">
        <f>MEDIAN(租金配对!L1212:L1213)</f>
        <v>0.0282258064516129</v>
      </c>
    </row>
    <row r="370" ht="21" customHeight="1" spans="1:12">
      <c r="A370" s="5" t="s">
        <v>10</v>
      </c>
      <c r="B370" s="6" t="s">
        <v>106</v>
      </c>
      <c r="C370" s="6" t="s">
        <v>152</v>
      </c>
      <c r="D370" s="6" t="s">
        <v>153</v>
      </c>
      <c r="E370" s="6" t="s">
        <v>905</v>
      </c>
      <c r="F370" s="6" t="s">
        <v>178</v>
      </c>
      <c r="G370" s="6">
        <v>55.67</v>
      </c>
      <c r="H370" s="6">
        <v>99</v>
      </c>
      <c r="I370" s="6">
        <v>2</v>
      </c>
      <c r="J370" s="7">
        <f>MEDIAN(租金配对!K1214:K1215)</f>
        <v>0.0201959057891261</v>
      </c>
      <c r="K370" s="6" t="s">
        <v>906</v>
      </c>
      <c r="L370" s="6">
        <f>MEDIAN(租金配对!L1214:L1215)</f>
        <v>0.0227272727272727</v>
      </c>
    </row>
    <row r="371" ht="21" customHeight="1" spans="1:12">
      <c r="A371" s="5" t="s">
        <v>10</v>
      </c>
      <c r="B371" s="6" t="s">
        <v>106</v>
      </c>
      <c r="C371" s="6" t="s">
        <v>159</v>
      </c>
      <c r="D371" s="6" t="s">
        <v>160</v>
      </c>
      <c r="E371" s="6" t="s">
        <v>907</v>
      </c>
      <c r="F371" s="6" t="s">
        <v>181</v>
      </c>
      <c r="G371" s="6">
        <v>36.24</v>
      </c>
      <c r="H371" s="6">
        <v>63</v>
      </c>
      <c r="I371" s="6">
        <v>1</v>
      </c>
      <c r="J371" s="7">
        <f>MEDIAN(租金配对!K1211:K1211)</f>
        <v>0.025856105153926</v>
      </c>
      <c r="K371" s="6" t="s">
        <v>908</v>
      </c>
      <c r="L371" s="6">
        <f>MEDIAN(租金配对!L1211:L1211)</f>
        <v>0.0285714285714286</v>
      </c>
    </row>
    <row r="372" ht="21" customHeight="1" spans="1:12">
      <c r="A372" s="5" t="s">
        <v>10</v>
      </c>
      <c r="B372" s="6" t="s">
        <v>103</v>
      </c>
      <c r="C372" s="6" t="s">
        <v>152</v>
      </c>
      <c r="D372" s="6" t="s">
        <v>153</v>
      </c>
      <c r="E372" s="6" t="s">
        <v>909</v>
      </c>
      <c r="F372" s="6" t="s">
        <v>181</v>
      </c>
      <c r="G372" s="6">
        <v>41.31</v>
      </c>
      <c r="H372" s="6">
        <v>60</v>
      </c>
      <c r="I372" s="6">
        <v>2</v>
      </c>
      <c r="J372" s="7">
        <f>MEDIAN(租金配对!K1216:K1217)</f>
        <v>0.0314366424535916</v>
      </c>
      <c r="K372" s="6" t="s">
        <v>910</v>
      </c>
      <c r="L372" s="6">
        <f>MEDIAN(租金配对!L1216:L1217)</f>
        <v>0.0343333333333333</v>
      </c>
    </row>
    <row r="373" ht="21" customHeight="1" spans="1:12">
      <c r="A373" s="5" t="s">
        <v>10</v>
      </c>
      <c r="B373" s="6" t="s">
        <v>103</v>
      </c>
      <c r="C373" s="6" t="s">
        <v>152</v>
      </c>
      <c r="D373" s="6" t="s">
        <v>153</v>
      </c>
      <c r="E373" s="6" t="s">
        <v>911</v>
      </c>
      <c r="F373" s="6" t="s">
        <v>181</v>
      </c>
      <c r="G373" s="6">
        <v>41.31</v>
      </c>
      <c r="H373" s="6">
        <v>60</v>
      </c>
      <c r="I373" s="6">
        <v>2</v>
      </c>
      <c r="J373" s="7">
        <f>MEDIAN(租金配对!K1218:K1219)</f>
        <v>0.0314366424535916</v>
      </c>
      <c r="K373" s="6" t="s">
        <v>912</v>
      </c>
      <c r="L373" s="6">
        <f>MEDIAN(租金配对!L1218:L1219)</f>
        <v>0.0343333333333333</v>
      </c>
    </row>
    <row r="374" ht="21" customHeight="1" spans="1:12">
      <c r="A374" s="5" t="s">
        <v>10</v>
      </c>
      <c r="B374" s="6" t="s">
        <v>100</v>
      </c>
      <c r="C374" s="6" t="s">
        <v>152</v>
      </c>
      <c r="D374" s="6" t="s">
        <v>160</v>
      </c>
      <c r="E374" s="6" t="s">
        <v>913</v>
      </c>
      <c r="F374" s="6" t="s">
        <v>181</v>
      </c>
      <c r="G374" s="6">
        <v>41.52</v>
      </c>
      <c r="H374" s="6">
        <v>45</v>
      </c>
      <c r="I374" s="6">
        <v>2</v>
      </c>
      <c r="J374" s="7">
        <f>MEDIAN(租金配对!K1223:K1224)</f>
        <v>0.0382163034705408</v>
      </c>
      <c r="K374" s="6" t="s">
        <v>914</v>
      </c>
      <c r="L374" s="6">
        <f>MEDIAN(租金配对!L1223:L1224)</f>
        <v>0.0413333333333333</v>
      </c>
    </row>
    <row r="375" ht="21" customHeight="1" spans="1:12">
      <c r="A375" s="5" t="s">
        <v>10</v>
      </c>
      <c r="B375" s="6" t="s">
        <v>100</v>
      </c>
      <c r="C375" s="6" t="s">
        <v>152</v>
      </c>
      <c r="D375" s="6" t="s">
        <v>160</v>
      </c>
      <c r="E375" s="6" t="s">
        <v>915</v>
      </c>
      <c r="F375" s="6" t="s">
        <v>181</v>
      </c>
      <c r="G375" s="6">
        <v>42.71</v>
      </c>
      <c r="H375" s="6">
        <v>45</v>
      </c>
      <c r="I375" s="6">
        <v>2</v>
      </c>
      <c r="J375" s="7">
        <f>MEDIAN(租金配对!K1225:K1226)</f>
        <v>0.0382163034705408</v>
      </c>
      <c r="K375" s="6" t="s">
        <v>916</v>
      </c>
      <c r="L375" s="6">
        <f>MEDIAN(租金配对!L1225:L1226)</f>
        <v>0.0413333333333333</v>
      </c>
    </row>
    <row r="376" ht="21" customHeight="1" spans="1:12">
      <c r="A376" s="5" t="s">
        <v>10</v>
      </c>
      <c r="B376" s="6" t="s">
        <v>100</v>
      </c>
      <c r="C376" s="6" t="s">
        <v>152</v>
      </c>
      <c r="D376" s="6" t="s">
        <v>160</v>
      </c>
      <c r="E376" s="6" t="s">
        <v>917</v>
      </c>
      <c r="F376" s="6" t="s">
        <v>181</v>
      </c>
      <c r="G376" s="6">
        <v>51.61</v>
      </c>
      <c r="H376" s="6">
        <v>65</v>
      </c>
      <c r="I376" s="6">
        <v>1</v>
      </c>
      <c r="J376" s="7">
        <f>MEDIAN(租金配对!K1221:K1221)</f>
        <v>0.026494691748929</v>
      </c>
      <c r="K376" s="6" t="s">
        <v>918</v>
      </c>
      <c r="L376" s="6">
        <f>MEDIAN(租金配对!L1221:L1221)</f>
        <v>0.0292307692307692</v>
      </c>
    </row>
    <row r="377" ht="21" customHeight="1" spans="1:12">
      <c r="A377" s="5" t="s">
        <v>10</v>
      </c>
      <c r="B377" s="6" t="s">
        <v>100</v>
      </c>
      <c r="C377" s="6" t="s">
        <v>152</v>
      </c>
      <c r="D377" s="6" t="s">
        <v>160</v>
      </c>
      <c r="E377" s="6" t="s">
        <v>919</v>
      </c>
      <c r="F377" s="6" t="s">
        <v>178</v>
      </c>
      <c r="G377" s="6">
        <v>42.71</v>
      </c>
      <c r="H377" s="6">
        <v>50</v>
      </c>
      <c r="I377" s="6">
        <v>2</v>
      </c>
      <c r="J377" s="7">
        <f>MEDIAN(租金配对!K1227:K1228)</f>
        <v>0.0342130750605327</v>
      </c>
      <c r="K377" s="6" t="s">
        <v>920</v>
      </c>
      <c r="L377" s="6">
        <f>MEDIAN(租金配对!L1227:L1228)</f>
        <v>0.0372</v>
      </c>
    </row>
    <row r="378" ht="21" customHeight="1" spans="1:12">
      <c r="A378" s="5" t="s">
        <v>10</v>
      </c>
      <c r="B378" s="6" t="s">
        <v>100</v>
      </c>
      <c r="C378" s="6" t="s">
        <v>152</v>
      </c>
      <c r="D378" s="6" t="s">
        <v>160</v>
      </c>
      <c r="E378" s="6" t="s">
        <v>921</v>
      </c>
      <c r="F378" s="6" t="s">
        <v>181</v>
      </c>
      <c r="G378" s="6">
        <v>42.71</v>
      </c>
      <c r="H378" s="6">
        <v>45.5</v>
      </c>
      <c r="I378" s="6">
        <v>2</v>
      </c>
      <c r="J378" s="7">
        <f>MEDIAN(租金配对!K1229:K1230)</f>
        <v>0.0377763882606498</v>
      </c>
      <c r="K378" s="6" t="s">
        <v>922</v>
      </c>
      <c r="L378" s="6">
        <f>MEDIAN(租金配对!L1229:L1230)</f>
        <v>0.0408791208791209</v>
      </c>
    </row>
    <row r="379" ht="21" customHeight="1" spans="1:12">
      <c r="A379" s="5" t="s">
        <v>10</v>
      </c>
      <c r="B379" s="6" t="s">
        <v>100</v>
      </c>
      <c r="C379" s="6" t="s">
        <v>152</v>
      </c>
      <c r="D379" s="6" t="s">
        <v>160</v>
      </c>
      <c r="E379" s="6" t="s">
        <v>923</v>
      </c>
      <c r="F379" s="6" t="s">
        <v>181</v>
      </c>
      <c r="G379" s="6">
        <v>51.61</v>
      </c>
      <c r="H379" s="6">
        <v>50</v>
      </c>
      <c r="I379" s="6">
        <v>1</v>
      </c>
      <c r="J379" s="7">
        <f>MEDIAN(租金配对!K1222:K1222)</f>
        <v>0.0349878934624697</v>
      </c>
      <c r="K379" s="6" t="s">
        <v>924</v>
      </c>
      <c r="L379" s="6">
        <f>MEDIAN(租金配对!L1222:L1222)</f>
        <v>0.038</v>
      </c>
    </row>
    <row r="380" ht="21" customHeight="1" spans="1:12">
      <c r="A380" s="5" t="s">
        <v>10</v>
      </c>
      <c r="B380" s="6" t="s">
        <v>100</v>
      </c>
      <c r="C380" s="6" t="s">
        <v>152</v>
      </c>
      <c r="D380" s="6" t="s">
        <v>153</v>
      </c>
      <c r="E380" s="6" t="s">
        <v>925</v>
      </c>
      <c r="F380" s="6" t="s">
        <v>181</v>
      </c>
      <c r="G380" s="6">
        <v>55.6</v>
      </c>
      <c r="H380" s="6">
        <v>59</v>
      </c>
      <c r="I380" s="6">
        <v>0</v>
      </c>
      <c r="J380" s="7"/>
      <c r="K380" s="6" t="s">
        <v>926</v>
      </c>
      <c r="L380" s="6"/>
    </row>
    <row r="381" ht="21" customHeight="1" spans="1:12">
      <c r="A381" s="5" t="s">
        <v>10</v>
      </c>
      <c r="B381" s="6" t="s">
        <v>100</v>
      </c>
      <c r="C381" s="6" t="s">
        <v>152</v>
      </c>
      <c r="D381" s="6" t="s">
        <v>153</v>
      </c>
      <c r="E381" s="6" t="s">
        <v>927</v>
      </c>
      <c r="F381" s="6" t="s">
        <v>181</v>
      </c>
      <c r="G381" s="6">
        <v>55.6</v>
      </c>
      <c r="H381" s="6">
        <v>62</v>
      </c>
      <c r="I381" s="6">
        <v>0</v>
      </c>
      <c r="J381" s="7"/>
      <c r="K381" s="6" t="s">
        <v>928</v>
      </c>
      <c r="L381" s="6"/>
    </row>
    <row r="382" ht="21" customHeight="1" spans="1:12">
      <c r="A382" s="5" t="s">
        <v>10</v>
      </c>
      <c r="B382" s="6" t="s">
        <v>100</v>
      </c>
      <c r="C382" s="6" t="s">
        <v>152</v>
      </c>
      <c r="D382" s="6" t="s">
        <v>153</v>
      </c>
      <c r="E382" s="6" t="s">
        <v>929</v>
      </c>
      <c r="F382" s="6" t="s">
        <v>178</v>
      </c>
      <c r="G382" s="6">
        <v>55.6</v>
      </c>
      <c r="H382" s="6">
        <v>71.8</v>
      </c>
      <c r="I382" s="6">
        <v>0</v>
      </c>
      <c r="J382" s="7"/>
      <c r="K382" s="6" t="s">
        <v>930</v>
      </c>
      <c r="L382" s="6"/>
    </row>
    <row r="383" ht="21" customHeight="1" spans="1:12">
      <c r="A383" s="5" t="s">
        <v>10</v>
      </c>
      <c r="B383" s="6" t="s">
        <v>100</v>
      </c>
      <c r="C383" s="6" t="s">
        <v>152</v>
      </c>
      <c r="D383" s="6" t="s">
        <v>153</v>
      </c>
      <c r="E383" s="6" t="s">
        <v>931</v>
      </c>
      <c r="F383" s="6" t="s">
        <v>178</v>
      </c>
      <c r="G383" s="6">
        <v>51.61</v>
      </c>
      <c r="H383" s="6">
        <v>60.6</v>
      </c>
      <c r="I383" s="6">
        <v>1</v>
      </c>
      <c r="J383" s="7">
        <f>MEDIAN(租金配对!K1231:K1231)</f>
        <v>0.0317466976721885</v>
      </c>
      <c r="K383" s="6" t="s">
        <v>932</v>
      </c>
      <c r="L383" s="6">
        <f>MEDIAN(租金配对!L1231:L1231)</f>
        <v>0.0346534653465347</v>
      </c>
    </row>
    <row r="384" ht="21" customHeight="1" spans="1:12">
      <c r="A384" s="5" t="s">
        <v>10</v>
      </c>
      <c r="B384" s="6" t="s">
        <v>100</v>
      </c>
      <c r="C384" s="6" t="s">
        <v>152</v>
      </c>
      <c r="D384" s="6" t="s">
        <v>153</v>
      </c>
      <c r="E384" s="6" t="s">
        <v>933</v>
      </c>
      <c r="F384" s="6" t="s">
        <v>178</v>
      </c>
      <c r="G384" s="6">
        <v>41.18</v>
      </c>
      <c r="H384" s="6">
        <v>47</v>
      </c>
      <c r="I384" s="6">
        <v>4</v>
      </c>
      <c r="J384" s="7">
        <f>MEDIAN(租金配对!K1234:K1237)</f>
        <v>0.0383674205347483</v>
      </c>
      <c r="K384" s="6" t="s">
        <v>934</v>
      </c>
      <c r="L384" s="6">
        <f>MEDIAN(租金配对!L1234:L1237)</f>
        <v>0.0414893617021277</v>
      </c>
    </row>
    <row r="385" ht="21" customHeight="1" spans="1:12">
      <c r="A385" s="5" t="s">
        <v>10</v>
      </c>
      <c r="B385" s="6" t="s">
        <v>100</v>
      </c>
      <c r="C385" s="6" t="s">
        <v>152</v>
      </c>
      <c r="D385" s="6" t="s">
        <v>153</v>
      </c>
      <c r="E385" s="6" t="s">
        <v>935</v>
      </c>
      <c r="F385" s="6" t="s">
        <v>181</v>
      </c>
      <c r="G385" s="6">
        <v>51.61</v>
      </c>
      <c r="H385" s="6">
        <v>50.7</v>
      </c>
      <c r="I385" s="6">
        <v>1</v>
      </c>
      <c r="J385" s="7">
        <f>MEDIAN(租金配对!K1232:K1232)</f>
        <v>0.0383003567488574</v>
      </c>
      <c r="K385" s="6" t="s">
        <v>936</v>
      </c>
      <c r="L385" s="6">
        <f>MEDIAN(租金配对!L1232:L1232)</f>
        <v>0.0414201183431953</v>
      </c>
    </row>
    <row r="386" ht="21" customHeight="1" spans="1:12">
      <c r="A386" s="5" t="s">
        <v>10</v>
      </c>
      <c r="B386" s="6" t="s">
        <v>100</v>
      </c>
      <c r="C386" s="6" t="s">
        <v>152</v>
      </c>
      <c r="D386" s="6" t="s">
        <v>153</v>
      </c>
      <c r="E386" s="6" t="s">
        <v>937</v>
      </c>
      <c r="F386" s="6" t="s">
        <v>181</v>
      </c>
      <c r="G386" s="6">
        <v>51.61</v>
      </c>
      <c r="H386" s="6">
        <v>52</v>
      </c>
      <c r="I386" s="6">
        <v>1</v>
      </c>
      <c r="J386" s="7">
        <f>MEDIAN(租金配对!K1233:K1233)</f>
        <v>0.0372974483143975</v>
      </c>
      <c r="K386" s="6" t="s">
        <v>938</v>
      </c>
      <c r="L386" s="6">
        <f>MEDIAN(租金配对!L1233:L1233)</f>
        <v>0.0403846153846154</v>
      </c>
    </row>
    <row r="387" ht="21" customHeight="1" spans="1:12">
      <c r="A387" s="5" t="s">
        <v>10</v>
      </c>
      <c r="B387" s="6" t="s">
        <v>100</v>
      </c>
      <c r="C387" s="6" t="s">
        <v>159</v>
      </c>
      <c r="D387" s="6" t="s">
        <v>160</v>
      </c>
      <c r="E387" s="6" t="s">
        <v>939</v>
      </c>
      <c r="F387" s="6" t="s">
        <v>178</v>
      </c>
      <c r="G387" s="6">
        <v>36.75</v>
      </c>
      <c r="H387" s="6">
        <v>44</v>
      </c>
      <c r="I387" s="6">
        <v>1</v>
      </c>
      <c r="J387" s="7">
        <f>MEDIAN(租金配对!K1220:K1220)</f>
        <v>0.0345036319612591</v>
      </c>
      <c r="K387" s="6" t="s">
        <v>940</v>
      </c>
      <c r="L387" s="6">
        <f>MEDIAN(租金配对!L1220:L1220)</f>
        <v>0.0375</v>
      </c>
    </row>
    <row r="388" ht="21" customHeight="1" spans="1:12">
      <c r="A388" s="5" t="s">
        <v>10</v>
      </c>
      <c r="B388" s="6" t="s">
        <v>100</v>
      </c>
      <c r="C388" s="6" t="s">
        <v>159</v>
      </c>
      <c r="D388" s="6" t="s">
        <v>153</v>
      </c>
      <c r="E388" s="6" t="s">
        <v>941</v>
      </c>
      <c r="F388" s="6" t="s">
        <v>178</v>
      </c>
      <c r="G388" s="6">
        <v>36.75</v>
      </c>
      <c r="H388" s="6">
        <v>48.6</v>
      </c>
      <c r="I388" s="6">
        <v>0</v>
      </c>
      <c r="J388" s="7"/>
      <c r="K388" s="6" t="s">
        <v>942</v>
      </c>
      <c r="L388" s="6"/>
    </row>
    <row r="389" ht="21" customHeight="1" spans="1:12">
      <c r="A389" s="5" t="s">
        <v>10</v>
      </c>
      <c r="B389" s="6" t="s">
        <v>105</v>
      </c>
      <c r="C389" s="6" t="s">
        <v>152</v>
      </c>
      <c r="D389" s="6" t="s">
        <v>160</v>
      </c>
      <c r="E389" s="6" t="s">
        <v>943</v>
      </c>
      <c r="F389" s="6" t="s">
        <v>178</v>
      </c>
      <c r="G389" s="6">
        <v>48.58</v>
      </c>
      <c r="H389" s="6">
        <v>79</v>
      </c>
      <c r="I389" s="6">
        <v>2</v>
      </c>
      <c r="J389" s="7">
        <f>MEDIAN(租金配对!K1242:K1243)</f>
        <v>0.0311015416679437</v>
      </c>
      <c r="K389" s="6" t="s">
        <v>944</v>
      </c>
      <c r="L389" s="6">
        <f>MEDIAN(租金配对!L1242:L1243)</f>
        <v>0.0339873417721519</v>
      </c>
    </row>
    <row r="390" ht="21" customHeight="1" spans="1:12">
      <c r="A390" s="5" t="s">
        <v>10</v>
      </c>
      <c r="B390" s="6" t="s">
        <v>105</v>
      </c>
      <c r="C390" s="6" t="s">
        <v>152</v>
      </c>
      <c r="D390" s="6" t="s">
        <v>160</v>
      </c>
      <c r="E390" s="6" t="s">
        <v>945</v>
      </c>
      <c r="F390" s="6" t="s">
        <v>178</v>
      </c>
      <c r="G390" s="6">
        <v>48.58</v>
      </c>
      <c r="H390" s="6">
        <v>82</v>
      </c>
      <c r="I390" s="6">
        <v>2</v>
      </c>
      <c r="J390" s="7">
        <f>MEDIAN(租金配对!K1240:K1241)</f>
        <v>0.0298972420716943</v>
      </c>
      <c r="K390" s="6" t="s">
        <v>946</v>
      </c>
      <c r="L390" s="6">
        <f>MEDIAN(租金配对!L1240:L1241)</f>
        <v>0.0327439024390244</v>
      </c>
    </row>
    <row r="391" ht="21" customHeight="1" spans="1:12">
      <c r="A391" s="5" t="s">
        <v>10</v>
      </c>
      <c r="B391" s="6" t="s">
        <v>105</v>
      </c>
      <c r="C391" s="6" t="s">
        <v>152</v>
      </c>
      <c r="D391" s="6" t="s">
        <v>160</v>
      </c>
      <c r="E391" s="6" t="s">
        <v>947</v>
      </c>
      <c r="F391" s="6" t="s">
        <v>178</v>
      </c>
      <c r="G391" s="6">
        <v>48.58</v>
      </c>
      <c r="H391" s="6">
        <v>90</v>
      </c>
      <c r="I391" s="6">
        <v>2</v>
      </c>
      <c r="J391" s="7">
        <f>MEDIAN(租金配对!K1238:K1239)</f>
        <v>0.0270782889426957</v>
      </c>
      <c r="K391" s="6" t="s">
        <v>948</v>
      </c>
      <c r="L391" s="6">
        <f>MEDIAN(租金配对!L1238:L1239)</f>
        <v>0.0298333333333333</v>
      </c>
    </row>
    <row r="392" ht="21" customHeight="1" spans="1:12">
      <c r="A392" s="5" t="s">
        <v>10</v>
      </c>
      <c r="B392" s="6" t="s">
        <v>105</v>
      </c>
      <c r="C392" s="6" t="s">
        <v>152</v>
      </c>
      <c r="D392" s="6" t="s">
        <v>153</v>
      </c>
      <c r="E392" s="6" t="s">
        <v>949</v>
      </c>
      <c r="F392" s="6" t="s">
        <v>181</v>
      </c>
      <c r="G392" s="6">
        <v>48.31</v>
      </c>
      <c r="H392" s="6">
        <v>78</v>
      </c>
      <c r="I392" s="6">
        <v>1</v>
      </c>
      <c r="J392" s="7">
        <f>MEDIAN(租金配对!K1244:K1244)</f>
        <v>0.0292264232942199</v>
      </c>
      <c r="K392" s="6" t="s">
        <v>950</v>
      </c>
      <c r="L392" s="6">
        <f>MEDIAN(租金配对!L1244:L1244)</f>
        <v>0.032051282051282</v>
      </c>
    </row>
    <row r="393" ht="21" customHeight="1" spans="1:12">
      <c r="A393" s="5" t="s">
        <v>10</v>
      </c>
      <c r="B393" s="6" t="s">
        <v>105</v>
      </c>
      <c r="C393" s="6" t="s">
        <v>152</v>
      </c>
      <c r="D393" s="6" t="s">
        <v>153</v>
      </c>
      <c r="E393" s="6" t="s">
        <v>951</v>
      </c>
      <c r="F393" s="6" t="s">
        <v>178</v>
      </c>
      <c r="G393" s="6">
        <v>55.94</v>
      </c>
      <c r="H393" s="6">
        <v>120</v>
      </c>
      <c r="I393" s="6">
        <v>1</v>
      </c>
      <c r="J393" s="7">
        <f>MEDIAN(租金配对!K1245:K1245)</f>
        <v>0.018361581920904</v>
      </c>
      <c r="K393" s="6" t="s">
        <v>952</v>
      </c>
      <c r="L393" s="6">
        <f>MEDIAN(租金配对!L1245:L1245)</f>
        <v>0.0208333333333333</v>
      </c>
    </row>
    <row r="394" ht="21" customHeight="1" spans="1:12">
      <c r="A394" s="5" t="s">
        <v>10</v>
      </c>
      <c r="B394" s="6" t="s">
        <v>105</v>
      </c>
      <c r="C394" s="6" t="s">
        <v>152</v>
      </c>
      <c r="D394" s="6" t="s">
        <v>153</v>
      </c>
      <c r="E394" s="6" t="s">
        <v>953</v>
      </c>
      <c r="F394" s="6" t="s">
        <v>178</v>
      </c>
      <c r="G394" s="6">
        <v>48.58</v>
      </c>
      <c r="H394" s="6">
        <v>95</v>
      </c>
      <c r="I394" s="6">
        <v>1</v>
      </c>
      <c r="J394" s="7">
        <f>MEDIAN(租金配对!K1247:K1247)</f>
        <v>0.0236714668025997</v>
      </c>
      <c r="K394" s="6" t="s">
        <v>954</v>
      </c>
      <c r="L394" s="6">
        <f>MEDIAN(租金配对!L1247:L1247)</f>
        <v>0.0263157894736842</v>
      </c>
    </row>
    <row r="395" ht="21" customHeight="1" spans="1:12">
      <c r="A395" s="5" t="s">
        <v>10</v>
      </c>
      <c r="B395" s="6" t="s">
        <v>105</v>
      </c>
      <c r="C395" s="6" t="s">
        <v>152</v>
      </c>
      <c r="D395" s="6" t="s">
        <v>153</v>
      </c>
      <c r="E395" s="6" t="s">
        <v>955</v>
      </c>
      <c r="F395" s="6" t="s">
        <v>181</v>
      </c>
      <c r="G395" s="6">
        <v>57.06</v>
      </c>
      <c r="H395" s="6">
        <v>109</v>
      </c>
      <c r="I395" s="6">
        <v>1</v>
      </c>
      <c r="J395" s="7">
        <f>MEDIAN(租金配对!K1246:K1246)</f>
        <v>0.020397849701224</v>
      </c>
      <c r="K395" s="6" t="s">
        <v>956</v>
      </c>
      <c r="L395" s="6">
        <f>MEDIAN(租金配对!L1246:L1246)</f>
        <v>0.0229357798165138</v>
      </c>
    </row>
    <row r="396" ht="21" customHeight="1" spans="1:12">
      <c r="A396" s="5" t="s">
        <v>14</v>
      </c>
      <c r="B396" s="6" t="s">
        <v>108</v>
      </c>
      <c r="C396" s="6" t="s">
        <v>152</v>
      </c>
      <c r="D396" s="6" t="s">
        <v>153</v>
      </c>
      <c r="E396" s="6" t="s">
        <v>957</v>
      </c>
      <c r="F396" s="6" t="s">
        <v>178</v>
      </c>
      <c r="G396" s="6">
        <v>45.48</v>
      </c>
      <c r="H396" s="6">
        <v>112</v>
      </c>
      <c r="I396" s="6">
        <v>5</v>
      </c>
      <c r="J396" s="7">
        <f>MEDIAN(租金配对!K1271:K1275)</f>
        <v>0.0215323417502594</v>
      </c>
      <c r="K396" s="6" t="s">
        <v>958</v>
      </c>
      <c r="L396" s="6">
        <f>MEDIAN(租金配对!L1271:L1275)</f>
        <v>0.0241071428571429</v>
      </c>
    </row>
    <row r="397" ht="21" customHeight="1" spans="1:12">
      <c r="A397" s="5" t="s">
        <v>14</v>
      </c>
      <c r="B397" s="6" t="s">
        <v>108</v>
      </c>
      <c r="C397" s="6" t="s">
        <v>152</v>
      </c>
      <c r="D397" s="6" t="s">
        <v>153</v>
      </c>
      <c r="E397" s="6" t="s">
        <v>959</v>
      </c>
      <c r="F397" s="6" t="s">
        <v>178</v>
      </c>
      <c r="G397" s="6">
        <v>45.53</v>
      </c>
      <c r="H397" s="6">
        <v>95</v>
      </c>
      <c r="I397" s="6">
        <v>5</v>
      </c>
      <c r="J397" s="7">
        <f>MEDIAN(租金配对!K1276:K1280)</f>
        <v>0.0257104625971709</v>
      </c>
      <c r="K397" s="6" t="s">
        <v>960</v>
      </c>
      <c r="L397" s="6">
        <f>MEDIAN(租金配对!L1276:L1280)</f>
        <v>0.0284210526315789</v>
      </c>
    </row>
    <row r="398" ht="21" customHeight="1" spans="1:12">
      <c r="A398" s="5" t="s">
        <v>14</v>
      </c>
      <c r="B398" s="6" t="s">
        <v>108</v>
      </c>
      <c r="C398" s="6" t="s">
        <v>152</v>
      </c>
      <c r="D398" s="6" t="s">
        <v>153</v>
      </c>
      <c r="E398" s="6" t="s">
        <v>961</v>
      </c>
      <c r="F398" s="6" t="s">
        <v>178</v>
      </c>
      <c r="G398" s="6">
        <v>47.94</v>
      </c>
      <c r="H398" s="6">
        <v>120</v>
      </c>
      <c r="I398" s="6">
        <v>5</v>
      </c>
      <c r="J398" s="7">
        <f>MEDIAN(租金配对!K1266:K1270)</f>
        <v>0.0199757869249395</v>
      </c>
      <c r="K398" s="6" t="s">
        <v>962</v>
      </c>
      <c r="L398" s="6">
        <f>MEDIAN(租金配对!L1266:L1270)</f>
        <v>0.0225</v>
      </c>
    </row>
    <row r="399" ht="21" customHeight="1" spans="1:12">
      <c r="A399" s="5" t="s">
        <v>14</v>
      </c>
      <c r="B399" s="6" t="s">
        <v>108</v>
      </c>
      <c r="C399" s="6" t="s">
        <v>152</v>
      </c>
      <c r="D399" s="6" t="s">
        <v>153</v>
      </c>
      <c r="E399" s="6" t="s">
        <v>963</v>
      </c>
      <c r="F399" s="6" t="s">
        <v>181</v>
      </c>
      <c r="G399" s="6">
        <v>55.14</v>
      </c>
      <c r="H399" s="6">
        <v>108</v>
      </c>
      <c r="I399" s="6">
        <v>4</v>
      </c>
      <c r="J399" s="7">
        <f>MEDIAN(租金配对!K1253:K1256)</f>
        <v>0.0228454847098915</v>
      </c>
      <c r="K399" s="6" t="s">
        <v>964</v>
      </c>
      <c r="L399" s="6">
        <f>MEDIAN(租金配对!L1253:L1256)</f>
        <v>0.025462962962963</v>
      </c>
    </row>
    <row r="400" ht="21" customHeight="1" spans="1:12">
      <c r="A400" s="5" t="s">
        <v>14</v>
      </c>
      <c r="B400" s="6" t="s">
        <v>108</v>
      </c>
      <c r="C400" s="6" t="s">
        <v>152</v>
      </c>
      <c r="D400" s="6" t="s">
        <v>153</v>
      </c>
      <c r="E400" s="6" t="s">
        <v>965</v>
      </c>
      <c r="F400" s="6" t="s">
        <v>181</v>
      </c>
      <c r="G400" s="6">
        <v>45.48</v>
      </c>
      <c r="H400" s="6">
        <v>89</v>
      </c>
      <c r="I400" s="6">
        <v>5</v>
      </c>
      <c r="J400" s="7">
        <f>MEDIAN(租金配对!K1248:K1252)</f>
        <v>0.0275661778708817</v>
      </c>
      <c r="K400" s="6" t="s">
        <v>966</v>
      </c>
      <c r="L400" s="6">
        <f>MEDIAN(租金配对!L1248:L1252)</f>
        <v>0.0303370786516854</v>
      </c>
    </row>
    <row r="401" ht="21" customHeight="1" spans="1:12">
      <c r="A401" s="5" t="s">
        <v>14</v>
      </c>
      <c r="B401" s="6" t="s">
        <v>108</v>
      </c>
      <c r="C401" s="6" t="s">
        <v>152</v>
      </c>
      <c r="D401" s="6" t="s">
        <v>153</v>
      </c>
      <c r="E401" s="6" t="s">
        <v>967</v>
      </c>
      <c r="F401" s="6" t="s">
        <v>178</v>
      </c>
      <c r="G401" s="6">
        <v>45.48</v>
      </c>
      <c r="H401" s="6">
        <v>91</v>
      </c>
      <c r="I401" s="6">
        <v>5</v>
      </c>
      <c r="J401" s="7">
        <f>MEDIAN(租金配对!K1261:K1265)</f>
        <v>0.0269204161455977</v>
      </c>
      <c r="K401" s="6" t="s">
        <v>968</v>
      </c>
      <c r="L401" s="6">
        <f>MEDIAN(租金配对!L1261:L1265)</f>
        <v>0.0296703296703297</v>
      </c>
    </row>
    <row r="402" ht="21" customHeight="1" spans="1:12">
      <c r="A402" s="5" t="s">
        <v>14</v>
      </c>
      <c r="B402" s="6" t="s">
        <v>108</v>
      </c>
      <c r="C402" s="6" t="s">
        <v>152</v>
      </c>
      <c r="D402" s="6" t="s">
        <v>153</v>
      </c>
      <c r="E402" s="6" t="s">
        <v>969</v>
      </c>
      <c r="F402" s="6" t="s">
        <v>178</v>
      </c>
      <c r="G402" s="6">
        <v>55.14</v>
      </c>
      <c r="H402" s="6">
        <v>115</v>
      </c>
      <c r="I402" s="6">
        <v>4</v>
      </c>
      <c r="J402" s="7">
        <f>MEDIAN(租金配对!K1257:K1260)</f>
        <v>0.0213443520370565</v>
      </c>
      <c r="K402" s="6" t="s">
        <v>970</v>
      </c>
      <c r="L402" s="6">
        <f>MEDIAN(租金配对!L1257:L1260)</f>
        <v>0.0239130434782609</v>
      </c>
    </row>
    <row r="403" ht="21" customHeight="1" spans="1:12">
      <c r="A403" s="5" t="s">
        <v>14</v>
      </c>
      <c r="B403" s="6" t="s">
        <v>109</v>
      </c>
      <c r="C403" s="6" t="s">
        <v>157</v>
      </c>
      <c r="D403" s="6" t="s">
        <v>153</v>
      </c>
      <c r="E403" s="6" t="s">
        <v>971</v>
      </c>
      <c r="F403" s="6" t="s">
        <v>181</v>
      </c>
      <c r="G403" s="6">
        <v>70.54</v>
      </c>
      <c r="H403" s="6">
        <v>69</v>
      </c>
      <c r="I403" s="6">
        <v>0</v>
      </c>
      <c r="J403" s="7"/>
      <c r="K403" s="6" t="s">
        <v>972</v>
      </c>
      <c r="L403" s="6"/>
    </row>
    <row r="404" ht="21" customHeight="1" spans="1:12">
      <c r="A404" s="5" t="s">
        <v>14</v>
      </c>
      <c r="B404" s="6" t="s">
        <v>109</v>
      </c>
      <c r="C404" s="6" t="s">
        <v>157</v>
      </c>
      <c r="D404" s="6" t="s">
        <v>153</v>
      </c>
      <c r="E404" s="6" t="s">
        <v>973</v>
      </c>
      <c r="F404" s="6" t="s">
        <v>181</v>
      </c>
      <c r="G404" s="6">
        <v>70.54</v>
      </c>
      <c r="H404" s="6">
        <v>65</v>
      </c>
      <c r="I404" s="6">
        <v>0</v>
      </c>
      <c r="J404" s="7"/>
      <c r="K404" s="6" t="s">
        <v>974</v>
      </c>
      <c r="L404" s="6"/>
    </row>
    <row r="405" ht="21" customHeight="1" spans="1:12">
      <c r="A405" s="5" t="s">
        <v>14</v>
      </c>
      <c r="B405" s="6" t="s">
        <v>109</v>
      </c>
      <c r="C405" s="6" t="s">
        <v>157</v>
      </c>
      <c r="D405" s="6" t="s">
        <v>155</v>
      </c>
      <c r="E405" s="6" t="s">
        <v>975</v>
      </c>
      <c r="F405" s="6" t="s">
        <v>181</v>
      </c>
      <c r="G405" s="6">
        <v>89.53</v>
      </c>
      <c r="H405" s="6">
        <v>86</v>
      </c>
      <c r="I405" s="6">
        <v>0</v>
      </c>
      <c r="J405" s="7"/>
      <c r="K405" s="6" t="s">
        <v>976</v>
      </c>
      <c r="L405" s="6"/>
    </row>
    <row r="406" ht="21" customHeight="1" spans="1:12">
      <c r="A406" s="5" t="s">
        <v>14</v>
      </c>
      <c r="B406" s="6" t="s">
        <v>107</v>
      </c>
      <c r="C406" s="6" t="s">
        <v>152</v>
      </c>
      <c r="D406" s="6" t="s">
        <v>153</v>
      </c>
      <c r="E406" s="6" t="s">
        <v>977</v>
      </c>
      <c r="F406" s="6" t="s">
        <v>181</v>
      </c>
      <c r="G406" s="6">
        <v>55.2</v>
      </c>
      <c r="H406" s="6">
        <v>99</v>
      </c>
      <c r="I406" s="6">
        <v>0</v>
      </c>
      <c r="J406" s="7"/>
      <c r="K406" s="6" t="s">
        <v>978</v>
      </c>
      <c r="L406" s="6"/>
    </row>
    <row r="407" ht="21" customHeight="1" spans="1:12">
      <c r="A407" s="5" t="s">
        <v>14</v>
      </c>
      <c r="B407" s="6" t="s">
        <v>107</v>
      </c>
      <c r="C407" s="6" t="s">
        <v>152</v>
      </c>
      <c r="D407" s="6" t="s">
        <v>153</v>
      </c>
      <c r="E407" s="6" t="s">
        <v>979</v>
      </c>
      <c r="F407" s="6" t="s">
        <v>181</v>
      </c>
      <c r="G407" s="6">
        <v>45.12</v>
      </c>
      <c r="H407" s="6">
        <v>67</v>
      </c>
      <c r="I407" s="6">
        <v>0</v>
      </c>
      <c r="J407" s="7"/>
      <c r="K407" s="6" t="s">
        <v>980</v>
      </c>
      <c r="L407" s="6"/>
    </row>
    <row r="408" ht="21" customHeight="1" spans="1:12">
      <c r="A408" s="5" t="s">
        <v>14</v>
      </c>
      <c r="B408" s="6" t="s">
        <v>107</v>
      </c>
      <c r="C408" s="6" t="s">
        <v>152</v>
      </c>
      <c r="D408" s="6" t="s">
        <v>153</v>
      </c>
      <c r="E408" s="6" t="s">
        <v>981</v>
      </c>
      <c r="F408" s="6" t="s">
        <v>181</v>
      </c>
      <c r="G408" s="6">
        <v>55.2</v>
      </c>
      <c r="H408" s="6">
        <v>80</v>
      </c>
      <c r="I408" s="6">
        <v>0</v>
      </c>
      <c r="J408" s="7"/>
      <c r="K408" s="6" t="s">
        <v>982</v>
      </c>
      <c r="L408" s="6"/>
    </row>
    <row r="409" ht="21" customHeight="1" spans="1:12">
      <c r="A409" s="5" t="s">
        <v>14</v>
      </c>
      <c r="B409" s="6" t="s">
        <v>107</v>
      </c>
      <c r="C409" s="6" t="s">
        <v>159</v>
      </c>
      <c r="D409" s="6" t="s">
        <v>160</v>
      </c>
      <c r="E409" s="6" t="s">
        <v>983</v>
      </c>
      <c r="F409" s="6" t="s">
        <v>181</v>
      </c>
      <c r="G409" s="6">
        <v>38.65</v>
      </c>
      <c r="H409" s="6">
        <v>62</v>
      </c>
      <c r="I409" s="6">
        <v>1</v>
      </c>
      <c r="J409" s="7">
        <f>MEDIAN(租金配对!K1281:K1281)</f>
        <v>0.0263024291181754</v>
      </c>
      <c r="K409" s="6" t="s">
        <v>984</v>
      </c>
      <c r="L409" s="6">
        <f>MEDIAN(租金配对!L1281:L1281)</f>
        <v>0.0290322580645161</v>
      </c>
    </row>
    <row r="410" ht="21" customHeight="1" spans="1:12">
      <c r="A410" s="5" t="s">
        <v>16</v>
      </c>
      <c r="B410" s="6" t="s">
        <v>125</v>
      </c>
      <c r="C410" s="6" t="s">
        <v>152</v>
      </c>
      <c r="D410" s="6" t="s">
        <v>160</v>
      </c>
      <c r="E410" s="6" t="s">
        <v>985</v>
      </c>
      <c r="F410" s="6" t="s">
        <v>178</v>
      </c>
      <c r="G410" s="6">
        <v>45.72</v>
      </c>
      <c r="H410" s="6">
        <v>118</v>
      </c>
      <c r="I410" s="6">
        <v>1</v>
      </c>
      <c r="J410" s="7">
        <f>MEDIAN(租金配对!K1285:K1285)</f>
        <v>0.0129580990684122</v>
      </c>
      <c r="K410" s="6" t="s">
        <v>986</v>
      </c>
      <c r="L410" s="6">
        <f>MEDIAN(租金配对!L1285:L1285)</f>
        <v>0.0152542372881356</v>
      </c>
    </row>
    <row r="411" ht="21" customHeight="1" spans="1:12">
      <c r="A411" s="5" t="s">
        <v>16</v>
      </c>
      <c r="B411" s="6" t="s">
        <v>125</v>
      </c>
      <c r="C411" s="6" t="s">
        <v>152</v>
      </c>
      <c r="D411" s="6" t="s">
        <v>160</v>
      </c>
      <c r="E411" s="6" t="s">
        <v>987</v>
      </c>
      <c r="F411" s="6" t="s">
        <v>181</v>
      </c>
      <c r="G411" s="6">
        <v>41.02</v>
      </c>
      <c r="H411" s="6">
        <v>88.8</v>
      </c>
      <c r="I411" s="6">
        <v>1</v>
      </c>
      <c r="J411" s="7">
        <f>MEDIAN(租金配对!K1283:K1283)</f>
        <v>0.0178162423925136</v>
      </c>
      <c r="K411" s="6" t="s">
        <v>988</v>
      </c>
      <c r="L411" s="6">
        <f>MEDIAN(租金配对!L1283:L1283)</f>
        <v>0.0202702702702703</v>
      </c>
    </row>
    <row r="412" ht="21" customHeight="1" spans="1:12">
      <c r="A412" s="5" t="s">
        <v>16</v>
      </c>
      <c r="B412" s="6" t="s">
        <v>125</v>
      </c>
      <c r="C412" s="6" t="s">
        <v>152</v>
      </c>
      <c r="D412" s="6" t="s">
        <v>160</v>
      </c>
      <c r="E412" s="6" t="s">
        <v>989</v>
      </c>
      <c r="F412" s="6" t="s">
        <v>178</v>
      </c>
      <c r="G412" s="6">
        <v>45.72</v>
      </c>
      <c r="H412" s="6">
        <v>119</v>
      </c>
      <c r="I412" s="6">
        <v>1</v>
      </c>
      <c r="J412" s="7">
        <f>MEDIAN(租金配对!K1287:K1287)</f>
        <v>0.0128339471381773</v>
      </c>
      <c r="K412" s="6" t="s">
        <v>990</v>
      </c>
      <c r="L412" s="6">
        <f>MEDIAN(租金配对!L1287:L1287)</f>
        <v>0.0151260504201681</v>
      </c>
    </row>
    <row r="413" ht="21" customHeight="1" spans="1:12">
      <c r="A413" s="5" t="s">
        <v>16</v>
      </c>
      <c r="B413" s="6" t="s">
        <v>125</v>
      </c>
      <c r="C413" s="6" t="s">
        <v>152</v>
      </c>
      <c r="D413" s="6" t="s">
        <v>160</v>
      </c>
      <c r="E413" s="6" t="s">
        <v>991</v>
      </c>
      <c r="F413" s="6" t="s">
        <v>178</v>
      </c>
      <c r="G413" s="6">
        <v>52.74</v>
      </c>
      <c r="H413" s="6">
        <v>118</v>
      </c>
      <c r="I413" s="6">
        <v>0</v>
      </c>
      <c r="J413" s="7"/>
      <c r="K413" s="6" t="s">
        <v>992</v>
      </c>
      <c r="L413" s="6"/>
    </row>
    <row r="414" ht="21" customHeight="1" spans="1:12">
      <c r="A414" s="5" t="s">
        <v>16</v>
      </c>
      <c r="B414" s="6" t="s">
        <v>125</v>
      </c>
      <c r="C414" s="6" t="s">
        <v>152</v>
      </c>
      <c r="D414" s="6" t="s">
        <v>160</v>
      </c>
      <c r="E414" s="6" t="s">
        <v>993</v>
      </c>
      <c r="F414" s="6" t="s">
        <v>178</v>
      </c>
      <c r="G414" s="6">
        <v>45.72</v>
      </c>
      <c r="H414" s="6">
        <v>120</v>
      </c>
      <c r="I414" s="6">
        <v>1</v>
      </c>
      <c r="J414" s="7">
        <f>MEDIAN(租金配对!K1289:K1289)</f>
        <v>0.0127118644067797</v>
      </c>
      <c r="K414" s="6" t="s">
        <v>994</v>
      </c>
      <c r="L414" s="6">
        <f>MEDIAN(租金配对!L1289:L1289)</f>
        <v>0.015</v>
      </c>
    </row>
    <row r="415" ht="21" customHeight="1" spans="1:12">
      <c r="A415" s="5" t="s">
        <v>16</v>
      </c>
      <c r="B415" s="6" t="s">
        <v>125</v>
      </c>
      <c r="C415" s="6" t="s">
        <v>152</v>
      </c>
      <c r="D415" s="6" t="s">
        <v>160</v>
      </c>
      <c r="E415" s="6" t="s">
        <v>995</v>
      </c>
      <c r="F415" s="6" t="s">
        <v>178</v>
      </c>
      <c r="G415" s="6">
        <v>41.02</v>
      </c>
      <c r="H415" s="6">
        <v>116</v>
      </c>
      <c r="I415" s="6">
        <v>1</v>
      </c>
      <c r="J415" s="7">
        <f>MEDIAN(租金配对!K1291:K1291)</f>
        <v>0.0132128245804459</v>
      </c>
      <c r="K415" s="6" t="s">
        <v>996</v>
      </c>
      <c r="L415" s="6">
        <f>MEDIAN(租金配对!L1291:L1291)</f>
        <v>0.0155172413793103</v>
      </c>
    </row>
    <row r="416" ht="21" customHeight="1" spans="1:12">
      <c r="A416" s="5" t="s">
        <v>16</v>
      </c>
      <c r="B416" s="6" t="s">
        <v>125</v>
      </c>
      <c r="C416" s="6" t="s">
        <v>152</v>
      </c>
      <c r="D416" s="6" t="s">
        <v>160</v>
      </c>
      <c r="E416" s="6" t="s">
        <v>997</v>
      </c>
      <c r="F416" s="6" t="s">
        <v>181</v>
      </c>
      <c r="G416" s="6">
        <v>57.61</v>
      </c>
      <c r="H416" s="6">
        <v>120</v>
      </c>
      <c r="I416" s="6">
        <v>0</v>
      </c>
      <c r="J416" s="7"/>
      <c r="K416" s="6" t="s">
        <v>998</v>
      </c>
      <c r="L416" s="6"/>
    </row>
    <row r="417" ht="21" customHeight="1" spans="1:12">
      <c r="A417" s="5" t="s">
        <v>16</v>
      </c>
      <c r="B417" s="6" t="s">
        <v>125</v>
      </c>
      <c r="C417" s="6" t="s">
        <v>152</v>
      </c>
      <c r="D417" s="6" t="s">
        <v>160</v>
      </c>
      <c r="E417" s="6" t="s">
        <v>999</v>
      </c>
      <c r="F417" s="6" t="s">
        <v>178</v>
      </c>
      <c r="G417" s="6">
        <v>45.72</v>
      </c>
      <c r="H417" s="6">
        <v>115</v>
      </c>
      <c r="I417" s="6">
        <v>1</v>
      </c>
      <c r="J417" s="7">
        <f>MEDIAN(租金配对!K1286:K1286)</f>
        <v>0.0133435098431414</v>
      </c>
      <c r="K417" s="6" t="s">
        <v>1000</v>
      </c>
      <c r="L417" s="6">
        <f>MEDIAN(租金配对!L1286:L1286)</f>
        <v>0.0156521739130435</v>
      </c>
    </row>
    <row r="418" ht="21" customHeight="1" spans="1:12">
      <c r="A418" s="5" t="s">
        <v>16</v>
      </c>
      <c r="B418" s="6" t="s">
        <v>125</v>
      </c>
      <c r="C418" s="6" t="s">
        <v>152</v>
      </c>
      <c r="D418" s="6" t="s">
        <v>160</v>
      </c>
      <c r="E418" s="6" t="s">
        <v>1001</v>
      </c>
      <c r="F418" s="6" t="s">
        <v>178</v>
      </c>
      <c r="G418" s="6">
        <v>43.78</v>
      </c>
      <c r="H418" s="6">
        <v>110</v>
      </c>
      <c r="I418" s="6">
        <v>1</v>
      </c>
      <c r="J418" s="7">
        <f>MEDIAN(租金配对!K1290:K1290)</f>
        <v>0.0140325775918996</v>
      </c>
      <c r="K418" s="6" t="s">
        <v>1002</v>
      </c>
      <c r="L418" s="6">
        <f>MEDIAN(租金配对!L1290:L1290)</f>
        <v>0.0163636363636364</v>
      </c>
    </row>
    <row r="419" ht="21" customHeight="1" spans="1:12">
      <c r="A419" s="5" t="s">
        <v>16</v>
      </c>
      <c r="B419" s="6" t="s">
        <v>125</v>
      </c>
      <c r="C419" s="6" t="s">
        <v>152</v>
      </c>
      <c r="D419" s="6" t="s">
        <v>160</v>
      </c>
      <c r="E419" s="6" t="s">
        <v>1003</v>
      </c>
      <c r="F419" s="6" t="s">
        <v>178</v>
      </c>
      <c r="G419" s="6">
        <v>57.61</v>
      </c>
      <c r="H419" s="6">
        <v>120</v>
      </c>
      <c r="I419" s="6">
        <v>0</v>
      </c>
      <c r="J419" s="7"/>
      <c r="K419" s="6" t="s">
        <v>1004</v>
      </c>
      <c r="L419" s="6"/>
    </row>
    <row r="420" ht="21" customHeight="1" spans="1:12">
      <c r="A420" s="5" t="s">
        <v>16</v>
      </c>
      <c r="B420" s="6" t="s">
        <v>125</v>
      </c>
      <c r="C420" s="6" t="s">
        <v>152</v>
      </c>
      <c r="D420" s="6" t="s">
        <v>160</v>
      </c>
      <c r="E420" s="6" t="s">
        <v>1005</v>
      </c>
      <c r="F420" s="6" t="s">
        <v>178</v>
      </c>
      <c r="G420" s="6">
        <v>52.74</v>
      </c>
      <c r="H420" s="6">
        <v>115</v>
      </c>
      <c r="I420" s="6">
        <v>0</v>
      </c>
      <c r="J420" s="7"/>
      <c r="K420" s="6" t="s">
        <v>1006</v>
      </c>
      <c r="L420" s="6"/>
    </row>
    <row r="421" ht="21" customHeight="1" spans="1:12">
      <c r="A421" s="5" t="s">
        <v>16</v>
      </c>
      <c r="B421" s="6" t="s">
        <v>125</v>
      </c>
      <c r="C421" s="6" t="s">
        <v>152</v>
      </c>
      <c r="D421" s="6" t="s">
        <v>160</v>
      </c>
      <c r="E421" s="6" t="s">
        <v>1007</v>
      </c>
      <c r="F421" s="6" t="s">
        <v>181</v>
      </c>
      <c r="G421" s="6">
        <v>41.02</v>
      </c>
      <c r="H421" s="6">
        <v>85</v>
      </c>
      <c r="I421" s="6">
        <v>1</v>
      </c>
      <c r="J421" s="7">
        <f>MEDIAN(租金配对!K1284:K1284)</f>
        <v>0.0186939182452642</v>
      </c>
      <c r="K421" s="6" t="s">
        <v>1008</v>
      </c>
      <c r="L421" s="6">
        <f>MEDIAN(租金配对!L1284:L1284)</f>
        <v>0.0211764705882353</v>
      </c>
    </row>
    <row r="422" ht="21" customHeight="1" spans="1:12">
      <c r="A422" s="5" t="s">
        <v>16</v>
      </c>
      <c r="B422" s="6" t="s">
        <v>125</v>
      </c>
      <c r="C422" s="6" t="s">
        <v>152</v>
      </c>
      <c r="D422" s="6" t="s">
        <v>160</v>
      </c>
      <c r="E422" s="6" t="s">
        <v>1009</v>
      </c>
      <c r="F422" s="6" t="s">
        <v>178</v>
      </c>
      <c r="G422" s="6">
        <v>52.74</v>
      </c>
      <c r="H422" s="6">
        <v>110</v>
      </c>
      <c r="I422" s="6">
        <v>0</v>
      </c>
      <c r="J422" s="7"/>
      <c r="K422" s="6" t="s">
        <v>1010</v>
      </c>
      <c r="L422" s="6"/>
    </row>
    <row r="423" ht="21" customHeight="1" spans="1:12">
      <c r="A423" s="5" t="s">
        <v>16</v>
      </c>
      <c r="B423" s="6" t="s">
        <v>125</v>
      </c>
      <c r="C423" s="6" t="s">
        <v>152</v>
      </c>
      <c r="D423" s="6" t="s">
        <v>160</v>
      </c>
      <c r="E423" s="6" t="s">
        <v>1011</v>
      </c>
      <c r="F423" s="6" t="s">
        <v>181</v>
      </c>
      <c r="G423" s="6">
        <v>57.61</v>
      </c>
      <c r="H423" s="6">
        <v>99.8</v>
      </c>
      <c r="I423" s="6">
        <v>0</v>
      </c>
      <c r="J423" s="7"/>
      <c r="K423" s="6" t="s">
        <v>1012</v>
      </c>
      <c r="L423" s="6"/>
    </row>
    <row r="424" ht="21" customHeight="1" spans="1:12">
      <c r="A424" s="5" t="s">
        <v>16</v>
      </c>
      <c r="B424" s="6" t="s">
        <v>125</v>
      </c>
      <c r="C424" s="6" t="s">
        <v>152</v>
      </c>
      <c r="D424" s="6" t="s">
        <v>160</v>
      </c>
      <c r="E424" s="6" t="s">
        <v>1013</v>
      </c>
      <c r="F424" s="6" t="s">
        <v>178</v>
      </c>
      <c r="G424" s="6">
        <v>41.02</v>
      </c>
      <c r="H424" s="6">
        <v>120</v>
      </c>
      <c r="I424" s="6">
        <v>1</v>
      </c>
      <c r="J424" s="7">
        <f>MEDIAN(租金配对!K1288:K1288)</f>
        <v>0.0127118644067797</v>
      </c>
      <c r="K424" s="6" t="s">
        <v>1014</v>
      </c>
      <c r="L424" s="6">
        <f>MEDIAN(租金配对!L1288:L1288)</f>
        <v>0.015</v>
      </c>
    </row>
    <row r="425" ht="21" customHeight="1" spans="1:12">
      <c r="A425" s="5" t="s">
        <v>16</v>
      </c>
      <c r="B425" s="6" t="s">
        <v>125</v>
      </c>
      <c r="C425" s="6" t="s">
        <v>152</v>
      </c>
      <c r="D425" s="6" t="s">
        <v>160</v>
      </c>
      <c r="E425" s="6" t="s">
        <v>1015</v>
      </c>
      <c r="F425" s="6" t="s">
        <v>178</v>
      </c>
      <c r="G425" s="6">
        <v>57.61</v>
      </c>
      <c r="H425" s="6">
        <v>99</v>
      </c>
      <c r="I425" s="6">
        <v>0</v>
      </c>
      <c r="J425" s="7"/>
      <c r="K425" s="6" t="s">
        <v>1016</v>
      </c>
      <c r="L425" s="6"/>
    </row>
    <row r="426" ht="21" customHeight="1" spans="1:12">
      <c r="A426" s="5" t="s">
        <v>16</v>
      </c>
      <c r="B426" s="6" t="s">
        <v>125</v>
      </c>
      <c r="C426" s="6" t="s">
        <v>152</v>
      </c>
      <c r="D426" s="6" t="s">
        <v>160</v>
      </c>
      <c r="E426" s="6" t="s">
        <v>1017</v>
      </c>
      <c r="F426" s="6" t="s">
        <v>178</v>
      </c>
      <c r="G426" s="6">
        <v>57.61</v>
      </c>
      <c r="H426" s="6">
        <v>109</v>
      </c>
      <c r="I426" s="6">
        <v>0</v>
      </c>
      <c r="J426" s="7"/>
      <c r="K426" s="6" t="s">
        <v>1018</v>
      </c>
      <c r="L426" s="6"/>
    </row>
    <row r="427" ht="21" customHeight="1" spans="1:12">
      <c r="A427" s="5" t="s">
        <v>16</v>
      </c>
      <c r="B427" s="6" t="s">
        <v>125</v>
      </c>
      <c r="C427" s="6" t="s">
        <v>152</v>
      </c>
      <c r="D427" s="6" t="s">
        <v>160</v>
      </c>
      <c r="E427" s="6" t="s">
        <v>1019</v>
      </c>
      <c r="F427" s="6" t="s">
        <v>178</v>
      </c>
      <c r="G427" s="6">
        <v>41.02</v>
      </c>
      <c r="H427" s="6">
        <v>90</v>
      </c>
      <c r="I427" s="6">
        <v>1</v>
      </c>
      <c r="J427" s="7">
        <f>MEDIAN(租金配对!K1282:K1282)</f>
        <v>0.0175544794188862</v>
      </c>
      <c r="K427" s="6" t="s">
        <v>1020</v>
      </c>
      <c r="L427" s="6">
        <f>MEDIAN(租金配对!L1282:L1282)</f>
        <v>0.02</v>
      </c>
    </row>
    <row r="428" ht="21" customHeight="1" spans="1:12">
      <c r="A428" s="5" t="s">
        <v>16</v>
      </c>
      <c r="B428" s="6" t="s">
        <v>125</v>
      </c>
      <c r="C428" s="6" t="s">
        <v>152</v>
      </c>
      <c r="D428" s="6" t="s">
        <v>153</v>
      </c>
      <c r="E428" s="6" t="s">
        <v>1021</v>
      </c>
      <c r="F428" s="6" t="s">
        <v>178</v>
      </c>
      <c r="G428" s="6">
        <v>45.72</v>
      </c>
      <c r="H428" s="6">
        <v>102</v>
      </c>
      <c r="I428" s="6">
        <v>0</v>
      </c>
      <c r="J428" s="7"/>
      <c r="K428" s="6" t="s">
        <v>1022</v>
      </c>
      <c r="L428" s="6"/>
    </row>
    <row r="429" ht="21" customHeight="1" spans="1:12">
      <c r="A429" s="5" t="s">
        <v>16</v>
      </c>
      <c r="B429" s="6" t="s">
        <v>127</v>
      </c>
      <c r="C429" s="6" t="s">
        <v>152</v>
      </c>
      <c r="D429" s="6" t="s">
        <v>160</v>
      </c>
      <c r="E429" s="6" t="s">
        <v>1023</v>
      </c>
      <c r="F429" s="6" t="s">
        <v>181</v>
      </c>
      <c r="G429" s="6">
        <v>50.21</v>
      </c>
      <c r="H429" s="6">
        <v>79</v>
      </c>
      <c r="I429" s="6">
        <v>0</v>
      </c>
      <c r="J429" s="7"/>
      <c r="K429" s="6" t="s">
        <v>1024</v>
      </c>
      <c r="L429" s="6"/>
    </row>
    <row r="430" ht="21" customHeight="1" spans="1:12">
      <c r="A430" s="5" t="s">
        <v>16</v>
      </c>
      <c r="B430" s="6" t="s">
        <v>127</v>
      </c>
      <c r="C430" s="6" t="s">
        <v>152</v>
      </c>
      <c r="D430" s="6" t="s">
        <v>162</v>
      </c>
      <c r="E430" s="6" t="s">
        <v>1025</v>
      </c>
      <c r="F430" s="6" t="s">
        <v>178</v>
      </c>
      <c r="G430" s="6">
        <v>57.98</v>
      </c>
      <c r="H430" s="6">
        <v>82</v>
      </c>
      <c r="I430" s="6">
        <v>0</v>
      </c>
      <c r="J430" s="7"/>
      <c r="K430" s="6" t="s">
        <v>1026</v>
      </c>
      <c r="L430" s="6"/>
    </row>
    <row r="431" ht="21" customHeight="1" spans="1:12">
      <c r="A431" s="5" t="s">
        <v>16</v>
      </c>
      <c r="B431" s="6" t="s">
        <v>127</v>
      </c>
      <c r="C431" s="6" t="s">
        <v>157</v>
      </c>
      <c r="D431" s="6" t="s">
        <v>160</v>
      </c>
      <c r="E431" s="6" t="s">
        <v>1027</v>
      </c>
      <c r="F431" s="6" t="s">
        <v>181</v>
      </c>
      <c r="G431" s="6">
        <v>83.41</v>
      </c>
      <c r="H431" s="6">
        <v>93.8</v>
      </c>
      <c r="I431" s="6">
        <v>0</v>
      </c>
      <c r="J431" s="7"/>
      <c r="K431" s="6" t="s">
        <v>1028</v>
      </c>
      <c r="L431" s="6"/>
    </row>
    <row r="432" ht="21" customHeight="1" spans="1:12">
      <c r="A432" s="5" t="s">
        <v>16</v>
      </c>
      <c r="B432" s="6" t="s">
        <v>127</v>
      </c>
      <c r="C432" s="6" t="s">
        <v>157</v>
      </c>
      <c r="D432" s="6" t="s">
        <v>155</v>
      </c>
      <c r="E432" s="6" t="s">
        <v>1029</v>
      </c>
      <c r="F432" s="6" t="s">
        <v>178</v>
      </c>
      <c r="G432" s="6">
        <v>81.9</v>
      </c>
      <c r="H432" s="6">
        <v>120</v>
      </c>
      <c r="I432" s="6">
        <v>0</v>
      </c>
      <c r="J432" s="7"/>
      <c r="K432" s="6" t="s">
        <v>1030</v>
      </c>
      <c r="L432" s="6"/>
    </row>
    <row r="433" ht="21" customHeight="1" spans="1:12">
      <c r="A433" s="5" t="s">
        <v>16</v>
      </c>
      <c r="B433" s="6" t="s">
        <v>127</v>
      </c>
      <c r="C433" s="6" t="s">
        <v>157</v>
      </c>
      <c r="D433" s="6" t="s">
        <v>162</v>
      </c>
      <c r="E433" s="6" t="s">
        <v>1031</v>
      </c>
      <c r="F433" s="6" t="s">
        <v>181</v>
      </c>
      <c r="G433" s="6">
        <v>79.27</v>
      </c>
      <c r="H433" s="6">
        <v>120</v>
      </c>
      <c r="I433" s="6">
        <v>0</v>
      </c>
      <c r="J433" s="7"/>
      <c r="K433" s="6" t="s">
        <v>1032</v>
      </c>
      <c r="L433" s="6"/>
    </row>
    <row r="434" ht="21" customHeight="1" spans="1:12">
      <c r="A434" s="5" t="s">
        <v>16</v>
      </c>
      <c r="B434" s="6" t="s">
        <v>111</v>
      </c>
      <c r="C434" s="6" t="s">
        <v>152</v>
      </c>
      <c r="D434" s="6" t="s">
        <v>160</v>
      </c>
      <c r="E434" s="6" t="s">
        <v>1033</v>
      </c>
      <c r="F434" s="6" t="s">
        <v>178</v>
      </c>
      <c r="G434" s="6">
        <v>40.38</v>
      </c>
      <c r="H434" s="6">
        <v>45</v>
      </c>
      <c r="I434" s="6">
        <v>0</v>
      </c>
      <c r="J434" s="7"/>
      <c r="K434" s="6" t="s">
        <v>1034</v>
      </c>
      <c r="L434" s="6"/>
    </row>
    <row r="435" ht="21" customHeight="1" spans="1:12">
      <c r="A435" s="5" t="s">
        <v>16</v>
      </c>
      <c r="B435" s="6" t="s">
        <v>111</v>
      </c>
      <c r="C435" s="6" t="s">
        <v>152</v>
      </c>
      <c r="D435" s="6" t="s">
        <v>153</v>
      </c>
      <c r="E435" s="6" t="s">
        <v>1035</v>
      </c>
      <c r="F435" s="6" t="s">
        <v>181</v>
      </c>
      <c r="G435" s="6">
        <v>40.45</v>
      </c>
      <c r="H435" s="6">
        <v>55</v>
      </c>
      <c r="I435" s="6">
        <v>1</v>
      </c>
      <c r="J435" s="7">
        <f>MEDIAN(租金配对!K1293:K1293)</f>
        <v>0.0281201848998459</v>
      </c>
      <c r="K435" s="6" t="s">
        <v>1036</v>
      </c>
      <c r="L435" s="6">
        <f>MEDIAN(租金配对!L1293:L1293)</f>
        <v>0.0309090909090909</v>
      </c>
    </row>
    <row r="436" ht="21" customHeight="1" spans="1:12">
      <c r="A436" s="5" t="s">
        <v>16</v>
      </c>
      <c r="B436" s="6" t="s">
        <v>111</v>
      </c>
      <c r="C436" s="6" t="s">
        <v>152</v>
      </c>
      <c r="D436" s="6" t="s">
        <v>153</v>
      </c>
      <c r="E436" s="6" t="s">
        <v>1037</v>
      </c>
      <c r="F436" s="6" t="s">
        <v>178</v>
      </c>
      <c r="G436" s="6">
        <v>40.75</v>
      </c>
      <c r="H436" s="6">
        <v>48</v>
      </c>
      <c r="I436" s="6">
        <v>1</v>
      </c>
      <c r="J436" s="7">
        <f>MEDIAN(租金配对!K1292:K1292)</f>
        <v>0.0324858757062147</v>
      </c>
      <c r="K436" s="6" t="s">
        <v>1038</v>
      </c>
      <c r="L436" s="6">
        <f>MEDIAN(租金配对!L1292:L1292)</f>
        <v>0.0354166666666667</v>
      </c>
    </row>
    <row r="437" ht="21" customHeight="1" spans="1:12">
      <c r="A437" s="5" t="s">
        <v>16</v>
      </c>
      <c r="B437" s="6" t="s">
        <v>123</v>
      </c>
      <c r="C437" s="6" t="s">
        <v>152</v>
      </c>
      <c r="D437" s="6" t="s">
        <v>160</v>
      </c>
      <c r="E437" s="6" t="s">
        <v>1039</v>
      </c>
      <c r="F437" s="6" t="s">
        <v>178</v>
      </c>
      <c r="G437" s="6">
        <v>40.35</v>
      </c>
      <c r="H437" s="6">
        <v>89</v>
      </c>
      <c r="I437" s="6">
        <v>6</v>
      </c>
      <c r="J437" s="7">
        <f>MEDIAN(租金配对!K1383:K1388)</f>
        <v>0.0183162390837119</v>
      </c>
      <c r="K437" s="6" t="s">
        <v>1040</v>
      </c>
      <c r="L437" s="6">
        <f>MEDIAN(租金配对!L1383:L1388)</f>
        <v>0.0207865168539326</v>
      </c>
    </row>
    <row r="438" ht="21" customHeight="1" spans="1:12">
      <c r="A438" s="5" t="s">
        <v>16</v>
      </c>
      <c r="B438" s="6" t="s">
        <v>123</v>
      </c>
      <c r="C438" s="6" t="s">
        <v>152</v>
      </c>
      <c r="D438" s="6" t="s">
        <v>160</v>
      </c>
      <c r="E438" s="6" t="s">
        <v>1041</v>
      </c>
      <c r="F438" s="6" t="s">
        <v>178</v>
      </c>
      <c r="G438" s="6">
        <v>40.02</v>
      </c>
      <c r="H438" s="6">
        <v>110</v>
      </c>
      <c r="I438" s="6">
        <v>6</v>
      </c>
      <c r="J438" s="7">
        <f>MEDIAN(租金配对!K1407:K1412)</f>
        <v>0.0144728153202729</v>
      </c>
      <c r="K438" s="6" t="s">
        <v>1042</v>
      </c>
      <c r="L438" s="6">
        <f>MEDIAN(租金配对!L1407:L1412)</f>
        <v>0.0168181818181818</v>
      </c>
    </row>
    <row r="439" ht="21" customHeight="1" spans="1:12">
      <c r="A439" s="5" t="s">
        <v>16</v>
      </c>
      <c r="B439" s="6" t="s">
        <v>123</v>
      </c>
      <c r="C439" s="6" t="s">
        <v>152</v>
      </c>
      <c r="D439" s="6" t="s">
        <v>160</v>
      </c>
      <c r="E439" s="6" t="s">
        <v>1043</v>
      </c>
      <c r="F439" s="6" t="s">
        <v>178</v>
      </c>
      <c r="G439" s="6">
        <v>40.12</v>
      </c>
      <c r="H439" s="6">
        <v>116</v>
      </c>
      <c r="I439" s="6">
        <v>6</v>
      </c>
      <c r="J439" s="7">
        <f>MEDIAN(租金配对!K1401:K1406)</f>
        <v>0.0136302913918343</v>
      </c>
      <c r="K439" s="6" t="s">
        <v>1044</v>
      </c>
      <c r="L439" s="6">
        <f>MEDIAN(租金配对!L1401:L1406)</f>
        <v>0.015948275862069</v>
      </c>
    </row>
    <row r="440" ht="21" customHeight="1" spans="1:12">
      <c r="A440" s="5" t="s">
        <v>16</v>
      </c>
      <c r="B440" s="6" t="s">
        <v>123</v>
      </c>
      <c r="C440" s="6" t="s">
        <v>152</v>
      </c>
      <c r="D440" s="6" t="s">
        <v>160</v>
      </c>
      <c r="E440" s="6" t="s">
        <v>1045</v>
      </c>
      <c r="F440" s="6" t="s">
        <v>178</v>
      </c>
      <c r="G440" s="6">
        <v>40.31</v>
      </c>
      <c r="H440" s="6">
        <v>103</v>
      </c>
      <c r="I440" s="6">
        <v>6</v>
      </c>
      <c r="J440" s="7">
        <f>MEDIAN(租金配对!K1395:K1400)</f>
        <v>0.0155798208702602</v>
      </c>
      <c r="K440" s="6" t="s">
        <v>1046</v>
      </c>
      <c r="L440" s="6">
        <f>MEDIAN(租金配对!L1395:L1400)</f>
        <v>0.0179611650485437</v>
      </c>
    </row>
    <row r="441" ht="21" customHeight="1" spans="1:12">
      <c r="A441" s="5" t="s">
        <v>16</v>
      </c>
      <c r="B441" s="6" t="s">
        <v>123</v>
      </c>
      <c r="C441" s="6" t="s">
        <v>152</v>
      </c>
      <c r="D441" s="6" t="s">
        <v>160</v>
      </c>
      <c r="E441" s="6" t="s">
        <v>1047</v>
      </c>
      <c r="F441" s="6" t="s">
        <v>178</v>
      </c>
      <c r="G441" s="6">
        <v>40.1</v>
      </c>
      <c r="H441" s="6">
        <v>96</v>
      </c>
      <c r="I441" s="6">
        <v>6</v>
      </c>
      <c r="J441" s="7">
        <f>MEDIAN(租金配对!K1389:K1394)</f>
        <v>0.0168482647296207</v>
      </c>
      <c r="K441" s="6" t="s">
        <v>1048</v>
      </c>
      <c r="L441" s="6">
        <f>MEDIAN(租金配对!L1389:L1394)</f>
        <v>0.0192708333333333</v>
      </c>
    </row>
    <row r="442" ht="21" customHeight="1" spans="1:12">
      <c r="A442" s="5" t="s">
        <v>16</v>
      </c>
      <c r="B442" s="6" t="s">
        <v>123</v>
      </c>
      <c r="C442" s="6" t="s">
        <v>152</v>
      </c>
      <c r="D442" s="6" t="s">
        <v>160</v>
      </c>
      <c r="E442" s="6" t="s">
        <v>1049</v>
      </c>
      <c r="F442" s="6" t="s">
        <v>181</v>
      </c>
      <c r="G442" s="6">
        <v>40.21</v>
      </c>
      <c r="H442" s="6">
        <v>95</v>
      </c>
      <c r="I442" s="6">
        <v>6</v>
      </c>
      <c r="J442" s="7">
        <f>MEDIAN(租金配对!K1425:K1430)</f>
        <v>0.0170447304702434</v>
      </c>
      <c r="K442" s="6" t="s">
        <v>1050</v>
      </c>
      <c r="L442" s="6">
        <f>MEDIAN(租金配对!L1425:L1430)</f>
        <v>0.0194736842105263</v>
      </c>
    </row>
    <row r="443" ht="21" customHeight="1" spans="1:12">
      <c r="A443" s="5" t="s">
        <v>16</v>
      </c>
      <c r="B443" s="6" t="s">
        <v>123</v>
      </c>
      <c r="C443" s="6" t="s">
        <v>152</v>
      </c>
      <c r="D443" s="6" t="s">
        <v>160</v>
      </c>
      <c r="E443" s="6" t="s">
        <v>1051</v>
      </c>
      <c r="F443" s="6" t="s">
        <v>181</v>
      </c>
      <c r="G443" s="6">
        <v>42.85</v>
      </c>
      <c r="H443" s="6">
        <v>95</v>
      </c>
      <c r="I443" s="6">
        <v>6</v>
      </c>
      <c r="J443" s="7">
        <f>MEDIAN(租金配对!K1413:K1418)</f>
        <v>0.0170447304702434</v>
      </c>
      <c r="K443" s="6" t="s">
        <v>1052</v>
      </c>
      <c r="L443" s="6">
        <f>MEDIAN(租金配对!L1413:L1418)</f>
        <v>0.0194736842105263</v>
      </c>
    </row>
    <row r="444" ht="21" customHeight="1" spans="1:12">
      <c r="A444" s="5" t="s">
        <v>16</v>
      </c>
      <c r="B444" s="6" t="s">
        <v>123</v>
      </c>
      <c r="C444" s="6" t="s">
        <v>152</v>
      </c>
      <c r="D444" s="6" t="s">
        <v>160</v>
      </c>
      <c r="E444" s="6" t="s">
        <v>1053</v>
      </c>
      <c r="F444" s="6" t="s">
        <v>178</v>
      </c>
      <c r="G444" s="6">
        <v>40.61</v>
      </c>
      <c r="H444" s="6">
        <v>95</v>
      </c>
      <c r="I444" s="6">
        <v>6</v>
      </c>
      <c r="J444" s="7">
        <f>MEDIAN(租金配对!K1419:K1424)</f>
        <v>0.0170447304702434</v>
      </c>
      <c r="K444" s="6" t="s">
        <v>1054</v>
      </c>
      <c r="L444" s="6">
        <f>MEDIAN(租金配对!L1419:L1424)</f>
        <v>0.0194736842105263</v>
      </c>
    </row>
    <row r="445" ht="21" customHeight="1" spans="1:12">
      <c r="A445" s="5" t="s">
        <v>16</v>
      </c>
      <c r="B445" s="6" t="s">
        <v>123</v>
      </c>
      <c r="C445" s="6" t="s">
        <v>152</v>
      </c>
      <c r="D445" s="6" t="s">
        <v>153</v>
      </c>
      <c r="E445" s="6" t="s">
        <v>1055</v>
      </c>
      <c r="F445" s="6" t="s">
        <v>178</v>
      </c>
      <c r="G445" s="6">
        <v>55.29</v>
      </c>
      <c r="H445" s="6">
        <v>119</v>
      </c>
      <c r="I445" s="6">
        <v>9</v>
      </c>
      <c r="J445" s="7">
        <f>MEDIAN(租金配对!K1431:K1439)</f>
        <v>0.0144617168901459</v>
      </c>
      <c r="K445" s="6" t="s">
        <v>1056</v>
      </c>
      <c r="L445" s="6">
        <f>MEDIAN(租金配对!L1431:L1439)</f>
        <v>0.0168067226890756</v>
      </c>
    </row>
    <row r="446" ht="21" customHeight="1" spans="1:12">
      <c r="A446" s="5" t="s">
        <v>16</v>
      </c>
      <c r="B446" s="6" t="s">
        <v>123</v>
      </c>
      <c r="C446" s="6" t="s">
        <v>152</v>
      </c>
      <c r="D446" s="6" t="s">
        <v>153</v>
      </c>
      <c r="E446" s="6" t="s">
        <v>1057</v>
      </c>
      <c r="F446" s="6" t="s">
        <v>178</v>
      </c>
      <c r="G446" s="6">
        <v>55.29</v>
      </c>
      <c r="H446" s="6">
        <v>120</v>
      </c>
      <c r="I446" s="6">
        <v>9</v>
      </c>
      <c r="J446" s="7">
        <f>MEDIAN(租金配对!K1440:K1448)</f>
        <v>0.0143260694108152</v>
      </c>
      <c r="K446" s="6" t="s">
        <v>1058</v>
      </c>
      <c r="L446" s="6">
        <f>MEDIAN(租金配对!L1440:L1448)</f>
        <v>0.0166666666666667</v>
      </c>
    </row>
    <row r="447" ht="21" customHeight="1" spans="1:12">
      <c r="A447" s="5" t="s">
        <v>16</v>
      </c>
      <c r="B447" s="6" t="s">
        <v>123</v>
      </c>
      <c r="C447" s="6" t="s">
        <v>152</v>
      </c>
      <c r="D447" s="6" t="s">
        <v>153</v>
      </c>
      <c r="E447" s="6" t="s">
        <v>1059</v>
      </c>
      <c r="F447" s="6" t="s">
        <v>178</v>
      </c>
      <c r="G447" s="6">
        <v>55.44</v>
      </c>
      <c r="H447" s="6">
        <v>120</v>
      </c>
      <c r="I447" s="6">
        <v>9</v>
      </c>
      <c r="J447" s="7">
        <f>MEDIAN(租金配对!K1459:K1467)</f>
        <v>0.0143260694108152</v>
      </c>
      <c r="K447" s="6" t="s">
        <v>1060</v>
      </c>
      <c r="L447" s="6">
        <f>MEDIAN(租金配对!L1459:L1467)</f>
        <v>0.0166666666666667</v>
      </c>
    </row>
    <row r="448" ht="21" customHeight="1" spans="1:12">
      <c r="A448" s="5" t="s">
        <v>16</v>
      </c>
      <c r="B448" s="6" t="s">
        <v>123</v>
      </c>
      <c r="C448" s="6" t="s">
        <v>152</v>
      </c>
      <c r="D448" s="6" t="s">
        <v>153</v>
      </c>
      <c r="E448" s="6" t="s">
        <v>1061</v>
      </c>
      <c r="F448" s="6" t="s">
        <v>178</v>
      </c>
      <c r="G448" s="6">
        <v>40.13</v>
      </c>
      <c r="H448" s="6">
        <v>99</v>
      </c>
      <c r="I448" s="6">
        <v>3</v>
      </c>
      <c r="J448" s="7">
        <f>MEDIAN(租金配对!K1478:K1480)</f>
        <v>0.0148152224423411</v>
      </c>
      <c r="K448" s="6" t="s">
        <v>1062</v>
      </c>
      <c r="L448" s="6">
        <f>MEDIAN(租金配对!L1478:L1480)</f>
        <v>0.0171717171717172</v>
      </c>
    </row>
    <row r="449" ht="21" customHeight="1" spans="1:12">
      <c r="A449" s="5" t="s">
        <v>16</v>
      </c>
      <c r="B449" s="6" t="s">
        <v>123</v>
      </c>
      <c r="C449" s="6" t="s">
        <v>152</v>
      </c>
      <c r="D449" s="6" t="s">
        <v>153</v>
      </c>
      <c r="E449" s="6" t="s">
        <v>1063</v>
      </c>
      <c r="F449" s="6" t="s">
        <v>178</v>
      </c>
      <c r="G449" s="6">
        <v>50.55</v>
      </c>
      <c r="H449" s="6">
        <v>115</v>
      </c>
      <c r="I449" s="6">
        <v>10</v>
      </c>
      <c r="J449" s="7">
        <f>MEDIAN(租金配对!K1449:K1458)</f>
        <v>0.0141857037582903</v>
      </c>
      <c r="K449" s="6" t="s">
        <v>1064</v>
      </c>
      <c r="L449" s="6">
        <f>MEDIAN(租金配对!L1449:L1458)</f>
        <v>0.0165217391304348</v>
      </c>
    </row>
    <row r="450" ht="21" customHeight="1" spans="1:12">
      <c r="A450" s="5" t="s">
        <v>16</v>
      </c>
      <c r="B450" s="6" t="s">
        <v>123</v>
      </c>
      <c r="C450" s="6" t="s">
        <v>152</v>
      </c>
      <c r="D450" s="6" t="s">
        <v>153</v>
      </c>
      <c r="E450" s="6" t="s">
        <v>1065</v>
      </c>
      <c r="F450" s="6" t="s">
        <v>181</v>
      </c>
      <c r="G450" s="6">
        <v>48.88</v>
      </c>
      <c r="H450" s="6">
        <v>103</v>
      </c>
      <c r="I450" s="6">
        <v>10</v>
      </c>
      <c r="J450" s="7">
        <f>MEDIAN(租金配对!K1468:K1477)</f>
        <v>0.0151096640729683</v>
      </c>
      <c r="K450" s="6" t="s">
        <v>1066</v>
      </c>
      <c r="L450" s="6">
        <f>MEDIAN(租金配对!L1468:L1477)</f>
        <v>0.0174757281553398</v>
      </c>
    </row>
    <row r="451" ht="21" customHeight="1" spans="1:12">
      <c r="A451" s="5" t="s">
        <v>16</v>
      </c>
      <c r="B451" s="6" t="s">
        <v>123</v>
      </c>
      <c r="C451" s="6" t="s">
        <v>159</v>
      </c>
      <c r="D451" s="6" t="s">
        <v>160</v>
      </c>
      <c r="E451" s="6" t="s">
        <v>1067</v>
      </c>
      <c r="F451" s="6" t="s">
        <v>178</v>
      </c>
      <c r="G451" s="6">
        <v>34.42</v>
      </c>
      <c r="H451" s="6">
        <v>90</v>
      </c>
      <c r="I451" s="6">
        <v>14</v>
      </c>
      <c r="J451" s="7">
        <f>MEDIAN(租金配对!K1294:K1307)</f>
        <v>0.0164783427495292</v>
      </c>
      <c r="K451" s="6" t="s">
        <v>1068</v>
      </c>
      <c r="L451" s="6">
        <f>MEDIAN(租金配对!L1294:L1307)</f>
        <v>0.0188888888888889</v>
      </c>
    </row>
    <row r="452" ht="21" customHeight="1" spans="1:12">
      <c r="A452" s="5" t="s">
        <v>16</v>
      </c>
      <c r="B452" s="6" t="s">
        <v>123</v>
      </c>
      <c r="C452" s="6" t="s">
        <v>159</v>
      </c>
      <c r="D452" s="6" t="s">
        <v>160</v>
      </c>
      <c r="E452" s="6" t="s">
        <v>1069</v>
      </c>
      <c r="F452" s="6" t="s">
        <v>181</v>
      </c>
      <c r="G452" s="6">
        <v>37.44</v>
      </c>
      <c r="H452" s="6">
        <v>90</v>
      </c>
      <c r="I452" s="6">
        <v>15</v>
      </c>
      <c r="J452" s="7">
        <f>MEDIAN(租金配对!K1308:K1322)</f>
        <v>0.0164783427495292</v>
      </c>
      <c r="K452" s="6" t="s">
        <v>1070</v>
      </c>
      <c r="L452" s="6">
        <f>MEDIAN(租金配对!L1308:L1322)</f>
        <v>0.0188888888888889</v>
      </c>
    </row>
    <row r="453" ht="21" customHeight="1" spans="1:12">
      <c r="A453" s="5" t="s">
        <v>16</v>
      </c>
      <c r="B453" s="6" t="s">
        <v>123</v>
      </c>
      <c r="C453" s="6" t="s">
        <v>159</v>
      </c>
      <c r="D453" s="6" t="s">
        <v>160</v>
      </c>
      <c r="E453" s="6" t="s">
        <v>1071</v>
      </c>
      <c r="F453" s="6" t="s">
        <v>178</v>
      </c>
      <c r="G453" s="6">
        <v>38.04</v>
      </c>
      <c r="H453" s="6">
        <v>94</v>
      </c>
      <c r="I453" s="6">
        <v>15</v>
      </c>
      <c r="J453" s="7">
        <f>MEDIAN(租金配对!K1368:K1382)</f>
        <v>0.0156998609036114</v>
      </c>
      <c r="K453" s="6" t="s">
        <v>1072</v>
      </c>
      <c r="L453" s="6">
        <f>MEDIAN(租金配对!L1368:L1382)</f>
        <v>0.0180851063829787</v>
      </c>
    </row>
    <row r="454" ht="21" customHeight="1" spans="1:12">
      <c r="A454" s="5" t="s">
        <v>16</v>
      </c>
      <c r="B454" s="6" t="s">
        <v>123</v>
      </c>
      <c r="C454" s="6" t="s">
        <v>159</v>
      </c>
      <c r="D454" s="6" t="s">
        <v>160</v>
      </c>
      <c r="E454" s="6" t="s">
        <v>1073</v>
      </c>
      <c r="F454" s="6" t="s">
        <v>178</v>
      </c>
      <c r="G454" s="6">
        <v>35.89</v>
      </c>
      <c r="H454" s="6">
        <v>108</v>
      </c>
      <c r="I454" s="6">
        <v>15</v>
      </c>
      <c r="J454" s="7">
        <f>MEDIAN(租金配对!K1353:K1367)</f>
        <v>0.0134292888530177</v>
      </c>
      <c r="K454" s="6" t="s">
        <v>1074</v>
      </c>
      <c r="L454" s="6">
        <f>MEDIAN(租金配对!L1353:L1367)</f>
        <v>0.0157407407407407</v>
      </c>
    </row>
    <row r="455" ht="21" customHeight="1" spans="1:12">
      <c r="A455" s="5" t="s">
        <v>16</v>
      </c>
      <c r="B455" s="6" t="s">
        <v>123</v>
      </c>
      <c r="C455" s="6" t="s">
        <v>159</v>
      </c>
      <c r="D455" s="6" t="s">
        <v>160</v>
      </c>
      <c r="E455" s="6" t="s">
        <v>1075</v>
      </c>
      <c r="F455" s="6" t="s">
        <v>178</v>
      </c>
      <c r="G455" s="6">
        <v>37.96</v>
      </c>
      <c r="H455" s="6">
        <v>115</v>
      </c>
      <c r="I455" s="6">
        <v>15</v>
      </c>
      <c r="J455" s="7">
        <f>MEDIAN(租金配对!K1338:K1352)</f>
        <v>0.0125013159279924</v>
      </c>
      <c r="K455" s="6" t="s">
        <v>1076</v>
      </c>
      <c r="L455" s="6">
        <f>MEDIAN(租金配对!L1338:L1352)</f>
        <v>0.0147826086956522</v>
      </c>
    </row>
    <row r="456" ht="21" customHeight="1" spans="1:12">
      <c r="A456" s="5" t="s">
        <v>16</v>
      </c>
      <c r="B456" s="6" t="s">
        <v>123</v>
      </c>
      <c r="C456" s="6" t="s">
        <v>159</v>
      </c>
      <c r="D456" s="6" t="s">
        <v>160</v>
      </c>
      <c r="E456" s="6" t="s">
        <v>1077</v>
      </c>
      <c r="F456" s="6" t="s">
        <v>181</v>
      </c>
      <c r="G456" s="6">
        <v>37.27</v>
      </c>
      <c r="H456" s="6">
        <v>98</v>
      </c>
      <c r="I456" s="6">
        <v>15</v>
      </c>
      <c r="J456" s="7">
        <f>MEDIAN(租金配对!K1323:K1337)</f>
        <v>0.0149849285961358</v>
      </c>
      <c r="K456" s="6" t="s">
        <v>1078</v>
      </c>
      <c r="L456" s="6">
        <f>MEDIAN(租金配对!L1323:L1337)</f>
        <v>0.0173469387755102</v>
      </c>
    </row>
    <row r="457" ht="21" customHeight="1" spans="1:12">
      <c r="A457" s="5" t="s">
        <v>16</v>
      </c>
      <c r="B457" s="6" t="s">
        <v>110</v>
      </c>
      <c r="C457" s="6" t="s">
        <v>152</v>
      </c>
      <c r="D457" s="6" t="s">
        <v>160</v>
      </c>
      <c r="E457" s="6" t="s">
        <v>1079</v>
      </c>
      <c r="F457" s="6" t="s">
        <v>181</v>
      </c>
      <c r="G457" s="6">
        <v>40.47</v>
      </c>
      <c r="H457" s="6">
        <v>45</v>
      </c>
      <c r="I457" s="6">
        <v>2</v>
      </c>
      <c r="J457" s="7">
        <f>MEDIAN(租金配对!K1483:K1484)</f>
        <v>0.0304681194511703</v>
      </c>
      <c r="K457" s="6" t="s">
        <v>1080</v>
      </c>
      <c r="L457" s="6">
        <f>MEDIAN(租金配对!L1483:L1484)</f>
        <v>0.0333333333333333</v>
      </c>
    </row>
    <row r="458" ht="21" customHeight="1" spans="1:12">
      <c r="A458" s="5" t="s">
        <v>16</v>
      </c>
      <c r="B458" s="6" t="s">
        <v>110</v>
      </c>
      <c r="C458" s="6" t="s">
        <v>152</v>
      </c>
      <c r="D458" s="6" t="s">
        <v>153</v>
      </c>
      <c r="E458" s="6" t="s">
        <v>1081</v>
      </c>
      <c r="F458" s="6" t="s">
        <v>178</v>
      </c>
      <c r="G458" s="6">
        <v>50.27</v>
      </c>
      <c r="H458" s="6">
        <v>58</v>
      </c>
      <c r="I458" s="6">
        <v>0</v>
      </c>
      <c r="J458" s="7"/>
      <c r="K458" s="6" t="s">
        <v>1082</v>
      </c>
      <c r="L458" s="6"/>
    </row>
    <row r="459" ht="21" customHeight="1" spans="1:12">
      <c r="A459" s="5" t="s">
        <v>16</v>
      </c>
      <c r="B459" s="6" t="s">
        <v>110</v>
      </c>
      <c r="C459" s="6" t="s">
        <v>152</v>
      </c>
      <c r="D459" s="6" t="s">
        <v>153</v>
      </c>
      <c r="E459" s="6" t="s">
        <v>1083</v>
      </c>
      <c r="F459" s="6" t="s">
        <v>181</v>
      </c>
      <c r="G459" s="6">
        <v>50.27</v>
      </c>
      <c r="H459" s="6">
        <v>50</v>
      </c>
      <c r="I459" s="6">
        <v>0</v>
      </c>
      <c r="J459" s="7"/>
      <c r="K459" s="6" t="s">
        <v>1084</v>
      </c>
      <c r="L459" s="6"/>
    </row>
    <row r="460" ht="21" customHeight="1" spans="1:12">
      <c r="A460" s="5" t="s">
        <v>16</v>
      </c>
      <c r="B460" s="6" t="s">
        <v>110</v>
      </c>
      <c r="C460" s="6" t="s">
        <v>152</v>
      </c>
      <c r="D460" s="6" t="s">
        <v>153</v>
      </c>
      <c r="E460" s="6" t="s">
        <v>1085</v>
      </c>
      <c r="F460" s="6" t="s">
        <v>181</v>
      </c>
      <c r="G460" s="6">
        <v>50.35</v>
      </c>
      <c r="H460" s="6">
        <v>55</v>
      </c>
      <c r="I460" s="6">
        <v>0</v>
      </c>
      <c r="J460" s="7"/>
      <c r="K460" s="6" t="s">
        <v>1086</v>
      </c>
      <c r="L460" s="6"/>
    </row>
    <row r="461" ht="21" customHeight="1" spans="1:12">
      <c r="A461" s="5" t="s">
        <v>16</v>
      </c>
      <c r="B461" s="6" t="s">
        <v>110</v>
      </c>
      <c r="C461" s="6" t="s">
        <v>159</v>
      </c>
      <c r="D461" s="6" t="s">
        <v>160</v>
      </c>
      <c r="E461" s="6" t="s">
        <v>1087</v>
      </c>
      <c r="F461" s="6" t="s">
        <v>181</v>
      </c>
      <c r="G461" s="6">
        <v>35.76</v>
      </c>
      <c r="H461" s="6">
        <v>43.8</v>
      </c>
      <c r="I461" s="6">
        <v>1</v>
      </c>
      <c r="J461" s="7">
        <f>MEDIAN(租金配对!K1481:K1481)</f>
        <v>0.0313526153437925</v>
      </c>
      <c r="K461" s="6" t="s">
        <v>1088</v>
      </c>
      <c r="L461" s="6">
        <f>MEDIAN(租金配对!L1481:L1481)</f>
        <v>0.0342465753424658</v>
      </c>
    </row>
    <row r="462" ht="21" customHeight="1" spans="1:12">
      <c r="A462" s="5" t="s">
        <v>16</v>
      </c>
      <c r="B462" s="6" t="s">
        <v>110</v>
      </c>
      <c r="C462" s="6" t="s">
        <v>159</v>
      </c>
      <c r="D462" s="6" t="s">
        <v>153</v>
      </c>
      <c r="E462" s="6" t="s">
        <v>1089</v>
      </c>
      <c r="F462" s="6" t="s">
        <v>181</v>
      </c>
      <c r="G462" s="6">
        <v>35.75</v>
      </c>
      <c r="H462" s="6">
        <v>46</v>
      </c>
      <c r="I462" s="6">
        <v>1</v>
      </c>
      <c r="J462" s="7">
        <f>MEDIAN(租金配对!K1482:K1482)</f>
        <v>0.0297662911885462</v>
      </c>
      <c r="K462" s="6" t="s">
        <v>1090</v>
      </c>
      <c r="L462" s="6">
        <f>MEDIAN(租金配对!L1482:L1482)</f>
        <v>0.0326086956521739</v>
      </c>
    </row>
    <row r="463" ht="21" customHeight="1" spans="1:12">
      <c r="A463" s="5" t="s">
        <v>16</v>
      </c>
      <c r="B463" s="6" t="s">
        <v>128</v>
      </c>
      <c r="C463" s="6" t="s">
        <v>152</v>
      </c>
      <c r="D463" s="6" t="s">
        <v>155</v>
      </c>
      <c r="E463" s="6" t="s">
        <v>1091</v>
      </c>
      <c r="F463" s="6" t="s">
        <v>181</v>
      </c>
      <c r="G463" s="6">
        <v>58.57</v>
      </c>
      <c r="H463" s="6">
        <v>115</v>
      </c>
      <c r="I463" s="6">
        <v>0</v>
      </c>
      <c r="J463" s="7"/>
      <c r="K463" s="6" t="s">
        <v>1092</v>
      </c>
      <c r="L463" s="6"/>
    </row>
    <row r="464" ht="21" customHeight="1" spans="1:12">
      <c r="A464" s="5" t="s">
        <v>16</v>
      </c>
      <c r="B464" s="6" t="s">
        <v>128</v>
      </c>
      <c r="C464" s="6" t="s">
        <v>157</v>
      </c>
      <c r="D464" s="6" t="s">
        <v>155</v>
      </c>
      <c r="E464" s="6" t="s">
        <v>1093</v>
      </c>
      <c r="F464" s="6" t="s">
        <v>178</v>
      </c>
      <c r="G464" s="6">
        <v>62.74</v>
      </c>
      <c r="H464" s="6">
        <v>120</v>
      </c>
      <c r="I464" s="6">
        <v>0</v>
      </c>
      <c r="J464" s="7"/>
      <c r="K464" s="6" t="s">
        <v>1094</v>
      </c>
      <c r="L464" s="6"/>
    </row>
    <row r="465" ht="21" customHeight="1" spans="1:12">
      <c r="A465" s="5" t="s">
        <v>16</v>
      </c>
      <c r="B465" s="6" t="s">
        <v>128</v>
      </c>
      <c r="C465" s="6" t="s">
        <v>157</v>
      </c>
      <c r="D465" s="6" t="s">
        <v>155</v>
      </c>
      <c r="E465" s="6" t="s">
        <v>1095</v>
      </c>
      <c r="F465" s="6" t="s">
        <v>178</v>
      </c>
      <c r="G465" s="6">
        <v>62.74</v>
      </c>
      <c r="H465" s="6">
        <v>109</v>
      </c>
      <c r="I465" s="6">
        <v>0</v>
      </c>
      <c r="J465" s="7"/>
      <c r="K465" s="6" t="s">
        <v>1096</v>
      </c>
      <c r="L465" s="6"/>
    </row>
    <row r="466" ht="21" customHeight="1" spans="1:12">
      <c r="A466" s="5" t="s">
        <v>16</v>
      </c>
      <c r="B466" s="6" t="s">
        <v>120</v>
      </c>
      <c r="C466" s="6" t="s">
        <v>152</v>
      </c>
      <c r="D466" s="6" t="s">
        <v>153</v>
      </c>
      <c r="E466" s="6" t="s">
        <v>1097</v>
      </c>
      <c r="F466" s="6" t="s">
        <v>181</v>
      </c>
      <c r="G466" s="6">
        <v>42.77</v>
      </c>
      <c r="H466" s="6">
        <v>119</v>
      </c>
      <c r="I466" s="6">
        <v>1</v>
      </c>
      <c r="J466" s="7">
        <f>MEDIAN(租金配对!K1486:K1486)</f>
        <v>0.0152756017661302</v>
      </c>
      <c r="K466" s="6" t="s">
        <v>1098</v>
      </c>
      <c r="L466" s="6">
        <f>MEDIAN(租金配对!L1486:L1486)</f>
        <v>0.0176470588235294</v>
      </c>
    </row>
    <row r="467" ht="21" customHeight="1" spans="1:12">
      <c r="A467" s="5" t="s">
        <v>16</v>
      </c>
      <c r="B467" s="6" t="s">
        <v>120</v>
      </c>
      <c r="C467" s="6" t="s">
        <v>152</v>
      </c>
      <c r="D467" s="6" t="s">
        <v>153</v>
      </c>
      <c r="E467" s="6" t="s">
        <v>1099</v>
      </c>
      <c r="F467" s="6" t="s">
        <v>178</v>
      </c>
      <c r="G467" s="6">
        <v>42.91</v>
      </c>
      <c r="H467" s="6">
        <v>113</v>
      </c>
      <c r="I467" s="6">
        <v>1</v>
      </c>
      <c r="J467" s="7">
        <f>MEDIAN(租金配对!K1485:K1485)</f>
        <v>0.0161831194154578</v>
      </c>
      <c r="K467" s="6" t="s">
        <v>1100</v>
      </c>
      <c r="L467" s="6">
        <f>MEDIAN(租金配对!L1485:L1485)</f>
        <v>0.0185840707964602</v>
      </c>
    </row>
    <row r="468" ht="21" customHeight="1" spans="1:12">
      <c r="A468" s="5" t="s">
        <v>16</v>
      </c>
      <c r="B468" s="6" t="s">
        <v>120</v>
      </c>
      <c r="C468" s="6" t="s">
        <v>152</v>
      </c>
      <c r="D468" s="6" t="s">
        <v>153</v>
      </c>
      <c r="E468" s="6" t="s">
        <v>1101</v>
      </c>
      <c r="F468" s="6" t="s">
        <v>178</v>
      </c>
      <c r="G468" s="6">
        <v>43.68</v>
      </c>
      <c r="H468" s="6">
        <v>110</v>
      </c>
      <c r="I468" s="6">
        <v>1</v>
      </c>
      <c r="J468" s="7">
        <f>MEDIAN(租金配对!K1487:K1487)</f>
        <v>0.0166740039621396</v>
      </c>
      <c r="K468" s="6" t="s">
        <v>1102</v>
      </c>
      <c r="L468" s="6">
        <f>MEDIAN(租金配对!L1487:L1487)</f>
        <v>0.0190909090909091</v>
      </c>
    </row>
    <row r="469" ht="21" customHeight="1" spans="1:12">
      <c r="A469" s="5" t="s">
        <v>16</v>
      </c>
      <c r="B469" s="6" t="s">
        <v>114</v>
      </c>
      <c r="C469" s="6" t="s">
        <v>152</v>
      </c>
      <c r="D469" s="6" t="s">
        <v>160</v>
      </c>
      <c r="E469" s="6" t="s">
        <v>1103</v>
      </c>
      <c r="F469" s="6" t="s">
        <v>181</v>
      </c>
      <c r="G469" s="6">
        <v>49.94</v>
      </c>
      <c r="H469" s="6">
        <v>93</v>
      </c>
      <c r="I469" s="6">
        <v>0</v>
      </c>
      <c r="J469" s="7"/>
      <c r="K469" s="6" t="s">
        <v>1104</v>
      </c>
      <c r="L469" s="6"/>
    </row>
    <row r="470" ht="21" customHeight="1" spans="1:12">
      <c r="A470" s="5" t="s">
        <v>16</v>
      </c>
      <c r="B470" s="6" t="s">
        <v>114</v>
      </c>
      <c r="C470" s="6" t="s">
        <v>152</v>
      </c>
      <c r="D470" s="6" t="s">
        <v>160</v>
      </c>
      <c r="E470" s="6" t="s">
        <v>1105</v>
      </c>
      <c r="F470" s="6" t="s">
        <v>178</v>
      </c>
      <c r="G470" s="6">
        <v>49.94</v>
      </c>
      <c r="H470" s="6">
        <v>105</v>
      </c>
      <c r="I470" s="6">
        <v>0</v>
      </c>
      <c r="J470" s="7"/>
      <c r="K470" s="6" t="s">
        <v>1106</v>
      </c>
      <c r="L470" s="6"/>
    </row>
    <row r="471" ht="21" customHeight="1" spans="1:12">
      <c r="A471" s="5" t="s">
        <v>16</v>
      </c>
      <c r="B471" s="6" t="s">
        <v>114</v>
      </c>
      <c r="C471" s="6" t="s">
        <v>152</v>
      </c>
      <c r="D471" s="6" t="s">
        <v>153</v>
      </c>
      <c r="E471" s="6" t="s">
        <v>1107</v>
      </c>
      <c r="F471" s="6" t="s">
        <v>178</v>
      </c>
      <c r="G471" s="6">
        <v>49.94</v>
      </c>
      <c r="H471" s="6">
        <v>113</v>
      </c>
      <c r="I471" s="6">
        <v>2</v>
      </c>
      <c r="J471" s="7">
        <f>MEDIAN(租金配对!K1491:K1492)</f>
        <v>0.0166116694165292</v>
      </c>
      <c r="K471" s="6" t="s">
        <v>1108</v>
      </c>
      <c r="L471" s="6">
        <f>MEDIAN(租金配对!L1491:L1492)</f>
        <v>0.0190265486725664</v>
      </c>
    </row>
    <row r="472" ht="21" customHeight="1" spans="1:12">
      <c r="A472" s="5" t="s">
        <v>16</v>
      </c>
      <c r="B472" s="6" t="s">
        <v>114</v>
      </c>
      <c r="C472" s="6" t="s">
        <v>152</v>
      </c>
      <c r="D472" s="6" t="s">
        <v>153</v>
      </c>
      <c r="E472" s="6" t="s">
        <v>1109</v>
      </c>
      <c r="F472" s="6" t="s">
        <v>178</v>
      </c>
      <c r="G472" s="6">
        <v>49.94</v>
      </c>
      <c r="H472" s="6">
        <v>106</v>
      </c>
      <c r="I472" s="6">
        <v>2</v>
      </c>
      <c r="J472" s="7">
        <f>MEDIAN(租金配对!K1493:K1494)</f>
        <v>0.0178285897025903</v>
      </c>
      <c r="K472" s="6" t="s">
        <v>1110</v>
      </c>
      <c r="L472" s="6">
        <f>MEDIAN(租金配对!L1493:L1494)</f>
        <v>0.0202830188679245</v>
      </c>
    </row>
    <row r="473" ht="21" customHeight="1" spans="1:12">
      <c r="A473" s="5" t="s">
        <v>16</v>
      </c>
      <c r="B473" s="6" t="s">
        <v>114</v>
      </c>
      <c r="C473" s="6" t="s">
        <v>159</v>
      </c>
      <c r="D473" s="6" t="s">
        <v>160</v>
      </c>
      <c r="E473" s="6" t="s">
        <v>1111</v>
      </c>
      <c r="F473" s="6" t="s">
        <v>178</v>
      </c>
      <c r="G473" s="6">
        <v>39.16</v>
      </c>
      <c r="H473" s="6">
        <v>100</v>
      </c>
      <c r="I473" s="6">
        <v>1</v>
      </c>
      <c r="J473" s="7">
        <f>MEDIAN(租金配对!K1489:K1489)</f>
        <v>0.026271186440678</v>
      </c>
      <c r="K473" s="6" t="s">
        <v>1112</v>
      </c>
      <c r="L473" s="6">
        <f>MEDIAN(租金配对!L1489:L1489)</f>
        <v>0.029</v>
      </c>
    </row>
    <row r="474" ht="21" customHeight="1" spans="1:12">
      <c r="A474" s="5" t="s">
        <v>16</v>
      </c>
      <c r="B474" s="6" t="s">
        <v>114</v>
      </c>
      <c r="C474" s="6" t="s">
        <v>159</v>
      </c>
      <c r="D474" s="6" t="s">
        <v>160</v>
      </c>
      <c r="E474" s="6" t="s">
        <v>1113</v>
      </c>
      <c r="F474" s="6" t="s">
        <v>178</v>
      </c>
      <c r="G474" s="6">
        <v>39.16</v>
      </c>
      <c r="H474" s="6">
        <v>92</v>
      </c>
      <c r="I474" s="6">
        <v>1</v>
      </c>
      <c r="J474" s="7">
        <f>MEDIAN(租金配对!K1490:K1490)</f>
        <v>0.02871354879461</v>
      </c>
      <c r="K474" s="6" t="s">
        <v>1114</v>
      </c>
      <c r="L474" s="6">
        <f>MEDIAN(租金配对!L1490:L1490)</f>
        <v>0.0315217391304348</v>
      </c>
    </row>
    <row r="475" ht="21" customHeight="1" spans="1:12">
      <c r="A475" s="5" t="s">
        <v>16</v>
      </c>
      <c r="B475" s="6" t="s">
        <v>114</v>
      </c>
      <c r="C475" s="6" t="s">
        <v>159</v>
      </c>
      <c r="D475" s="6" t="s">
        <v>160</v>
      </c>
      <c r="E475" s="6" t="s">
        <v>1115</v>
      </c>
      <c r="F475" s="6" t="s">
        <v>178</v>
      </c>
      <c r="G475" s="6">
        <v>36.11</v>
      </c>
      <c r="H475" s="6">
        <v>83</v>
      </c>
      <c r="I475" s="6">
        <v>1</v>
      </c>
      <c r="J475" s="7">
        <f>MEDIAN(租金配对!K1488:K1488)</f>
        <v>0.0320239796960238</v>
      </c>
      <c r="K475" s="6" t="s">
        <v>1116</v>
      </c>
      <c r="L475" s="6">
        <f>MEDIAN(租金配对!L1488:L1488)</f>
        <v>0.0349397590361446</v>
      </c>
    </row>
    <row r="476" ht="21" customHeight="1" spans="1:12">
      <c r="A476" s="5" t="s">
        <v>16</v>
      </c>
      <c r="B476" s="6" t="s">
        <v>114</v>
      </c>
      <c r="C476" s="6" t="s">
        <v>159</v>
      </c>
      <c r="D476" s="6" t="s">
        <v>153</v>
      </c>
      <c r="E476" s="6" t="s">
        <v>1117</v>
      </c>
      <c r="F476" s="6" t="s">
        <v>181</v>
      </c>
      <c r="G476" s="6">
        <v>36.11</v>
      </c>
      <c r="H476" s="6">
        <v>112</v>
      </c>
      <c r="I476" s="6">
        <v>0</v>
      </c>
      <c r="J476" s="7"/>
      <c r="K476" s="6" t="s">
        <v>1118</v>
      </c>
      <c r="L476" s="6"/>
    </row>
    <row r="477" ht="21" customHeight="1" spans="1:12">
      <c r="A477" s="5" t="s">
        <v>16</v>
      </c>
      <c r="B477" s="6" t="s">
        <v>114</v>
      </c>
      <c r="C477" s="6" t="s">
        <v>159</v>
      </c>
      <c r="D477" s="6" t="s">
        <v>153</v>
      </c>
      <c r="E477" s="6" t="s">
        <v>1119</v>
      </c>
      <c r="F477" s="6" t="s">
        <v>178</v>
      </c>
      <c r="G477" s="6">
        <v>39.21</v>
      </c>
      <c r="H477" s="6">
        <v>103.8</v>
      </c>
      <c r="I477" s="6">
        <v>0</v>
      </c>
      <c r="J477" s="7"/>
      <c r="K477" s="6" t="s">
        <v>1120</v>
      </c>
      <c r="L477" s="6"/>
    </row>
    <row r="478" ht="21" customHeight="1" spans="1:12">
      <c r="A478" s="5" t="s">
        <v>16</v>
      </c>
      <c r="B478" s="6" t="s">
        <v>129</v>
      </c>
      <c r="C478" s="6" t="s">
        <v>157</v>
      </c>
      <c r="D478" s="6" t="s">
        <v>155</v>
      </c>
      <c r="E478" s="6" t="s">
        <v>1121</v>
      </c>
      <c r="F478" s="6" t="s">
        <v>181</v>
      </c>
      <c r="G478" s="6">
        <v>63.08</v>
      </c>
      <c r="H478" s="6">
        <v>79.8</v>
      </c>
      <c r="I478" s="6">
        <v>0</v>
      </c>
      <c r="J478" s="7"/>
      <c r="K478" s="6" t="s">
        <v>1122</v>
      </c>
      <c r="L478" s="6"/>
    </row>
    <row r="479" ht="21" customHeight="1" spans="1:12">
      <c r="A479" s="5" t="s">
        <v>16</v>
      </c>
      <c r="B479" s="6" t="s">
        <v>118</v>
      </c>
      <c r="C479" s="6" t="s">
        <v>152</v>
      </c>
      <c r="D479" s="6" t="s">
        <v>160</v>
      </c>
      <c r="E479" s="6" t="s">
        <v>1123</v>
      </c>
      <c r="F479" s="6" t="s">
        <v>181</v>
      </c>
      <c r="G479" s="6">
        <v>41.78</v>
      </c>
      <c r="H479" s="6">
        <v>39.8</v>
      </c>
      <c r="I479" s="6">
        <v>1</v>
      </c>
      <c r="J479" s="7">
        <f>MEDIAN(租金配对!K1495:K1495)</f>
        <v>0.046853516979571</v>
      </c>
      <c r="K479" s="6" t="s">
        <v>1124</v>
      </c>
      <c r="L479" s="6">
        <f>MEDIAN(租金配对!L1495:L1495)</f>
        <v>0.050251256281407</v>
      </c>
    </row>
    <row r="480" ht="21" customHeight="1" spans="1:12">
      <c r="A480" s="5" t="s">
        <v>16</v>
      </c>
      <c r="B480" s="6" t="s">
        <v>118</v>
      </c>
      <c r="C480" s="6" t="s">
        <v>152</v>
      </c>
      <c r="D480" s="6" t="s">
        <v>153</v>
      </c>
      <c r="E480" s="6" t="s">
        <v>1125</v>
      </c>
      <c r="F480" s="6" t="s">
        <v>181</v>
      </c>
      <c r="G480" s="6">
        <v>47.87</v>
      </c>
      <c r="H480" s="6">
        <v>69.8</v>
      </c>
      <c r="I480" s="6">
        <v>2</v>
      </c>
      <c r="J480" s="7">
        <f>MEDIAN(租金配对!K1506:K1507)</f>
        <v>0.0287105323407591</v>
      </c>
      <c r="K480" s="6" t="s">
        <v>1126</v>
      </c>
      <c r="L480" s="6">
        <f>MEDIAN(租金配对!L1506:L1507)</f>
        <v>0.0315186246418338</v>
      </c>
    </row>
    <row r="481" ht="21" customHeight="1" spans="1:12">
      <c r="A481" s="5" t="s">
        <v>16</v>
      </c>
      <c r="B481" s="6" t="s">
        <v>118</v>
      </c>
      <c r="C481" s="6" t="s">
        <v>152</v>
      </c>
      <c r="D481" s="6" t="s">
        <v>153</v>
      </c>
      <c r="E481" s="6" t="s">
        <v>1127</v>
      </c>
      <c r="F481" s="6" t="s">
        <v>178</v>
      </c>
      <c r="G481" s="6">
        <v>55.29</v>
      </c>
      <c r="H481" s="6">
        <v>58</v>
      </c>
      <c r="I481" s="6">
        <v>2</v>
      </c>
      <c r="J481" s="7">
        <f>MEDIAN(租金配对!K1500:K1501)</f>
        <v>0.0349210987726476</v>
      </c>
      <c r="K481" s="6" t="s">
        <v>1128</v>
      </c>
      <c r="L481" s="6">
        <f>MEDIAN(租金配对!L1500:L1501)</f>
        <v>0.0379310344827586</v>
      </c>
    </row>
    <row r="482" ht="21" customHeight="1" spans="1:12">
      <c r="A482" s="5" t="s">
        <v>16</v>
      </c>
      <c r="B482" s="6" t="s">
        <v>118</v>
      </c>
      <c r="C482" s="6" t="s">
        <v>152</v>
      </c>
      <c r="D482" s="6" t="s">
        <v>153</v>
      </c>
      <c r="E482" s="6" t="s">
        <v>1129</v>
      </c>
      <c r="F482" s="6" t="s">
        <v>181</v>
      </c>
      <c r="G482" s="6">
        <v>54.43</v>
      </c>
      <c r="H482" s="6">
        <v>69</v>
      </c>
      <c r="I482" s="6">
        <v>2</v>
      </c>
      <c r="J482" s="7">
        <f>MEDIAN(租金配对!K1498:K1499)</f>
        <v>0.029064462925922</v>
      </c>
      <c r="K482" s="6" t="s">
        <v>1130</v>
      </c>
      <c r="L482" s="6">
        <f>MEDIAN(租金配对!L1498:L1499)</f>
        <v>0.0318840579710145</v>
      </c>
    </row>
    <row r="483" ht="21" customHeight="1" spans="1:12">
      <c r="A483" s="5" t="s">
        <v>16</v>
      </c>
      <c r="B483" s="6" t="s">
        <v>118</v>
      </c>
      <c r="C483" s="6" t="s">
        <v>152</v>
      </c>
      <c r="D483" s="6" t="s">
        <v>153</v>
      </c>
      <c r="E483" s="6" t="s">
        <v>1131</v>
      </c>
      <c r="F483" s="6" t="s">
        <v>181</v>
      </c>
      <c r="G483" s="6">
        <v>50.19</v>
      </c>
      <c r="H483" s="6">
        <v>64</v>
      </c>
      <c r="I483" s="6">
        <v>2</v>
      </c>
      <c r="J483" s="7">
        <f>MEDIAN(租金配对!K1496:K1497)</f>
        <v>0.0314769975786925</v>
      </c>
      <c r="K483" s="6" t="s">
        <v>1132</v>
      </c>
      <c r="L483" s="6">
        <f>MEDIAN(租金配对!L1496:L1497)</f>
        <v>0.034375</v>
      </c>
    </row>
    <row r="484" ht="21" customHeight="1" spans="1:12">
      <c r="A484" s="5" t="s">
        <v>16</v>
      </c>
      <c r="B484" s="6" t="s">
        <v>118</v>
      </c>
      <c r="C484" s="6" t="s">
        <v>152</v>
      </c>
      <c r="D484" s="6" t="s">
        <v>153</v>
      </c>
      <c r="E484" s="6" t="s">
        <v>1133</v>
      </c>
      <c r="F484" s="6" t="s">
        <v>178</v>
      </c>
      <c r="G484" s="6">
        <v>48.92</v>
      </c>
      <c r="H484" s="6">
        <v>75</v>
      </c>
      <c r="I484" s="6">
        <v>2</v>
      </c>
      <c r="J484" s="7">
        <f>MEDIAN(租金配对!K1502:K1503)</f>
        <v>0.0265940274414851</v>
      </c>
      <c r="K484" s="6" t="s">
        <v>1134</v>
      </c>
      <c r="L484" s="6">
        <f>MEDIAN(租金配对!L1502:L1503)</f>
        <v>0.0293333333333333</v>
      </c>
    </row>
    <row r="485" ht="21" customHeight="1" spans="1:12">
      <c r="A485" s="5" t="s">
        <v>16</v>
      </c>
      <c r="B485" s="6" t="s">
        <v>118</v>
      </c>
      <c r="C485" s="6" t="s">
        <v>152</v>
      </c>
      <c r="D485" s="6" t="s">
        <v>153</v>
      </c>
      <c r="E485" s="6" t="s">
        <v>1135</v>
      </c>
      <c r="F485" s="6" t="s">
        <v>178</v>
      </c>
      <c r="G485" s="6">
        <v>47.87</v>
      </c>
      <c r="H485" s="6">
        <v>67</v>
      </c>
      <c r="I485" s="6">
        <v>2</v>
      </c>
      <c r="J485" s="7">
        <f>MEDIAN(租金配对!K1504:K1505)</f>
        <v>0.0299862672111597</v>
      </c>
      <c r="K485" s="6" t="s">
        <v>1136</v>
      </c>
      <c r="L485" s="6">
        <f>MEDIAN(租金配对!L1504:L1505)</f>
        <v>0.0328358208955224</v>
      </c>
    </row>
    <row r="486" ht="21" customHeight="1" spans="1:12">
      <c r="A486" s="5" t="s">
        <v>16</v>
      </c>
      <c r="B486" s="6" t="s">
        <v>118</v>
      </c>
      <c r="C486" s="6" t="s">
        <v>157</v>
      </c>
      <c r="D486" s="6" t="s">
        <v>155</v>
      </c>
      <c r="E486" s="6" t="s">
        <v>1137</v>
      </c>
      <c r="F486" s="6" t="s">
        <v>178</v>
      </c>
      <c r="G486" s="6">
        <v>61.95</v>
      </c>
      <c r="H486" s="6">
        <v>120</v>
      </c>
      <c r="I486" s="6">
        <v>1</v>
      </c>
      <c r="J486" s="7">
        <f>MEDIAN(租金配对!K1509:K1509)</f>
        <v>0.0199757869249395</v>
      </c>
      <c r="K486" s="6" t="s">
        <v>1138</v>
      </c>
      <c r="L486" s="6">
        <f>MEDIAN(租金配对!L1509:L1509)</f>
        <v>0.0225</v>
      </c>
    </row>
    <row r="487" ht="21" customHeight="1" spans="1:12">
      <c r="A487" s="5" t="s">
        <v>16</v>
      </c>
      <c r="B487" s="6" t="s">
        <v>118</v>
      </c>
      <c r="C487" s="6" t="s">
        <v>157</v>
      </c>
      <c r="D487" s="6" t="s">
        <v>155</v>
      </c>
      <c r="E487" s="6" t="s">
        <v>1139</v>
      </c>
      <c r="F487" s="6" t="s">
        <v>178</v>
      </c>
      <c r="G487" s="6">
        <v>67.82</v>
      </c>
      <c r="H487" s="6">
        <v>119</v>
      </c>
      <c r="I487" s="6">
        <v>1</v>
      </c>
      <c r="J487" s="7">
        <f>MEDIAN(租金配对!K1508:K1508)</f>
        <v>0.0201589110220359</v>
      </c>
      <c r="K487" s="6" t="s">
        <v>1140</v>
      </c>
      <c r="L487" s="6">
        <f>MEDIAN(租金配对!L1508:L1508)</f>
        <v>0.0226890756302521</v>
      </c>
    </row>
    <row r="488" ht="21" customHeight="1" spans="1:12">
      <c r="A488" s="5" t="s">
        <v>16</v>
      </c>
      <c r="B488" s="6" t="s">
        <v>118</v>
      </c>
      <c r="C488" s="6" t="s">
        <v>157</v>
      </c>
      <c r="D488" s="6" t="s">
        <v>155</v>
      </c>
      <c r="E488" s="6" t="s">
        <v>1141</v>
      </c>
      <c r="F488" s="6" t="s">
        <v>181</v>
      </c>
      <c r="G488" s="6">
        <v>68.96</v>
      </c>
      <c r="H488" s="6">
        <v>102</v>
      </c>
      <c r="I488" s="6">
        <v>1</v>
      </c>
      <c r="J488" s="7">
        <f>MEDIAN(租金配对!K1516:K1516)</f>
        <v>0.0238213929639652</v>
      </c>
      <c r="K488" s="6" t="s">
        <v>1142</v>
      </c>
      <c r="L488" s="6">
        <f>MEDIAN(租金配对!L1516:L1516)</f>
        <v>0.0264705882352941</v>
      </c>
    </row>
    <row r="489" ht="21" customHeight="1" spans="1:12">
      <c r="A489" s="5" t="s">
        <v>16</v>
      </c>
      <c r="B489" s="6" t="s">
        <v>118</v>
      </c>
      <c r="C489" s="6" t="s">
        <v>157</v>
      </c>
      <c r="D489" s="6" t="s">
        <v>155</v>
      </c>
      <c r="E489" s="6" t="s">
        <v>1143</v>
      </c>
      <c r="F489" s="6" t="s">
        <v>178</v>
      </c>
      <c r="G489" s="6">
        <v>67.08</v>
      </c>
      <c r="H489" s="6">
        <v>105</v>
      </c>
      <c r="I489" s="6">
        <v>1</v>
      </c>
      <c r="J489" s="7">
        <f>MEDIAN(租金配对!K1514:K1514)</f>
        <v>0.0230888965755794</v>
      </c>
      <c r="K489" s="6" t="s">
        <v>1144</v>
      </c>
      <c r="L489" s="6">
        <f>MEDIAN(租金配对!L1514:L1514)</f>
        <v>0.0257142857142857</v>
      </c>
    </row>
    <row r="490" ht="21" customHeight="1" spans="1:12">
      <c r="A490" s="5" t="s">
        <v>16</v>
      </c>
      <c r="B490" s="6" t="s">
        <v>118</v>
      </c>
      <c r="C490" s="6" t="s">
        <v>157</v>
      </c>
      <c r="D490" s="6" t="s">
        <v>155</v>
      </c>
      <c r="E490" s="6" t="s">
        <v>1145</v>
      </c>
      <c r="F490" s="6" t="s">
        <v>178</v>
      </c>
      <c r="G490" s="6">
        <v>67.82</v>
      </c>
      <c r="H490" s="6">
        <v>100</v>
      </c>
      <c r="I490" s="6">
        <v>1</v>
      </c>
      <c r="J490" s="7">
        <f>MEDIAN(租金配对!K1511:K1511)</f>
        <v>0.0243341404358354</v>
      </c>
      <c r="K490" s="6" t="s">
        <v>1146</v>
      </c>
      <c r="L490" s="6">
        <f>MEDIAN(租金配对!L1511:L1511)</f>
        <v>0.027</v>
      </c>
    </row>
    <row r="491" ht="21" customHeight="1" spans="1:12">
      <c r="A491" s="5" t="s">
        <v>16</v>
      </c>
      <c r="B491" s="6" t="s">
        <v>118</v>
      </c>
      <c r="C491" s="6" t="s">
        <v>157</v>
      </c>
      <c r="D491" s="6" t="s">
        <v>155</v>
      </c>
      <c r="E491" s="6" t="s">
        <v>1147</v>
      </c>
      <c r="F491" s="6" t="s">
        <v>178</v>
      </c>
      <c r="G491" s="6">
        <v>70.8</v>
      </c>
      <c r="H491" s="6">
        <v>109</v>
      </c>
      <c r="I491" s="6">
        <v>1</v>
      </c>
      <c r="J491" s="7">
        <f>MEDIAN(租金配对!K1517:K1517)</f>
        <v>0.0221749561276851</v>
      </c>
      <c r="K491" s="6" t="s">
        <v>1148</v>
      </c>
      <c r="L491" s="6">
        <f>MEDIAN(租金配对!L1517:L1517)</f>
        <v>0.0247706422018349</v>
      </c>
    </row>
    <row r="492" ht="21" customHeight="1" spans="1:12">
      <c r="A492" s="5" t="s">
        <v>16</v>
      </c>
      <c r="B492" s="6" t="s">
        <v>118</v>
      </c>
      <c r="C492" s="6" t="s">
        <v>157</v>
      </c>
      <c r="D492" s="6" t="s">
        <v>155</v>
      </c>
      <c r="E492" s="6" t="s">
        <v>1149</v>
      </c>
      <c r="F492" s="6" t="s">
        <v>178</v>
      </c>
      <c r="G492" s="6">
        <v>69.13</v>
      </c>
      <c r="H492" s="6">
        <v>117</v>
      </c>
      <c r="I492" s="6">
        <v>1</v>
      </c>
      <c r="J492" s="7">
        <f>MEDIAN(租金配对!K1515:K1515)</f>
        <v>0.0205345501955671</v>
      </c>
      <c r="K492" s="6" t="s">
        <v>1150</v>
      </c>
      <c r="L492" s="6">
        <f>MEDIAN(租金配对!L1515:L1515)</f>
        <v>0.0230769230769231</v>
      </c>
    </row>
    <row r="493" ht="21" customHeight="1" spans="1:12">
      <c r="A493" s="5" t="s">
        <v>16</v>
      </c>
      <c r="B493" s="6" t="s">
        <v>118</v>
      </c>
      <c r="C493" s="6" t="s">
        <v>157</v>
      </c>
      <c r="D493" s="6" t="s">
        <v>155</v>
      </c>
      <c r="E493" s="6" t="s">
        <v>1151</v>
      </c>
      <c r="F493" s="6" t="s">
        <v>181</v>
      </c>
      <c r="G493" s="6">
        <v>67.08</v>
      </c>
      <c r="H493" s="6">
        <v>105</v>
      </c>
      <c r="I493" s="6">
        <v>1</v>
      </c>
      <c r="J493" s="7">
        <f>MEDIAN(租金配对!K1510:K1510)</f>
        <v>0.0230888965755794</v>
      </c>
      <c r="K493" s="6" t="s">
        <v>1152</v>
      </c>
      <c r="L493" s="6">
        <f>MEDIAN(租金配对!L1510:L1510)</f>
        <v>0.0257142857142857</v>
      </c>
    </row>
    <row r="494" ht="21" customHeight="1" spans="1:12">
      <c r="A494" s="5" t="s">
        <v>16</v>
      </c>
      <c r="B494" s="6" t="s">
        <v>118</v>
      </c>
      <c r="C494" s="6" t="s">
        <v>157</v>
      </c>
      <c r="D494" s="6" t="s">
        <v>155</v>
      </c>
      <c r="E494" s="6" t="s">
        <v>1153</v>
      </c>
      <c r="F494" s="6" t="s">
        <v>178</v>
      </c>
      <c r="G494" s="6">
        <v>67.79</v>
      </c>
      <c r="H494" s="6">
        <v>105</v>
      </c>
      <c r="I494" s="6">
        <v>1</v>
      </c>
      <c r="J494" s="7">
        <f>MEDIAN(租金配对!K1513:K1513)</f>
        <v>0.0230888965755794</v>
      </c>
      <c r="K494" s="6" t="s">
        <v>1154</v>
      </c>
      <c r="L494" s="6">
        <f>MEDIAN(租金配对!L1513:L1513)</f>
        <v>0.0257142857142857</v>
      </c>
    </row>
    <row r="495" ht="21" customHeight="1" spans="1:12">
      <c r="A495" s="5" t="s">
        <v>16</v>
      </c>
      <c r="B495" s="6" t="s">
        <v>118</v>
      </c>
      <c r="C495" s="6" t="s">
        <v>157</v>
      </c>
      <c r="D495" s="6" t="s">
        <v>155</v>
      </c>
      <c r="E495" s="6" t="s">
        <v>1155</v>
      </c>
      <c r="F495" s="6" t="s">
        <v>181</v>
      </c>
      <c r="G495" s="6">
        <v>67.61</v>
      </c>
      <c r="H495" s="6">
        <v>105</v>
      </c>
      <c r="I495" s="6">
        <v>1</v>
      </c>
      <c r="J495" s="7">
        <f>MEDIAN(租金配对!K1512:K1512)</f>
        <v>0.0230888965755794</v>
      </c>
      <c r="K495" s="6" t="s">
        <v>1156</v>
      </c>
      <c r="L495" s="6">
        <f>MEDIAN(租金配对!L1512:L1512)</f>
        <v>0.0257142857142857</v>
      </c>
    </row>
    <row r="496" ht="21" customHeight="1" spans="1:12">
      <c r="A496" s="5" t="s">
        <v>16</v>
      </c>
      <c r="B496" s="6" t="s">
        <v>118</v>
      </c>
      <c r="C496" s="6" t="s">
        <v>159</v>
      </c>
      <c r="D496" s="6" t="s">
        <v>153</v>
      </c>
      <c r="E496" s="6" t="s">
        <v>1157</v>
      </c>
      <c r="F496" s="6" t="s">
        <v>181</v>
      </c>
      <c r="G496" s="6">
        <v>38.95</v>
      </c>
      <c r="H496" s="6">
        <v>50</v>
      </c>
      <c r="I496" s="6">
        <v>0</v>
      </c>
      <c r="J496" s="7"/>
      <c r="K496" s="6" t="s">
        <v>1158</v>
      </c>
      <c r="L496" s="6"/>
    </row>
    <row r="497" ht="21" customHeight="1" spans="1:12">
      <c r="A497" s="5" t="s">
        <v>16</v>
      </c>
      <c r="B497" s="6" t="s">
        <v>119</v>
      </c>
      <c r="C497" s="6" t="s">
        <v>152</v>
      </c>
      <c r="D497" s="6" t="s">
        <v>160</v>
      </c>
      <c r="E497" s="6" t="s">
        <v>1159</v>
      </c>
      <c r="F497" s="6" t="s">
        <v>181</v>
      </c>
      <c r="G497" s="6">
        <v>56.27</v>
      </c>
      <c r="H497" s="6">
        <v>74.5</v>
      </c>
      <c r="I497" s="6">
        <v>0</v>
      </c>
      <c r="J497" s="7"/>
      <c r="K497" s="6" t="s">
        <v>1160</v>
      </c>
      <c r="L497" s="6"/>
    </row>
    <row r="498" ht="21" customHeight="1" spans="1:12">
      <c r="A498" s="5" t="s">
        <v>16</v>
      </c>
      <c r="B498" s="6" t="s">
        <v>119</v>
      </c>
      <c r="C498" s="6" t="s">
        <v>152</v>
      </c>
      <c r="D498" s="6" t="s">
        <v>160</v>
      </c>
      <c r="E498" s="6" t="s">
        <v>1161</v>
      </c>
      <c r="F498" s="6" t="s">
        <v>181</v>
      </c>
      <c r="G498" s="6">
        <v>40.6</v>
      </c>
      <c r="H498" s="6">
        <v>60</v>
      </c>
      <c r="I498" s="6">
        <v>1</v>
      </c>
      <c r="J498" s="7">
        <f>MEDIAN(租金配对!K1519:K1519)</f>
        <v>0.0240112994350282</v>
      </c>
      <c r="K498" s="6" t="s">
        <v>1162</v>
      </c>
      <c r="L498" s="6">
        <f>MEDIAN(租金配对!L1519:L1519)</f>
        <v>0.0266666666666667</v>
      </c>
    </row>
    <row r="499" ht="21" customHeight="1" spans="1:12">
      <c r="A499" s="5" t="s">
        <v>16</v>
      </c>
      <c r="B499" s="6" t="s">
        <v>119</v>
      </c>
      <c r="C499" s="6" t="s">
        <v>152</v>
      </c>
      <c r="D499" s="6" t="s">
        <v>160</v>
      </c>
      <c r="E499" s="6" t="s">
        <v>1163</v>
      </c>
      <c r="F499" s="6" t="s">
        <v>181</v>
      </c>
      <c r="G499" s="6">
        <v>40.6</v>
      </c>
      <c r="H499" s="6">
        <v>61</v>
      </c>
      <c r="I499" s="6">
        <v>1</v>
      </c>
      <c r="J499" s="7">
        <f>MEDIAN(租金配对!K1520:K1520)</f>
        <v>0.0235879014011829</v>
      </c>
      <c r="K499" s="6" t="s">
        <v>1164</v>
      </c>
      <c r="L499" s="6">
        <f>MEDIAN(租金配对!L1520:L1520)</f>
        <v>0.0262295081967213</v>
      </c>
    </row>
    <row r="500" ht="21" customHeight="1" spans="1:12">
      <c r="A500" s="5" t="s">
        <v>16</v>
      </c>
      <c r="B500" s="6" t="s">
        <v>119</v>
      </c>
      <c r="C500" s="6" t="s">
        <v>152</v>
      </c>
      <c r="D500" s="6" t="s">
        <v>160</v>
      </c>
      <c r="E500" s="6" t="s">
        <v>1165</v>
      </c>
      <c r="F500" s="6" t="s">
        <v>178</v>
      </c>
      <c r="G500" s="6">
        <v>40.97</v>
      </c>
      <c r="H500" s="6">
        <v>62</v>
      </c>
      <c r="I500" s="6">
        <v>1</v>
      </c>
      <c r="J500" s="7">
        <f>MEDIAN(租金配对!K1518:K1518)</f>
        <v>0.0231781613684293</v>
      </c>
      <c r="K500" s="6" t="s">
        <v>1166</v>
      </c>
      <c r="L500" s="6">
        <f>MEDIAN(租金配对!L1518:L1518)</f>
        <v>0.0258064516129032</v>
      </c>
    </row>
    <row r="501" ht="21" customHeight="1" spans="1:12">
      <c r="A501" s="5" t="s">
        <v>16</v>
      </c>
      <c r="B501" s="6" t="s">
        <v>119</v>
      </c>
      <c r="C501" s="6" t="s">
        <v>166</v>
      </c>
      <c r="D501" s="6" t="s">
        <v>160</v>
      </c>
      <c r="E501" s="6" t="s">
        <v>1167</v>
      </c>
      <c r="F501" s="6" t="s">
        <v>181</v>
      </c>
      <c r="G501" s="6">
        <v>93.65</v>
      </c>
      <c r="H501" s="6">
        <v>116</v>
      </c>
      <c r="I501" s="6">
        <v>0</v>
      </c>
      <c r="J501" s="7"/>
      <c r="K501" s="6" t="s">
        <v>1168</v>
      </c>
      <c r="L501" s="6"/>
    </row>
    <row r="502" ht="21" customHeight="1" spans="1:12">
      <c r="A502" s="5" t="s">
        <v>16</v>
      </c>
      <c r="B502" s="6" t="s">
        <v>119</v>
      </c>
      <c r="C502" s="6" t="s">
        <v>166</v>
      </c>
      <c r="D502" s="6" t="s">
        <v>160</v>
      </c>
      <c r="E502" s="6" t="s">
        <v>1169</v>
      </c>
      <c r="F502" s="6" t="s">
        <v>178</v>
      </c>
      <c r="G502" s="6">
        <v>93.65</v>
      </c>
      <c r="H502" s="6">
        <v>120</v>
      </c>
      <c r="I502" s="6">
        <v>0</v>
      </c>
      <c r="J502" s="7"/>
      <c r="K502" s="6" t="s">
        <v>1170</v>
      </c>
      <c r="L502" s="6"/>
    </row>
    <row r="503" ht="21" customHeight="1" spans="1:12">
      <c r="A503" s="5" t="s">
        <v>16</v>
      </c>
      <c r="B503" s="6" t="s">
        <v>113</v>
      </c>
      <c r="C503" s="6" t="s">
        <v>152</v>
      </c>
      <c r="D503" s="6" t="s">
        <v>160</v>
      </c>
      <c r="E503" s="6" t="s">
        <v>1171</v>
      </c>
      <c r="F503" s="6" t="s">
        <v>178</v>
      </c>
      <c r="G503" s="6">
        <v>45.41</v>
      </c>
      <c r="H503" s="6">
        <v>71.8</v>
      </c>
      <c r="I503" s="6">
        <v>5</v>
      </c>
      <c r="J503" s="7">
        <f>MEDIAN(租金配对!K1523:K1527)</f>
        <v>0.0278602116452076</v>
      </c>
      <c r="K503" s="6" t="s">
        <v>1172</v>
      </c>
      <c r="L503" s="6">
        <f>MEDIAN(租金配对!L1523:L1527)</f>
        <v>0.0306406685236769</v>
      </c>
    </row>
    <row r="504" ht="21" customHeight="1" spans="1:12">
      <c r="A504" s="5" t="s">
        <v>16</v>
      </c>
      <c r="B504" s="6" t="s">
        <v>113</v>
      </c>
      <c r="C504" s="6" t="s">
        <v>152</v>
      </c>
      <c r="D504" s="6" t="s">
        <v>153</v>
      </c>
      <c r="E504" s="6" t="s">
        <v>1173</v>
      </c>
      <c r="F504" s="6" t="s">
        <v>181</v>
      </c>
      <c r="G504" s="6">
        <v>59.23</v>
      </c>
      <c r="H504" s="6">
        <v>75</v>
      </c>
      <c r="I504" s="6">
        <v>3</v>
      </c>
      <c r="J504" s="7">
        <f>MEDIAN(租金配对!K1528:K1530)</f>
        <v>0.0265940274414851</v>
      </c>
      <c r="K504" s="6" t="s">
        <v>1174</v>
      </c>
      <c r="L504" s="6">
        <f>MEDIAN(租金配对!L1528:L1530)</f>
        <v>0.0293333333333333</v>
      </c>
    </row>
    <row r="505" ht="21" customHeight="1" spans="1:12">
      <c r="A505" s="5" t="s">
        <v>16</v>
      </c>
      <c r="B505" s="6" t="s">
        <v>113</v>
      </c>
      <c r="C505" s="6" t="s">
        <v>152</v>
      </c>
      <c r="D505" s="6" t="s">
        <v>153</v>
      </c>
      <c r="E505" s="6" t="s">
        <v>1175</v>
      </c>
      <c r="F505" s="6" t="s">
        <v>181</v>
      </c>
      <c r="G505" s="6">
        <v>56.82</v>
      </c>
      <c r="H505" s="6">
        <v>85</v>
      </c>
      <c r="I505" s="6">
        <v>3</v>
      </c>
      <c r="J505" s="7">
        <f>MEDIAN(租金配对!K1534:K1536)</f>
        <v>0.0232516735507762</v>
      </c>
      <c r="K505" s="6" t="s">
        <v>1176</v>
      </c>
      <c r="L505" s="6">
        <f>MEDIAN(租金配对!L1534:L1536)</f>
        <v>0.0258823529411765</v>
      </c>
    </row>
    <row r="506" ht="21" customHeight="1" spans="1:12">
      <c r="A506" s="5" t="s">
        <v>16</v>
      </c>
      <c r="B506" s="6" t="s">
        <v>113</v>
      </c>
      <c r="C506" s="6" t="s">
        <v>152</v>
      </c>
      <c r="D506" s="6" t="s">
        <v>153</v>
      </c>
      <c r="E506" s="6" t="s">
        <v>1177</v>
      </c>
      <c r="F506" s="6" t="s">
        <v>178</v>
      </c>
      <c r="G506" s="6">
        <v>45.41</v>
      </c>
      <c r="H506" s="6">
        <v>77</v>
      </c>
      <c r="I506" s="6">
        <v>0</v>
      </c>
      <c r="J506" s="7"/>
      <c r="K506" s="6" t="s">
        <v>1178</v>
      </c>
      <c r="L506" s="6"/>
    </row>
    <row r="507" ht="21" customHeight="1" spans="1:12">
      <c r="A507" s="5" t="s">
        <v>16</v>
      </c>
      <c r="B507" s="6" t="s">
        <v>113</v>
      </c>
      <c r="C507" s="6" t="s">
        <v>152</v>
      </c>
      <c r="D507" s="6" t="s">
        <v>153</v>
      </c>
      <c r="E507" s="6" t="s">
        <v>1179</v>
      </c>
      <c r="F507" s="6" t="s">
        <v>178</v>
      </c>
      <c r="G507" s="6">
        <v>45.41</v>
      </c>
      <c r="H507" s="6">
        <v>73</v>
      </c>
      <c r="I507" s="6">
        <v>0</v>
      </c>
      <c r="J507" s="7"/>
      <c r="K507" s="6" t="s">
        <v>1180</v>
      </c>
      <c r="L507" s="6"/>
    </row>
    <row r="508" ht="21" customHeight="1" spans="1:12">
      <c r="A508" s="5" t="s">
        <v>16</v>
      </c>
      <c r="B508" s="6" t="s">
        <v>113</v>
      </c>
      <c r="C508" s="6" t="s">
        <v>152</v>
      </c>
      <c r="D508" s="6" t="s">
        <v>153</v>
      </c>
      <c r="E508" s="6" t="s">
        <v>1181</v>
      </c>
      <c r="F508" s="6" t="s">
        <v>178</v>
      </c>
      <c r="G508" s="6">
        <v>45.41</v>
      </c>
      <c r="H508" s="6">
        <v>73</v>
      </c>
      <c r="I508" s="6">
        <v>0</v>
      </c>
      <c r="J508" s="7"/>
      <c r="K508" s="6" t="s">
        <v>1182</v>
      </c>
      <c r="L508" s="6"/>
    </row>
    <row r="509" ht="21" customHeight="1" spans="1:12">
      <c r="A509" s="5" t="s">
        <v>16</v>
      </c>
      <c r="B509" s="6" t="s">
        <v>113</v>
      </c>
      <c r="C509" s="6" t="s">
        <v>152</v>
      </c>
      <c r="D509" s="6" t="s">
        <v>153</v>
      </c>
      <c r="E509" s="6" t="s">
        <v>1183</v>
      </c>
      <c r="F509" s="6" t="s">
        <v>181</v>
      </c>
      <c r="G509" s="6">
        <v>59.23</v>
      </c>
      <c r="H509" s="6">
        <v>101</v>
      </c>
      <c r="I509" s="6">
        <v>3</v>
      </c>
      <c r="J509" s="7">
        <f>MEDIAN(租金配对!K1531:K1533)</f>
        <v>0.0192805600172608</v>
      </c>
      <c r="K509" s="6" t="s">
        <v>1184</v>
      </c>
      <c r="L509" s="6">
        <f>MEDIAN(租金配对!L1531:L1533)</f>
        <v>0.0217821782178218</v>
      </c>
    </row>
    <row r="510" ht="21" customHeight="1" spans="1:12">
      <c r="A510" s="5" t="s">
        <v>16</v>
      </c>
      <c r="B510" s="6" t="s">
        <v>113</v>
      </c>
      <c r="C510" s="6" t="s">
        <v>152</v>
      </c>
      <c r="D510" s="6" t="s">
        <v>153</v>
      </c>
      <c r="E510" s="6" t="s">
        <v>1185</v>
      </c>
      <c r="F510" s="6" t="s">
        <v>178</v>
      </c>
      <c r="G510" s="6">
        <v>45.41</v>
      </c>
      <c r="H510" s="6">
        <v>70</v>
      </c>
      <c r="I510" s="6">
        <v>0</v>
      </c>
      <c r="J510" s="7"/>
      <c r="K510" s="6" t="s">
        <v>1186</v>
      </c>
      <c r="L510" s="6"/>
    </row>
    <row r="511" ht="21" customHeight="1" spans="1:12">
      <c r="A511" s="5" t="s">
        <v>16</v>
      </c>
      <c r="B511" s="6" t="s">
        <v>113</v>
      </c>
      <c r="C511" s="6" t="s">
        <v>152</v>
      </c>
      <c r="D511" s="6" t="s">
        <v>153</v>
      </c>
      <c r="E511" s="6" t="s">
        <v>1187</v>
      </c>
      <c r="F511" s="6" t="s">
        <v>181</v>
      </c>
      <c r="G511" s="6">
        <v>44.92</v>
      </c>
      <c r="H511" s="6">
        <v>62</v>
      </c>
      <c r="I511" s="6">
        <v>0</v>
      </c>
      <c r="J511" s="7"/>
      <c r="K511" s="6" t="s">
        <v>1188</v>
      </c>
      <c r="L511" s="6"/>
    </row>
    <row r="512" ht="21" customHeight="1" spans="1:12">
      <c r="A512" s="5" t="s">
        <v>16</v>
      </c>
      <c r="B512" s="6" t="s">
        <v>113</v>
      </c>
      <c r="C512" s="6" t="s">
        <v>152</v>
      </c>
      <c r="D512" s="6" t="s">
        <v>153</v>
      </c>
      <c r="E512" s="6" t="s">
        <v>1189</v>
      </c>
      <c r="F512" s="6" t="s">
        <v>178</v>
      </c>
      <c r="G512" s="6">
        <v>44.92</v>
      </c>
      <c r="H512" s="6">
        <v>61.5</v>
      </c>
      <c r="I512" s="6">
        <v>0</v>
      </c>
      <c r="J512" s="7"/>
      <c r="K512" s="6" t="s">
        <v>1190</v>
      </c>
      <c r="L512" s="6"/>
    </row>
    <row r="513" ht="21" customHeight="1" spans="1:12">
      <c r="A513" s="5" t="s">
        <v>16</v>
      </c>
      <c r="B513" s="6" t="s">
        <v>113</v>
      </c>
      <c r="C513" s="6" t="s">
        <v>152</v>
      </c>
      <c r="D513" s="6" t="s">
        <v>155</v>
      </c>
      <c r="E513" s="6" t="s">
        <v>1191</v>
      </c>
      <c r="F513" s="6" t="s">
        <v>181</v>
      </c>
      <c r="G513" s="6">
        <v>56.82</v>
      </c>
      <c r="H513" s="6">
        <v>105</v>
      </c>
      <c r="I513" s="6">
        <v>0</v>
      </c>
      <c r="J513" s="7"/>
      <c r="K513" s="6" t="s">
        <v>1192</v>
      </c>
      <c r="L513" s="6"/>
    </row>
    <row r="514" ht="21" customHeight="1" spans="1:12">
      <c r="A514" s="5" t="s">
        <v>16</v>
      </c>
      <c r="B514" s="6" t="s">
        <v>113</v>
      </c>
      <c r="C514" s="6" t="s">
        <v>152</v>
      </c>
      <c r="D514" s="6" t="s">
        <v>155</v>
      </c>
      <c r="E514" s="6" t="s">
        <v>1193</v>
      </c>
      <c r="F514" s="6" t="s">
        <v>178</v>
      </c>
      <c r="G514" s="6">
        <v>56.82</v>
      </c>
      <c r="H514" s="6">
        <v>86</v>
      </c>
      <c r="I514" s="6">
        <v>0</v>
      </c>
      <c r="J514" s="7"/>
      <c r="K514" s="6" t="s">
        <v>1194</v>
      </c>
      <c r="L514" s="6"/>
    </row>
    <row r="515" ht="21" customHeight="1" spans="1:12">
      <c r="A515" s="5" t="s">
        <v>16</v>
      </c>
      <c r="B515" s="6" t="s">
        <v>113</v>
      </c>
      <c r="C515" s="6" t="s">
        <v>157</v>
      </c>
      <c r="D515" s="6" t="s">
        <v>155</v>
      </c>
      <c r="E515" s="6" t="s">
        <v>1195</v>
      </c>
      <c r="F515" s="6" t="s">
        <v>181</v>
      </c>
      <c r="G515" s="6">
        <v>62.27</v>
      </c>
      <c r="H515" s="6">
        <v>105</v>
      </c>
      <c r="I515" s="6">
        <v>0</v>
      </c>
      <c r="J515" s="7"/>
      <c r="K515" s="6" t="s">
        <v>1196</v>
      </c>
      <c r="L515" s="6"/>
    </row>
    <row r="516" ht="21" customHeight="1" spans="1:12">
      <c r="A516" s="5" t="s">
        <v>16</v>
      </c>
      <c r="B516" s="6" t="s">
        <v>113</v>
      </c>
      <c r="C516" s="6" t="s">
        <v>157</v>
      </c>
      <c r="D516" s="6" t="s">
        <v>155</v>
      </c>
      <c r="E516" s="6" t="s">
        <v>1197</v>
      </c>
      <c r="F516" s="6" t="s">
        <v>178</v>
      </c>
      <c r="G516" s="6">
        <v>62.27</v>
      </c>
      <c r="H516" s="6">
        <v>102</v>
      </c>
      <c r="I516" s="6">
        <v>0</v>
      </c>
      <c r="J516" s="7"/>
      <c r="K516" s="6" t="s">
        <v>1198</v>
      </c>
      <c r="L516" s="6"/>
    </row>
    <row r="517" ht="21" customHeight="1" spans="1:12">
      <c r="A517" s="5" t="s">
        <v>16</v>
      </c>
      <c r="B517" s="6" t="s">
        <v>113</v>
      </c>
      <c r="C517" s="6" t="s">
        <v>159</v>
      </c>
      <c r="D517" s="6" t="s">
        <v>160</v>
      </c>
      <c r="E517" s="6" t="s">
        <v>1199</v>
      </c>
      <c r="F517" s="6" t="s">
        <v>181</v>
      </c>
      <c r="G517" s="6">
        <v>33</v>
      </c>
      <c r="H517" s="6">
        <v>49</v>
      </c>
      <c r="I517" s="6">
        <v>1</v>
      </c>
      <c r="J517" s="7">
        <f>MEDIAN(租金配对!K1522:K1522)</f>
        <v>0.0357389929337352</v>
      </c>
      <c r="K517" s="6" t="s">
        <v>1200</v>
      </c>
      <c r="L517" s="6">
        <f>MEDIAN(租金配对!L1522:L1522)</f>
        <v>0.0387755102040816</v>
      </c>
    </row>
    <row r="518" ht="21" customHeight="1" spans="1:12">
      <c r="A518" s="5" t="s">
        <v>16</v>
      </c>
      <c r="B518" s="6" t="s">
        <v>113</v>
      </c>
      <c r="C518" s="6" t="s">
        <v>159</v>
      </c>
      <c r="D518" s="6" t="s">
        <v>160</v>
      </c>
      <c r="E518" s="6" t="s">
        <v>1201</v>
      </c>
      <c r="F518" s="6" t="s">
        <v>178</v>
      </c>
      <c r="G518" s="6">
        <v>39.86</v>
      </c>
      <c r="H518" s="6">
        <v>59.8</v>
      </c>
      <c r="I518" s="6">
        <v>1</v>
      </c>
      <c r="J518" s="7">
        <f>MEDIAN(租金配对!K1521:K1521)</f>
        <v>0.0289564893470568</v>
      </c>
      <c r="K518" s="6" t="s">
        <v>1202</v>
      </c>
      <c r="L518" s="6">
        <f>MEDIAN(租金配对!L1521:L1521)</f>
        <v>0.0317725752508361</v>
      </c>
    </row>
    <row r="519" ht="21" customHeight="1" spans="1:12">
      <c r="A519" s="5" t="s">
        <v>16</v>
      </c>
      <c r="B519" s="6" t="s">
        <v>130</v>
      </c>
      <c r="C519" s="6" t="s">
        <v>159</v>
      </c>
      <c r="D519" s="6" t="s">
        <v>153</v>
      </c>
      <c r="E519" s="6" t="s">
        <v>1203</v>
      </c>
      <c r="F519" s="6" t="s">
        <v>181</v>
      </c>
      <c r="G519" s="6">
        <v>35.91</v>
      </c>
      <c r="H519" s="6">
        <v>50</v>
      </c>
      <c r="I519" s="6">
        <v>0</v>
      </c>
      <c r="J519" s="7"/>
      <c r="K519" s="6" t="s">
        <v>1204</v>
      </c>
      <c r="L519" s="6"/>
    </row>
    <row r="520" ht="21" customHeight="1" spans="1:12">
      <c r="A520" s="5" t="s">
        <v>16</v>
      </c>
      <c r="B520" s="6" t="s">
        <v>131</v>
      </c>
      <c r="C520" s="6" t="s">
        <v>152</v>
      </c>
      <c r="D520" s="6" t="s">
        <v>153</v>
      </c>
      <c r="E520" s="6" t="s">
        <v>1205</v>
      </c>
      <c r="F520" s="6" t="s">
        <v>181</v>
      </c>
      <c r="G520" s="6">
        <v>44.86</v>
      </c>
      <c r="H520" s="6">
        <v>78</v>
      </c>
      <c r="I520" s="6">
        <v>0</v>
      </c>
      <c r="J520" s="7"/>
      <c r="K520" s="6" t="s">
        <v>1206</v>
      </c>
      <c r="L520" s="6"/>
    </row>
    <row r="521" ht="21" customHeight="1" spans="1:12">
      <c r="A521" s="5" t="s">
        <v>16</v>
      </c>
      <c r="B521" s="6" t="s">
        <v>115</v>
      </c>
      <c r="C521" s="6" t="s">
        <v>152</v>
      </c>
      <c r="D521" s="6" t="s">
        <v>153</v>
      </c>
      <c r="E521" s="6" t="s">
        <v>1207</v>
      </c>
      <c r="F521" s="6" t="s">
        <v>181</v>
      </c>
      <c r="G521" s="6">
        <v>52.18</v>
      </c>
      <c r="H521" s="6">
        <v>63</v>
      </c>
      <c r="I521" s="6">
        <v>1</v>
      </c>
      <c r="J521" s="7">
        <f>MEDIAN(租金配对!K1537:K1537)</f>
        <v>0.0273934432530074</v>
      </c>
      <c r="K521" s="6" t="s">
        <v>1208</v>
      </c>
      <c r="L521" s="6">
        <f>MEDIAN(租金配对!L1537:L1537)</f>
        <v>0.0301587301587302</v>
      </c>
    </row>
    <row r="522" ht="21" customHeight="1" spans="1:12">
      <c r="A522" s="5" t="s">
        <v>16</v>
      </c>
      <c r="B522" s="6" t="s">
        <v>115</v>
      </c>
      <c r="C522" s="6" t="s">
        <v>152</v>
      </c>
      <c r="D522" s="6" t="s">
        <v>153</v>
      </c>
      <c r="E522" s="6" t="s">
        <v>1209</v>
      </c>
      <c r="F522" s="6" t="s">
        <v>181</v>
      </c>
      <c r="G522" s="6">
        <v>59.54</v>
      </c>
      <c r="H522" s="6">
        <v>74.8</v>
      </c>
      <c r="I522" s="6">
        <v>1</v>
      </c>
      <c r="J522" s="7">
        <f>MEDIAN(租金配对!K1538:K1538)</f>
        <v>0.0227855394854398</v>
      </c>
      <c r="K522" s="6" t="s">
        <v>1210</v>
      </c>
      <c r="L522" s="6">
        <f>MEDIAN(租金配对!L1538:L1538)</f>
        <v>0.0254010695187166</v>
      </c>
    </row>
    <row r="523" ht="21" customHeight="1" spans="1:12">
      <c r="A523" s="5" t="s">
        <v>16</v>
      </c>
      <c r="B523" s="6" t="s">
        <v>115</v>
      </c>
      <c r="C523" s="6" t="s">
        <v>152</v>
      </c>
      <c r="D523" s="6" t="s">
        <v>153</v>
      </c>
      <c r="E523" s="6" t="s">
        <v>1211</v>
      </c>
      <c r="F523" s="6" t="s">
        <v>178</v>
      </c>
      <c r="G523" s="6">
        <v>50.12</v>
      </c>
      <c r="H523" s="6">
        <v>65</v>
      </c>
      <c r="I523" s="6">
        <v>1</v>
      </c>
      <c r="J523" s="7">
        <f>MEDIAN(租金配对!K1539:K1539)</f>
        <v>0.026494691748929</v>
      </c>
      <c r="K523" s="6" t="s">
        <v>1212</v>
      </c>
      <c r="L523" s="6">
        <f>MEDIAN(租金配对!L1539:L1539)</f>
        <v>0.0292307692307692</v>
      </c>
    </row>
    <row r="524" ht="21" customHeight="1" spans="1:12">
      <c r="A524" s="5" t="s">
        <v>16</v>
      </c>
      <c r="B524" s="6" t="s">
        <v>115</v>
      </c>
      <c r="C524" s="6" t="s">
        <v>152</v>
      </c>
      <c r="D524" s="6" t="s">
        <v>155</v>
      </c>
      <c r="E524" s="6" t="s">
        <v>1213</v>
      </c>
      <c r="F524" s="6" t="s">
        <v>181</v>
      </c>
      <c r="G524" s="6">
        <v>52.18</v>
      </c>
      <c r="H524" s="6">
        <v>85</v>
      </c>
      <c r="I524" s="6">
        <v>0</v>
      </c>
      <c r="J524" s="7"/>
      <c r="K524" s="6" t="s">
        <v>1214</v>
      </c>
      <c r="L524" s="6"/>
    </row>
    <row r="525" ht="21" customHeight="1" spans="1:12">
      <c r="A525" s="5" t="s">
        <v>16</v>
      </c>
      <c r="B525" s="6" t="s">
        <v>115</v>
      </c>
      <c r="C525" s="6" t="s">
        <v>157</v>
      </c>
      <c r="D525" s="6" t="s">
        <v>155</v>
      </c>
      <c r="E525" s="6" t="s">
        <v>1215</v>
      </c>
      <c r="F525" s="6" t="s">
        <v>181</v>
      </c>
      <c r="G525" s="6">
        <v>72.87</v>
      </c>
      <c r="H525" s="6">
        <v>95</v>
      </c>
      <c r="I525" s="6">
        <v>1</v>
      </c>
      <c r="J525" s="7">
        <f>MEDIAN(租金配对!K1541:K1541)</f>
        <v>0.0257104625971709</v>
      </c>
      <c r="K525" s="6" t="s">
        <v>1216</v>
      </c>
      <c r="L525" s="6">
        <f>MEDIAN(租金配对!L1541:L1541)</f>
        <v>0.0284210526315789</v>
      </c>
    </row>
    <row r="526" ht="21" customHeight="1" spans="1:12">
      <c r="A526" s="5" t="s">
        <v>16</v>
      </c>
      <c r="B526" s="6" t="s">
        <v>115</v>
      </c>
      <c r="C526" s="6" t="s">
        <v>157</v>
      </c>
      <c r="D526" s="6" t="s">
        <v>155</v>
      </c>
      <c r="E526" s="6" t="s">
        <v>1217</v>
      </c>
      <c r="F526" s="6" t="s">
        <v>181</v>
      </c>
      <c r="G526" s="6">
        <v>71.4</v>
      </c>
      <c r="H526" s="6">
        <v>96</v>
      </c>
      <c r="I526" s="6">
        <v>1</v>
      </c>
      <c r="J526" s="7">
        <f>MEDIAN(租金配对!K1542:K1542)</f>
        <v>0.0254237288135593</v>
      </c>
      <c r="K526" s="6" t="s">
        <v>1218</v>
      </c>
      <c r="L526" s="6">
        <f>MEDIAN(租金配对!L1542:L1542)</f>
        <v>0.028125</v>
      </c>
    </row>
    <row r="527" ht="21" customHeight="1" spans="1:12">
      <c r="A527" s="5" t="s">
        <v>16</v>
      </c>
      <c r="B527" s="6" t="s">
        <v>115</v>
      </c>
      <c r="C527" s="6" t="s">
        <v>157</v>
      </c>
      <c r="D527" s="6" t="s">
        <v>155</v>
      </c>
      <c r="E527" s="6" t="s">
        <v>1219</v>
      </c>
      <c r="F527" s="6" t="s">
        <v>181</v>
      </c>
      <c r="G527" s="6">
        <v>60.42</v>
      </c>
      <c r="H527" s="6">
        <v>67.6</v>
      </c>
      <c r="I527" s="6">
        <v>0</v>
      </c>
      <c r="J527" s="7"/>
      <c r="K527" s="6" t="s">
        <v>1220</v>
      </c>
      <c r="L527" s="6"/>
    </row>
    <row r="528" ht="21" customHeight="1" spans="1:12">
      <c r="A528" s="5" t="s">
        <v>16</v>
      </c>
      <c r="B528" s="6" t="s">
        <v>115</v>
      </c>
      <c r="C528" s="6" t="s">
        <v>157</v>
      </c>
      <c r="D528" s="6" t="s">
        <v>155</v>
      </c>
      <c r="E528" s="6" t="s">
        <v>1221</v>
      </c>
      <c r="F528" s="6" t="s">
        <v>178</v>
      </c>
      <c r="G528" s="6">
        <v>73.75</v>
      </c>
      <c r="H528" s="6">
        <v>106</v>
      </c>
      <c r="I528" s="6">
        <v>1</v>
      </c>
      <c r="J528" s="7">
        <f>MEDIAN(租金配对!K1544:K1544)</f>
        <v>0.022853944903833</v>
      </c>
      <c r="K528" s="6" t="s">
        <v>1222</v>
      </c>
      <c r="L528" s="6">
        <f>MEDIAN(租金配对!L1544:L1544)</f>
        <v>0.0254716981132075</v>
      </c>
    </row>
    <row r="529" ht="21" customHeight="1" spans="1:12">
      <c r="A529" s="5" t="s">
        <v>16</v>
      </c>
      <c r="B529" s="6" t="s">
        <v>115</v>
      </c>
      <c r="C529" s="6" t="s">
        <v>157</v>
      </c>
      <c r="D529" s="6" t="s">
        <v>155</v>
      </c>
      <c r="E529" s="6" t="s">
        <v>1223</v>
      </c>
      <c r="F529" s="6" t="s">
        <v>178</v>
      </c>
      <c r="G529" s="6">
        <v>79.42</v>
      </c>
      <c r="H529" s="6">
        <v>93.6</v>
      </c>
      <c r="I529" s="6">
        <v>1</v>
      </c>
      <c r="J529" s="7">
        <f>MEDIAN(租金配对!K1543:K1543)</f>
        <v>0.0261221829018439</v>
      </c>
      <c r="K529" s="6" t="s">
        <v>1224</v>
      </c>
      <c r="L529" s="6">
        <f>MEDIAN(租金配对!L1543:L1543)</f>
        <v>0.0288461538461538</v>
      </c>
    </row>
    <row r="530" ht="21" customHeight="1" spans="1:12">
      <c r="A530" s="5" t="s">
        <v>16</v>
      </c>
      <c r="B530" s="6" t="s">
        <v>115</v>
      </c>
      <c r="C530" s="6" t="s">
        <v>157</v>
      </c>
      <c r="D530" s="6" t="s">
        <v>155</v>
      </c>
      <c r="E530" s="6" t="s">
        <v>1225</v>
      </c>
      <c r="F530" s="6" t="s">
        <v>178</v>
      </c>
      <c r="G530" s="6">
        <v>72.97</v>
      </c>
      <c r="H530" s="6">
        <v>85</v>
      </c>
      <c r="I530" s="6">
        <v>1</v>
      </c>
      <c r="J530" s="7">
        <f>MEDIAN(租金配对!K1540:K1540)</f>
        <v>0.0289488676826663</v>
      </c>
      <c r="K530" s="6" t="s">
        <v>1226</v>
      </c>
      <c r="L530" s="6">
        <f>MEDIAN(租金配对!L1540:L1540)</f>
        <v>0.0317647058823529</v>
      </c>
    </row>
    <row r="531" ht="21" customHeight="1" spans="1:12">
      <c r="A531" s="5" t="s">
        <v>16</v>
      </c>
      <c r="B531" s="6" t="s">
        <v>112</v>
      </c>
      <c r="C531" s="6" t="s">
        <v>152</v>
      </c>
      <c r="D531" s="6" t="s">
        <v>155</v>
      </c>
      <c r="E531" s="6" t="s">
        <v>1227</v>
      </c>
      <c r="F531" s="6" t="s">
        <v>178</v>
      </c>
      <c r="G531" s="6">
        <v>58.97</v>
      </c>
      <c r="H531" s="6">
        <v>120</v>
      </c>
      <c r="I531" s="6">
        <v>5</v>
      </c>
      <c r="J531" s="7">
        <f>MEDIAN(租金配对!K1560:K1564)</f>
        <v>0.0207828894269572</v>
      </c>
      <c r="K531" s="6" t="s">
        <v>1228</v>
      </c>
      <c r="L531" s="6">
        <f>MEDIAN(租金配对!L1560:L1564)</f>
        <v>0.0233333333333333</v>
      </c>
    </row>
    <row r="532" ht="21" customHeight="1" spans="1:12">
      <c r="A532" s="5" t="s">
        <v>16</v>
      </c>
      <c r="B532" s="6" t="s">
        <v>112</v>
      </c>
      <c r="C532" s="6" t="s">
        <v>152</v>
      </c>
      <c r="D532" s="6" t="s">
        <v>155</v>
      </c>
      <c r="E532" s="6" t="s">
        <v>1229</v>
      </c>
      <c r="F532" s="6" t="s">
        <v>178</v>
      </c>
      <c r="G532" s="6">
        <v>57.87</v>
      </c>
      <c r="H532" s="6">
        <v>87.9</v>
      </c>
      <c r="I532" s="6">
        <v>5</v>
      </c>
      <c r="J532" s="7">
        <f>MEDIAN(租金配对!K1550:K1554)</f>
        <v>0.0290357191062924</v>
      </c>
      <c r="K532" s="6" t="s">
        <v>1230</v>
      </c>
      <c r="L532" s="6">
        <f>MEDIAN(租金配对!L1550:L1554)</f>
        <v>0.0318543799772469</v>
      </c>
    </row>
    <row r="533" ht="21" customHeight="1" spans="1:12">
      <c r="A533" s="5" t="s">
        <v>16</v>
      </c>
      <c r="B533" s="6" t="s">
        <v>112</v>
      </c>
      <c r="C533" s="6" t="s">
        <v>152</v>
      </c>
      <c r="D533" s="6" t="s">
        <v>155</v>
      </c>
      <c r="E533" s="6" t="s">
        <v>1231</v>
      </c>
      <c r="F533" s="6" t="s">
        <v>181</v>
      </c>
      <c r="G533" s="6">
        <v>58.93</v>
      </c>
      <c r="H533" s="6">
        <v>83</v>
      </c>
      <c r="I533" s="6">
        <v>5</v>
      </c>
      <c r="J533" s="7">
        <f>MEDIAN(租金配对!K1545:K1549)</f>
        <v>0.0308570845123837</v>
      </c>
      <c r="K533" s="6" t="s">
        <v>1232</v>
      </c>
      <c r="L533" s="6">
        <f>MEDIAN(租金配对!L1545:L1549)</f>
        <v>0.0337349397590361</v>
      </c>
    </row>
    <row r="534" ht="21" customHeight="1" spans="1:12">
      <c r="A534" s="5" t="s">
        <v>16</v>
      </c>
      <c r="B534" s="6" t="s">
        <v>112</v>
      </c>
      <c r="C534" s="6" t="s">
        <v>152</v>
      </c>
      <c r="D534" s="6" t="s">
        <v>155</v>
      </c>
      <c r="E534" s="6" t="s">
        <v>1233</v>
      </c>
      <c r="F534" s="6" t="s">
        <v>181</v>
      </c>
      <c r="G534" s="6">
        <v>56.49</v>
      </c>
      <c r="H534" s="6">
        <v>88</v>
      </c>
      <c r="I534" s="6">
        <v>5</v>
      </c>
      <c r="J534" s="7">
        <f>MEDIAN(租金配对!K1555:K1559)</f>
        <v>0.0290006603565926</v>
      </c>
      <c r="K534" s="6" t="s">
        <v>1234</v>
      </c>
      <c r="L534" s="6">
        <f>MEDIAN(租金配对!L1555:L1559)</f>
        <v>0.0318181818181818</v>
      </c>
    </row>
    <row r="535" ht="21" customHeight="1" spans="1:12">
      <c r="A535" s="5" t="s">
        <v>16</v>
      </c>
      <c r="B535" s="6" t="s">
        <v>126</v>
      </c>
      <c r="C535" s="6" t="s">
        <v>152</v>
      </c>
      <c r="D535" s="6" t="s">
        <v>160</v>
      </c>
      <c r="E535" s="6" t="s">
        <v>1235</v>
      </c>
      <c r="F535" s="6" t="s">
        <v>181</v>
      </c>
      <c r="G535" s="6">
        <v>52.59</v>
      </c>
      <c r="H535" s="6">
        <v>118</v>
      </c>
      <c r="I535" s="6">
        <v>1</v>
      </c>
      <c r="J535" s="7">
        <f>MEDIAN(租金配对!K1566:K1566)</f>
        <v>0.0104957524520868</v>
      </c>
      <c r="K535" s="6" t="s">
        <v>1236</v>
      </c>
      <c r="L535" s="6">
        <f>MEDIAN(租金配对!L1566:L1566)</f>
        <v>0.0127118644067797</v>
      </c>
    </row>
    <row r="536" ht="21" customHeight="1" spans="1:12">
      <c r="A536" s="5" t="s">
        <v>16</v>
      </c>
      <c r="B536" s="6" t="s">
        <v>126</v>
      </c>
      <c r="C536" s="6" t="s">
        <v>152</v>
      </c>
      <c r="D536" s="6" t="s">
        <v>160</v>
      </c>
      <c r="E536" s="6" t="s">
        <v>1237</v>
      </c>
      <c r="F536" s="6" t="s">
        <v>178</v>
      </c>
      <c r="G536" s="6">
        <v>47.35</v>
      </c>
      <c r="H536" s="6">
        <v>117</v>
      </c>
      <c r="I536" s="6">
        <v>1</v>
      </c>
      <c r="J536" s="7">
        <f>MEDIAN(租金配对!K1569:K1569)</f>
        <v>0.010600980939964</v>
      </c>
      <c r="K536" s="6" t="s">
        <v>1238</v>
      </c>
      <c r="L536" s="6">
        <f>MEDIAN(租金配对!L1569:L1569)</f>
        <v>0.0128205128205128</v>
      </c>
    </row>
    <row r="537" ht="21" customHeight="1" spans="1:12">
      <c r="A537" s="5" t="s">
        <v>16</v>
      </c>
      <c r="B537" s="6" t="s">
        <v>126</v>
      </c>
      <c r="C537" s="6" t="s">
        <v>152</v>
      </c>
      <c r="D537" s="6" t="s">
        <v>160</v>
      </c>
      <c r="E537" s="6" t="s">
        <v>1239</v>
      </c>
      <c r="F537" s="6" t="s">
        <v>178</v>
      </c>
      <c r="G537" s="6">
        <v>46.15</v>
      </c>
      <c r="H537" s="6">
        <v>113</v>
      </c>
      <c r="I537" s="6">
        <v>1</v>
      </c>
      <c r="J537" s="7">
        <f>MEDIAN(租金配对!K1568:K1568)</f>
        <v>0.0110405194026013</v>
      </c>
      <c r="K537" s="6" t="s">
        <v>1240</v>
      </c>
      <c r="L537" s="6">
        <f>MEDIAN(租金配对!L1568:L1568)</f>
        <v>0.0132743362831858</v>
      </c>
    </row>
    <row r="538" ht="21" customHeight="1" spans="1:12">
      <c r="A538" s="5" t="s">
        <v>16</v>
      </c>
      <c r="B538" s="6" t="s">
        <v>126</v>
      </c>
      <c r="C538" s="6" t="s">
        <v>152</v>
      </c>
      <c r="D538" s="6" t="s">
        <v>160</v>
      </c>
      <c r="E538" s="6" t="s">
        <v>1241</v>
      </c>
      <c r="F538" s="6" t="s">
        <v>181</v>
      </c>
      <c r="G538" s="6">
        <v>46.15</v>
      </c>
      <c r="H538" s="6">
        <v>108</v>
      </c>
      <c r="I538" s="6">
        <v>1</v>
      </c>
      <c r="J538" s="7">
        <f>MEDIAN(租金配对!K1570:K1570)</f>
        <v>0.0116357277374227</v>
      </c>
      <c r="K538" s="6" t="s">
        <v>1242</v>
      </c>
      <c r="L538" s="6">
        <f>MEDIAN(租金配对!L1570:L1570)</f>
        <v>0.0138888888888889</v>
      </c>
    </row>
    <row r="539" ht="21" customHeight="1" spans="1:12">
      <c r="A539" s="5" t="s">
        <v>16</v>
      </c>
      <c r="B539" s="6" t="s">
        <v>126</v>
      </c>
      <c r="C539" s="6" t="s">
        <v>152</v>
      </c>
      <c r="D539" s="6" t="s">
        <v>160</v>
      </c>
      <c r="E539" s="6" t="s">
        <v>1243</v>
      </c>
      <c r="F539" s="6" t="s">
        <v>181</v>
      </c>
      <c r="G539" s="6">
        <v>52.89</v>
      </c>
      <c r="H539" s="6">
        <v>109</v>
      </c>
      <c r="I539" s="6">
        <v>1</v>
      </c>
      <c r="J539" s="7">
        <f>MEDIAN(租金配对!K1567:K1567)</f>
        <v>0.0115123175689184</v>
      </c>
      <c r="K539" s="6" t="s">
        <v>1244</v>
      </c>
      <c r="L539" s="6">
        <f>MEDIAN(租金配对!L1567:L1567)</f>
        <v>0.0137614678899083</v>
      </c>
    </row>
    <row r="540" ht="21" customHeight="1" spans="1:12">
      <c r="A540" s="5" t="s">
        <v>16</v>
      </c>
      <c r="B540" s="6" t="s">
        <v>126</v>
      </c>
      <c r="C540" s="6" t="s">
        <v>152</v>
      </c>
      <c r="D540" s="6" t="s">
        <v>153</v>
      </c>
      <c r="E540" s="6" t="s">
        <v>1245</v>
      </c>
      <c r="F540" s="6" t="s">
        <v>178</v>
      </c>
      <c r="G540" s="6">
        <v>47.35</v>
      </c>
      <c r="H540" s="6">
        <v>119</v>
      </c>
      <c r="I540" s="6">
        <v>1</v>
      </c>
      <c r="J540" s="7">
        <f>MEDIAN(租金配对!K1573:K1573)</f>
        <v>0.0138919974769569</v>
      </c>
      <c r="K540" s="6" t="s">
        <v>1246</v>
      </c>
      <c r="L540" s="6">
        <f>MEDIAN(租金配对!L1573:L1573)</f>
        <v>0.016218487394958</v>
      </c>
    </row>
    <row r="541" ht="21" customHeight="1" spans="1:12">
      <c r="A541" s="5" t="s">
        <v>16</v>
      </c>
      <c r="B541" s="6" t="s">
        <v>126</v>
      </c>
      <c r="C541" s="6" t="s">
        <v>152</v>
      </c>
      <c r="D541" s="6" t="s">
        <v>153</v>
      </c>
      <c r="E541" s="6" t="s">
        <v>1247</v>
      </c>
      <c r="F541" s="6" t="s">
        <v>178</v>
      </c>
      <c r="G541" s="6">
        <v>50.91</v>
      </c>
      <c r="H541" s="6">
        <v>110</v>
      </c>
      <c r="I541" s="6">
        <v>1</v>
      </c>
      <c r="J541" s="7">
        <f>MEDIAN(租金配对!K1571:K1571)</f>
        <v>0.0151771956856703</v>
      </c>
      <c r="K541" s="6" t="s">
        <v>1248</v>
      </c>
      <c r="L541" s="6">
        <f>MEDIAN(租金配对!L1571:L1571)</f>
        <v>0.0175454545454545</v>
      </c>
    </row>
    <row r="542" ht="21" customHeight="1" spans="1:12">
      <c r="A542" s="5" t="s">
        <v>16</v>
      </c>
      <c r="B542" s="6" t="s">
        <v>126</v>
      </c>
      <c r="C542" s="6" t="s">
        <v>152</v>
      </c>
      <c r="D542" s="6" t="s">
        <v>153</v>
      </c>
      <c r="E542" s="6" t="s">
        <v>1249</v>
      </c>
      <c r="F542" s="6" t="s">
        <v>181</v>
      </c>
      <c r="G542" s="6">
        <v>46.15</v>
      </c>
      <c r="H542" s="6">
        <v>100</v>
      </c>
      <c r="I542" s="6">
        <v>1</v>
      </c>
      <c r="J542" s="7">
        <f>MEDIAN(租金配对!K1572:K1572)</f>
        <v>0.0168765133171913</v>
      </c>
      <c r="K542" s="6" t="s">
        <v>1250</v>
      </c>
      <c r="L542" s="6">
        <f>MEDIAN(租金配对!L1572:L1572)</f>
        <v>0.0193</v>
      </c>
    </row>
    <row r="543" ht="21" customHeight="1" spans="1:12">
      <c r="A543" s="5" t="s">
        <v>16</v>
      </c>
      <c r="B543" s="6" t="s">
        <v>126</v>
      </c>
      <c r="C543" s="6" t="s">
        <v>159</v>
      </c>
      <c r="D543" s="6" t="s">
        <v>160</v>
      </c>
      <c r="E543" s="6" t="s">
        <v>1251</v>
      </c>
      <c r="F543" s="6" t="s">
        <v>181</v>
      </c>
      <c r="G543" s="6">
        <v>39.62</v>
      </c>
      <c r="H543" s="6">
        <v>110</v>
      </c>
      <c r="I543" s="6">
        <v>1</v>
      </c>
      <c r="J543" s="7">
        <f>MEDIAN(租金配对!K1565:K1565)</f>
        <v>0.0113911512216597</v>
      </c>
      <c r="K543" s="6" t="s">
        <v>1252</v>
      </c>
      <c r="L543" s="6">
        <f>MEDIAN(租金配对!L1565:L1565)</f>
        <v>0.0136363636363636</v>
      </c>
    </row>
    <row r="544" ht="21" customHeight="1" spans="1:12">
      <c r="A544" s="5" t="s">
        <v>16</v>
      </c>
      <c r="B544" s="6" t="s">
        <v>126</v>
      </c>
      <c r="C544" s="6" t="s">
        <v>159</v>
      </c>
      <c r="D544" s="6" t="s">
        <v>153</v>
      </c>
      <c r="E544" s="6" t="s">
        <v>1253</v>
      </c>
      <c r="F544" s="6" t="s">
        <v>178</v>
      </c>
      <c r="G544" s="6">
        <v>34.26</v>
      </c>
      <c r="H544" s="6">
        <v>105</v>
      </c>
      <c r="I544" s="6">
        <v>0</v>
      </c>
      <c r="J544" s="7"/>
      <c r="K544" s="6" t="s">
        <v>1254</v>
      </c>
      <c r="L544" s="6"/>
    </row>
    <row r="545" ht="21" customHeight="1" spans="1:12">
      <c r="A545" s="5" t="s">
        <v>16</v>
      </c>
      <c r="B545" s="6" t="s">
        <v>132</v>
      </c>
      <c r="C545" s="6" t="s">
        <v>157</v>
      </c>
      <c r="D545" s="6" t="s">
        <v>153</v>
      </c>
      <c r="E545" s="6" t="s">
        <v>1255</v>
      </c>
      <c r="F545" s="6" t="s">
        <v>181</v>
      </c>
      <c r="G545" s="6">
        <v>63.3</v>
      </c>
      <c r="H545" s="6">
        <v>75</v>
      </c>
      <c r="I545" s="6">
        <v>0</v>
      </c>
      <c r="J545" s="7"/>
      <c r="K545" s="6" t="s">
        <v>1256</v>
      </c>
      <c r="L545" s="6"/>
    </row>
    <row r="546" ht="21" customHeight="1" spans="1:12">
      <c r="A546" s="5" t="s">
        <v>16</v>
      </c>
      <c r="B546" s="6" t="s">
        <v>132</v>
      </c>
      <c r="C546" s="6" t="s">
        <v>157</v>
      </c>
      <c r="D546" s="6" t="s">
        <v>153</v>
      </c>
      <c r="E546" s="6" t="s">
        <v>1257</v>
      </c>
      <c r="F546" s="6" t="s">
        <v>181</v>
      </c>
      <c r="G546" s="6">
        <v>63.3</v>
      </c>
      <c r="H546" s="6">
        <v>76</v>
      </c>
      <c r="I546" s="6">
        <v>0</v>
      </c>
      <c r="J546" s="7"/>
      <c r="K546" s="6" t="s">
        <v>1258</v>
      </c>
      <c r="L546" s="6"/>
    </row>
    <row r="547" ht="21" customHeight="1" spans="1:12">
      <c r="A547" s="5" t="s">
        <v>16</v>
      </c>
      <c r="B547" s="6" t="s">
        <v>116</v>
      </c>
      <c r="C547" s="6" t="s">
        <v>152</v>
      </c>
      <c r="D547" s="6" t="s">
        <v>153</v>
      </c>
      <c r="E547" s="6" t="s">
        <v>1259</v>
      </c>
      <c r="F547" s="6" t="s">
        <v>178</v>
      </c>
      <c r="G547" s="6">
        <v>49.97</v>
      </c>
      <c r="H547" s="6">
        <v>100</v>
      </c>
      <c r="I547" s="6">
        <v>3</v>
      </c>
      <c r="J547" s="7">
        <f>MEDIAN(租金配对!K1580:K1582)</f>
        <v>0.0204600484261501</v>
      </c>
      <c r="K547" s="6" t="s">
        <v>1260</v>
      </c>
      <c r="L547" s="6">
        <f>MEDIAN(租金配对!L1580:L1582)</f>
        <v>0.023</v>
      </c>
    </row>
    <row r="548" ht="21" customHeight="1" spans="1:12">
      <c r="A548" s="5" t="s">
        <v>16</v>
      </c>
      <c r="B548" s="6" t="s">
        <v>116</v>
      </c>
      <c r="C548" s="6" t="s">
        <v>152</v>
      </c>
      <c r="D548" s="6" t="s">
        <v>153</v>
      </c>
      <c r="E548" s="6" t="s">
        <v>1261</v>
      </c>
      <c r="F548" s="6" t="s">
        <v>178</v>
      </c>
      <c r="G548" s="6">
        <v>51.36</v>
      </c>
      <c r="H548" s="6">
        <v>98</v>
      </c>
      <c r="I548" s="6">
        <v>3</v>
      </c>
      <c r="J548" s="7">
        <f>MEDIAN(租金配对!K1574:K1576)</f>
        <v>0.0209146612640213</v>
      </c>
      <c r="K548" s="6" t="s">
        <v>1262</v>
      </c>
      <c r="L548" s="6">
        <f>MEDIAN(租金配对!L1574:L1576)</f>
        <v>0.023469387755102</v>
      </c>
    </row>
    <row r="549" ht="21" customHeight="1" spans="1:12">
      <c r="A549" s="5" t="s">
        <v>16</v>
      </c>
      <c r="B549" s="6" t="s">
        <v>116</v>
      </c>
      <c r="C549" s="6" t="s">
        <v>152</v>
      </c>
      <c r="D549" s="6" t="s">
        <v>153</v>
      </c>
      <c r="E549" s="6" t="s">
        <v>1263</v>
      </c>
      <c r="F549" s="6" t="s">
        <v>178</v>
      </c>
      <c r="G549" s="6">
        <v>47.23</v>
      </c>
      <c r="H549" s="6">
        <v>80</v>
      </c>
      <c r="I549" s="6">
        <v>3</v>
      </c>
      <c r="J549" s="7">
        <f>MEDIAN(租金配对!K1577:K1579)</f>
        <v>0.0260290556900726</v>
      </c>
      <c r="K549" s="6" t="s">
        <v>1264</v>
      </c>
      <c r="L549" s="6">
        <f>MEDIAN(租金配对!L1577:L1579)</f>
        <v>0.02875</v>
      </c>
    </row>
    <row r="550" ht="21" customHeight="1" spans="1:12">
      <c r="A550" s="5" t="s">
        <v>16</v>
      </c>
      <c r="B550" s="6" t="s">
        <v>116</v>
      </c>
      <c r="C550" s="6" t="s">
        <v>152</v>
      </c>
      <c r="D550" s="6" t="s">
        <v>155</v>
      </c>
      <c r="E550" s="6" t="s">
        <v>1265</v>
      </c>
      <c r="F550" s="6" t="s">
        <v>181</v>
      </c>
      <c r="G550" s="6">
        <v>53.4</v>
      </c>
      <c r="H550" s="6">
        <v>88</v>
      </c>
      <c r="I550" s="6">
        <v>2</v>
      </c>
      <c r="J550" s="7">
        <f>MEDIAN(租金配对!K1583:K1584)</f>
        <v>0.0232225401716927</v>
      </c>
      <c r="K550" s="6" t="s">
        <v>1266</v>
      </c>
      <c r="L550" s="6">
        <f>MEDIAN(租金配对!L1583:L1584)</f>
        <v>0.0258522727272727</v>
      </c>
    </row>
    <row r="551" ht="21" customHeight="1" spans="1:12">
      <c r="A551" s="5" t="s">
        <v>16</v>
      </c>
      <c r="B551" s="6" t="s">
        <v>116</v>
      </c>
      <c r="C551" s="6" t="s">
        <v>152</v>
      </c>
      <c r="D551" s="6" t="s">
        <v>155</v>
      </c>
      <c r="E551" s="6" t="s">
        <v>1267</v>
      </c>
      <c r="F551" s="6" t="s">
        <v>178</v>
      </c>
      <c r="G551" s="6">
        <v>51.36</v>
      </c>
      <c r="H551" s="6">
        <v>92</v>
      </c>
      <c r="I551" s="6">
        <v>2</v>
      </c>
      <c r="J551" s="7">
        <f>MEDIAN(租金配对!K1585:K1586)</f>
        <v>0.0221339088325087</v>
      </c>
      <c r="K551" s="6" t="s">
        <v>1268</v>
      </c>
      <c r="L551" s="6">
        <f>MEDIAN(租金配对!L1585:L1586)</f>
        <v>0.0247282608695652</v>
      </c>
    </row>
    <row r="552" ht="21" customHeight="1" spans="1:12">
      <c r="A552" s="5" t="s">
        <v>16</v>
      </c>
      <c r="B552" s="6" t="s">
        <v>116</v>
      </c>
      <c r="C552" s="6" t="s">
        <v>152</v>
      </c>
      <c r="D552" s="6" t="s">
        <v>155</v>
      </c>
      <c r="E552" s="6" t="s">
        <v>1269</v>
      </c>
      <c r="F552" s="6" t="s">
        <v>178</v>
      </c>
      <c r="G552" s="6">
        <v>49.97</v>
      </c>
      <c r="H552" s="6">
        <v>76</v>
      </c>
      <c r="I552" s="6">
        <v>2</v>
      </c>
      <c r="J552" s="7">
        <f>MEDIAN(租金配对!K1591:K1592)</f>
        <v>0.0271759908245189</v>
      </c>
      <c r="K552" s="6" t="s">
        <v>1270</v>
      </c>
      <c r="L552" s="6">
        <f>MEDIAN(租金配对!L1591:L1592)</f>
        <v>0.0299342105263158</v>
      </c>
    </row>
    <row r="553" ht="21" customHeight="1" spans="1:12">
      <c r="A553" s="5" t="s">
        <v>16</v>
      </c>
      <c r="B553" s="6" t="s">
        <v>116</v>
      </c>
      <c r="C553" s="6" t="s">
        <v>152</v>
      </c>
      <c r="D553" s="6" t="s">
        <v>155</v>
      </c>
      <c r="E553" s="6" t="s">
        <v>1271</v>
      </c>
      <c r="F553" s="6" t="s">
        <v>181</v>
      </c>
      <c r="G553" s="6">
        <v>49.97</v>
      </c>
      <c r="H553" s="6">
        <v>69.8</v>
      </c>
      <c r="I553" s="6">
        <v>2</v>
      </c>
      <c r="J553" s="7">
        <f>MEDIAN(租金配对!K1589:K1590)</f>
        <v>0.0297512089192921</v>
      </c>
      <c r="K553" s="6" t="s">
        <v>1272</v>
      </c>
      <c r="L553" s="6">
        <f>MEDIAN(租金配对!L1589:L1590)</f>
        <v>0.0325931232091691</v>
      </c>
    </row>
    <row r="554" ht="21" customHeight="1" spans="1:12">
      <c r="A554" s="5" t="s">
        <v>16</v>
      </c>
      <c r="B554" s="6" t="s">
        <v>116</v>
      </c>
      <c r="C554" s="6" t="s">
        <v>152</v>
      </c>
      <c r="D554" s="6" t="s">
        <v>155</v>
      </c>
      <c r="E554" s="6" t="s">
        <v>1273</v>
      </c>
      <c r="F554" s="6" t="s">
        <v>178</v>
      </c>
      <c r="G554" s="6">
        <v>49.97</v>
      </c>
      <c r="H554" s="6">
        <v>71</v>
      </c>
      <c r="I554" s="6">
        <v>2</v>
      </c>
      <c r="J554" s="7">
        <f>MEDIAN(租金配对!K1587:K1588)</f>
        <v>0.0292176789550865</v>
      </c>
      <c r="K554" s="6" t="s">
        <v>1274</v>
      </c>
      <c r="L554" s="6">
        <f>MEDIAN(租金配对!L1587:L1588)</f>
        <v>0.0320422535211268</v>
      </c>
    </row>
    <row r="555" ht="21" customHeight="1" spans="1:12">
      <c r="A555" s="5" t="s">
        <v>16</v>
      </c>
      <c r="B555" s="6" t="s">
        <v>116</v>
      </c>
      <c r="C555" s="6" t="s">
        <v>157</v>
      </c>
      <c r="D555" s="6" t="s">
        <v>155</v>
      </c>
      <c r="E555" s="6" t="s">
        <v>1275</v>
      </c>
      <c r="F555" s="6" t="s">
        <v>178</v>
      </c>
      <c r="G555" s="6">
        <v>73.6</v>
      </c>
      <c r="H555" s="6">
        <v>105</v>
      </c>
      <c r="I555" s="6">
        <v>5</v>
      </c>
      <c r="J555" s="7">
        <f>MEDIAN(租金配对!K1623:K1627)</f>
        <v>0.025856105153926</v>
      </c>
      <c r="K555" s="6" t="s">
        <v>1276</v>
      </c>
      <c r="L555" s="6">
        <f>MEDIAN(租金配对!L1623:L1627)</f>
        <v>0.0285714285714286</v>
      </c>
    </row>
    <row r="556" ht="21" customHeight="1" spans="1:12">
      <c r="A556" s="5" t="s">
        <v>16</v>
      </c>
      <c r="B556" s="6" t="s">
        <v>116</v>
      </c>
      <c r="C556" s="6" t="s">
        <v>157</v>
      </c>
      <c r="D556" s="6" t="s">
        <v>155</v>
      </c>
      <c r="E556" s="6" t="s">
        <v>1277</v>
      </c>
      <c r="F556" s="6" t="s">
        <v>181</v>
      </c>
      <c r="G556" s="6">
        <v>73.53</v>
      </c>
      <c r="H556" s="6">
        <v>110</v>
      </c>
      <c r="I556" s="6">
        <v>5</v>
      </c>
      <c r="J556" s="7">
        <f>MEDIAN(租金配对!K1608:K1612)</f>
        <v>0.0245982830728593</v>
      </c>
      <c r="K556" s="6" t="s">
        <v>1278</v>
      </c>
      <c r="L556" s="6">
        <f>MEDIAN(租金配对!L1608:L1612)</f>
        <v>0.0272727272727273</v>
      </c>
    </row>
    <row r="557" ht="21" customHeight="1" spans="1:12">
      <c r="A557" s="5" t="s">
        <v>16</v>
      </c>
      <c r="B557" s="6" t="s">
        <v>116</v>
      </c>
      <c r="C557" s="6" t="s">
        <v>157</v>
      </c>
      <c r="D557" s="6" t="s">
        <v>155</v>
      </c>
      <c r="E557" s="6" t="s">
        <v>1279</v>
      </c>
      <c r="F557" s="6" t="s">
        <v>178</v>
      </c>
      <c r="G557" s="6">
        <v>73.53</v>
      </c>
      <c r="H557" s="6">
        <v>102</v>
      </c>
      <c r="I557" s="6">
        <v>5</v>
      </c>
      <c r="J557" s="7">
        <f>MEDIAN(租金配对!K1603:K1607)</f>
        <v>0.0266699900299103</v>
      </c>
      <c r="K557" s="6" t="s">
        <v>1280</v>
      </c>
      <c r="L557" s="6">
        <f>MEDIAN(租金配对!L1603:L1607)</f>
        <v>0.0294117647058824</v>
      </c>
    </row>
    <row r="558" ht="21" customHeight="1" spans="1:12">
      <c r="A558" s="5" t="s">
        <v>16</v>
      </c>
      <c r="B558" s="6" t="s">
        <v>116</v>
      </c>
      <c r="C558" s="6" t="s">
        <v>157</v>
      </c>
      <c r="D558" s="6" t="s">
        <v>155</v>
      </c>
      <c r="E558" s="6" t="s">
        <v>1281</v>
      </c>
      <c r="F558" s="6" t="s">
        <v>178</v>
      </c>
      <c r="G558" s="6">
        <v>70.08</v>
      </c>
      <c r="H558" s="6">
        <v>115</v>
      </c>
      <c r="I558" s="6">
        <v>5</v>
      </c>
      <c r="J558" s="7">
        <f>MEDIAN(租金配对!K1593:K1597)</f>
        <v>0.0234498368249289</v>
      </c>
      <c r="K558" s="6" t="s">
        <v>1282</v>
      </c>
      <c r="L558" s="6">
        <f>MEDIAN(租金配对!L1593:L1597)</f>
        <v>0.0260869565217391</v>
      </c>
    </row>
    <row r="559" ht="21" customHeight="1" spans="1:12">
      <c r="A559" s="5" t="s">
        <v>16</v>
      </c>
      <c r="B559" s="6" t="s">
        <v>116</v>
      </c>
      <c r="C559" s="6" t="s">
        <v>157</v>
      </c>
      <c r="D559" s="6" t="s">
        <v>155</v>
      </c>
      <c r="E559" s="6" t="s">
        <v>1283</v>
      </c>
      <c r="F559" s="6" t="s">
        <v>178</v>
      </c>
      <c r="G559" s="6">
        <v>73.53</v>
      </c>
      <c r="H559" s="6">
        <v>115</v>
      </c>
      <c r="I559" s="6">
        <v>5</v>
      </c>
      <c r="J559" s="7">
        <f>MEDIAN(租金配对!K1613:K1617)</f>
        <v>0.0234498368249289</v>
      </c>
      <c r="K559" s="6" t="s">
        <v>1284</v>
      </c>
      <c r="L559" s="6">
        <f>MEDIAN(租金配对!L1613:L1617)</f>
        <v>0.0260869565217391</v>
      </c>
    </row>
    <row r="560" ht="21" customHeight="1" spans="1:12">
      <c r="A560" s="5" t="s">
        <v>16</v>
      </c>
      <c r="B560" s="6" t="s">
        <v>116</v>
      </c>
      <c r="C560" s="6" t="s">
        <v>157</v>
      </c>
      <c r="D560" s="6" t="s">
        <v>155</v>
      </c>
      <c r="E560" s="6" t="s">
        <v>1285</v>
      </c>
      <c r="F560" s="6" t="s">
        <v>181</v>
      </c>
      <c r="G560" s="6">
        <v>73.6</v>
      </c>
      <c r="H560" s="6">
        <v>102</v>
      </c>
      <c r="I560" s="6">
        <v>5</v>
      </c>
      <c r="J560" s="7">
        <f>MEDIAN(租金配对!K1618:K1622)</f>
        <v>0.0266699900299103</v>
      </c>
      <c r="K560" s="6" t="s">
        <v>1286</v>
      </c>
      <c r="L560" s="6">
        <f>MEDIAN(租金配对!L1618:L1622)</f>
        <v>0.0294117647058824</v>
      </c>
    </row>
    <row r="561" ht="21" customHeight="1" spans="1:12">
      <c r="A561" s="5" t="s">
        <v>16</v>
      </c>
      <c r="B561" s="6" t="s">
        <v>116</v>
      </c>
      <c r="C561" s="6" t="s">
        <v>157</v>
      </c>
      <c r="D561" s="6" t="s">
        <v>155</v>
      </c>
      <c r="E561" s="6" t="s">
        <v>1287</v>
      </c>
      <c r="F561" s="6" t="s">
        <v>178</v>
      </c>
      <c r="G561" s="6">
        <v>73.6</v>
      </c>
      <c r="H561" s="6">
        <v>105.8</v>
      </c>
      <c r="I561" s="6">
        <v>5</v>
      </c>
      <c r="J561" s="7">
        <f>MEDIAN(租金配对!K1598:K1602)</f>
        <v>0.0256468644296654</v>
      </c>
      <c r="K561" s="6" t="s">
        <v>1288</v>
      </c>
      <c r="L561" s="6">
        <f>MEDIAN(租金配对!L1598:L1602)</f>
        <v>0.0283553875236295</v>
      </c>
    </row>
    <row r="562" ht="21" customHeight="1" spans="1:12">
      <c r="A562" s="5" t="s">
        <v>16</v>
      </c>
      <c r="B562" s="6" t="s">
        <v>122</v>
      </c>
      <c r="C562" s="6" t="s">
        <v>152</v>
      </c>
      <c r="D562" s="6" t="s">
        <v>160</v>
      </c>
      <c r="E562" s="6" t="s">
        <v>1289</v>
      </c>
      <c r="F562" s="6" t="s">
        <v>178</v>
      </c>
      <c r="G562" s="6">
        <v>49.78</v>
      </c>
      <c r="H562" s="6">
        <v>93</v>
      </c>
      <c r="I562" s="6">
        <v>3</v>
      </c>
      <c r="J562" s="7">
        <f>MEDIAN(租金配对!K1764:K1766)</f>
        <v>0.0278645629930485</v>
      </c>
      <c r="K562" s="6" t="s">
        <v>1290</v>
      </c>
      <c r="L562" s="6">
        <f>MEDIAN(租金配对!L1764:L1766)</f>
        <v>0.0306451612903226</v>
      </c>
    </row>
    <row r="563" ht="21" customHeight="1" spans="1:12">
      <c r="A563" s="5" t="s">
        <v>16</v>
      </c>
      <c r="B563" s="6" t="s">
        <v>122</v>
      </c>
      <c r="C563" s="6" t="s">
        <v>152</v>
      </c>
      <c r="D563" s="6" t="s">
        <v>160</v>
      </c>
      <c r="E563" s="6" t="s">
        <v>1291</v>
      </c>
      <c r="F563" s="6" t="s">
        <v>181</v>
      </c>
      <c r="G563" s="6">
        <v>52.11</v>
      </c>
      <c r="H563" s="6">
        <v>88</v>
      </c>
      <c r="I563" s="6">
        <v>3</v>
      </c>
      <c r="J563" s="7">
        <f>MEDIAN(租金配对!K1758:K1760)</f>
        <v>0.0295509575170592</v>
      </c>
      <c r="K563" s="6" t="s">
        <v>1292</v>
      </c>
      <c r="L563" s="6">
        <f>MEDIAN(租金配对!L1758:L1760)</f>
        <v>0.0323863636363636</v>
      </c>
    </row>
    <row r="564" ht="21" customHeight="1" spans="1:12">
      <c r="A564" s="5" t="s">
        <v>16</v>
      </c>
      <c r="B564" s="6" t="s">
        <v>122</v>
      </c>
      <c r="C564" s="6" t="s">
        <v>152</v>
      </c>
      <c r="D564" s="6" t="s">
        <v>160</v>
      </c>
      <c r="E564" s="6" t="s">
        <v>1293</v>
      </c>
      <c r="F564" s="6" t="s">
        <v>181</v>
      </c>
      <c r="G564" s="6">
        <v>51.59</v>
      </c>
      <c r="H564" s="6">
        <v>92</v>
      </c>
      <c r="I564" s="6">
        <v>3</v>
      </c>
      <c r="J564" s="7">
        <f>MEDIAN(租金配对!K1761:K1763)</f>
        <v>0.0281871775976419</v>
      </c>
      <c r="K564" s="6" t="s">
        <v>1294</v>
      </c>
      <c r="L564" s="6">
        <f>MEDIAN(租金配对!L1761:L1763)</f>
        <v>0.0309782608695652</v>
      </c>
    </row>
    <row r="565" ht="21" customHeight="1" spans="1:12">
      <c r="A565" s="5" t="s">
        <v>16</v>
      </c>
      <c r="B565" s="6" t="s">
        <v>122</v>
      </c>
      <c r="C565" s="6" t="s">
        <v>152</v>
      </c>
      <c r="D565" s="6" t="s">
        <v>153</v>
      </c>
      <c r="E565" s="6" t="s">
        <v>1295</v>
      </c>
      <c r="F565" s="6" t="s">
        <v>181</v>
      </c>
      <c r="G565" s="6">
        <v>52.12</v>
      </c>
      <c r="H565" s="6">
        <v>105</v>
      </c>
      <c r="I565" s="6">
        <v>18</v>
      </c>
      <c r="J565" s="7">
        <f>MEDIAN(租金配对!K1767:K1784)</f>
        <v>0.0172777585610515</v>
      </c>
      <c r="K565" s="6" t="s">
        <v>1296</v>
      </c>
      <c r="L565" s="6">
        <f>MEDIAN(租金配对!L1767:L1784)</f>
        <v>0.0197142857142857</v>
      </c>
    </row>
    <row r="566" ht="21" customHeight="1" spans="1:12">
      <c r="A566" s="5" t="s">
        <v>16</v>
      </c>
      <c r="B566" s="6" t="s">
        <v>122</v>
      </c>
      <c r="C566" s="6" t="s">
        <v>152</v>
      </c>
      <c r="D566" s="6" t="s">
        <v>153</v>
      </c>
      <c r="E566" s="6" t="s">
        <v>1297</v>
      </c>
      <c r="F566" s="6" t="s">
        <v>181</v>
      </c>
      <c r="G566" s="6">
        <v>53.27</v>
      </c>
      <c r="H566" s="6">
        <v>94</v>
      </c>
      <c r="I566" s="6">
        <v>17</v>
      </c>
      <c r="J566" s="7">
        <f>MEDIAN(租金配对!K1785:K1801)</f>
        <v>0.0198212353819999</v>
      </c>
      <c r="K566" s="6" t="s">
        <v>1298</v>
      </c>
      <c r="L566" s="6">
        <f>MEDIAN(租金配对!L1785:L1801)</f>
        <v>0.0223404255319149</v>
      </c>
    </row>
    <row r="567" ht="21" customHeight="1" spans="1:12">
      <c r="A567" s="5" t="s">
        <v>16</v>
      </c>
      <c r="B567" s="6" t="s">
        <v>122</v>
      </c>
      <c r="C567" s="6" t="s">
        <v>152</v>
      </c>
      <c r="D567" s="6" t="s">
        <v>153</v>
      </c>
      <c r="E567" s="6" t="s">
        <v>1299</v>
      </c>
      <c r="F567" s="6" t="s">
        <v>178</v>
      </c>
      <c r="G567" s="6">
        <v>48.47</v>
      </c>
      <c r="H567" s="6">
        <v>115</v>
      </c>
      <c r="I567" s="6">
        <v>18</v>
      </c>
      <c r="J567" s="7">
        <f>MEDIAN(租金配对!K2108:K2125)</f>
        <v>0.0156174334140436</v>
      </c>
      <c r="K567" s="6" t="s">
        <v>1300</v>
      </c>
      <c r="L567" s="6">
        <f>MEDIAN(租金配对!L2108:L2125)</f>
        <v>0.018</v>
      </c>
    </row>
    <row r="568" ht="21" customHeight="1" spans="1:12">
      <c r="A568" s="5" t="s">
        <v>16</v>
      </c>
      <c r="B568" s="6" t="s">
        <v>122</v>
      </c>
      <c r="C568" s="6" t="s">
        <v>152</v>
      </c>
      <c r="D568" s="6" t="s">
        <v>153</v>
      </c>
      <c r="E568" s="6" t="s">
        <v>1301</v>
      </c>
      <c r="F568" s="6" t="s">
        <v>181</v>
      </c>
      <c r="G568" s="6">
        <v>50.44</v>
      </c>
      <c r="H568" s="6">
        <v>109</v>
      </c>
      <c r="I568" s="6">
        <v>18</v>
      </c>
      <c r="J568" s="7">
        <f>MEDIAN(租金配对!K1946:K1963)</f>
        <v>0.0165770708843326</v>
      </c>
      <c r="K568" s="6" t="s">
        <v>1302</v>
      </c>
      <c r="L568" s="6">
        <f>MEDIAN(租金配对!L1946:L1963)</f>
        <v>0.0189908256880734</v>
      </c>
    </row>
    <row r="569" ht="21" customHeight="1" spans="1:12">
      <c r="A569" s="5" t="s">
        <v>16</v>
      </c>
      <c r="B569" s="6" t="s">
        <v>122</v>
      </c>
      <c r="C569" s="6" t="s">
        <v>152</v>
      </c>
      <c r="D569" s="6" t="s">
        <v>153</v>
      </c>
      <c r="E569" s="6" t="s">
        <v>1303</v>
      </c>
      <c r="F569" s="6" t="s">
        <v>181</v>
      </c>
      <c r="G569" s="6">
        <v>51.33</v>
      </c>
      <c r="H569" s="6">
        <v>113</v>
      </c>
      <c r="I569" s="6">
        <v>18</v>
      </c>
      <c r="J569" s="7">
        <f>MEDIAN(租金配对!K1838:K1855)</f>
        <v>0.015925989414815</v>
      </c>
      <c r="K569" s="6" t="s">
        <v>1304</v>
      </c>
      <c r="L569" s="6">
        <f>MEDIAN(租金配对!L1838:L1855)</f>
        <v>0.0183185840707965</v>
      </c>
    </row>
    <row r="570" ht="21" customHeight="1" spans="1:12">
      <c r="A570" s="5" t="s">
        <v>16</v>
      </c>
      <c r="B570" s="6" t="s">
        <v>122</v>
      </c>
      <c r="C570" s="6" t="s">
        <v>152</v>
      </c>
      <c r="D570" s="6" t="s">
        <v>153</v>
      </c>
      <c r="E570" s="6" t="s">
        <v>1305</v>
      </c>
      <c r="F570" s="6" t="s">
        <v>181</v>
      </c>
      <c r="G570" s="6">
        <v>50.45</v>
      </c>
      <c r="H570" s="6">
        <v>109</v>
      </c>
      <c r="I570" s="6">
        <v>18</v>
      </c>
      <c r="J570" s="7">
        <f>MEDIAN(租金配对!K1928:K1945)</f>
        <v>0.0165770708843326</v>
      </c>
      <c r="K570" s="6" t="s">
        <v>1306</v>
      </c>
      <c r="L570" s="6">
        <f>MEDIAN(租金配对!L1928:L1945)</f>
        <v>0.0189908256880734</v>
      </c>
    </row>
    <row r="571" ht="21" customHeight="1" spans="1:12">
      <c r="A571" s="5" t="s">
        <v>16</v>
      </c>
      <c r="B571" s="6" t="s">
        <v>122</v>
      </c>
      <c r="C571" s="6" t="s">
        <v>152</v>
      </c>
      <c r="D571" s="6" t="s">
        <v>153</v>
      </c>
      <c r="E571" s="6" t="s">
        <v>1307</v>
      </c>
      <c r="F571" s="6" t="s">
        <v>178</v>
      </c>
      <c r="G571" s="6">
        <v>50.29</v>
      </c>
      <c r="H571" s="6">
        <v>118</v>
      </c>
      <c r="I571" s="6">
        <v>18</v>
      </c>
      <c r="J571" s="7">
        <f>MEDIAN(租金配对!K1910:K1927)</f>
        <v>0.015174211023105</v>
      </c>
      <c r="K571" s="6" t="s">
        <v>1308</v>
      </c>
      <c r="L571" s="6">
        <f>MEDIAN(租金配对!L1910:L1927)</f>
        <v>0.0175423728813559</v>
      </c>
    </row>
    <row r="572" ht="21" customHeight="1" spans="1:12">
      <c r="A572" s="5" t="s">
        <v>16</v>
      </c>
      <c r="B572" s="6" t="s">
        <v>122</v>
      </c>
      <c r="C572" s="6" t="s">
        <v>152</v>
      </c>
      <c r="D572" s="6" t="s">
        <v>153</v>
      </c>
      <c r="E572" s="6" t="s">
        <v>1309</v>
      </c>
      <c r="F572" s="6" t="s">
        <v>178</v>
      </c>
      <c r="G572" s="6">
        <v>49.97</v>
      </c>
      <c r="H572" s="6">
        <v>110</v>
      </c>
      <c r="I572" s="6">
        <v>18</v>
      </c>
      <c r="J572" s="7">
        <f>MEDIAN(租金配对!K2036:K2053)</f>
        <v>0.0164098613251156</v>
      </c>
      <c r="K572" s="6" t="s">
        <v>1310</v>
      </c>
      <c r="L572" s="6">
        <f>MEDIAN(租金配对!L2036:L2053)</f>
        <v>0.0188181818181818</v>
      </c>
    </row>
    <row r="573" ht="21" customHeight="1" spans="1:12">
      <c r="A573" s="5" t="s">
        <v>16</v>
      </c>
      <c r="B573" s="6" t="s">
        <v>122</v>
      </c>
      <c r="C573" s="6" t="s">
        <v>152</v>
      </c>
      <c r="D573" s="6" t="s">
        <v>153</v>
      </c>
      <c r="E573" s="6" t="s">
        <v>1311</v>
      </c>
      <c r="F573" s="6" t="s">
        <v>178</v>
      </c>
      <c r="G573" s="6">
        <v>50.84</v>
      </c>
      <c r="H573" s="6">
        <v>120</v>
      </c>
      <c r="I573" s="6">
        <v>18</v>
      </c>
      <c r="J573" s="7">
        <f>MEDIAN(租金配对!K1802:K1819)</f>
        <v>0.0148910411622276</v>
      </c>
      <c r="K573" s="6" t="s">
        <v>1312</v>
      </c>
      <c r="L573" s="6">
        <f>MEDIAN(租金配对!L1802:L1819)</f>
        <v>0.01725</v>
      </c>
    </row>
    <row r="574" ht="21" customHeight="1" spans="1:12">
      <c r="A574" s="5" t="s">
        <v>16</v>
      </c>
      <c r="B574" s="6" t="s">
        <v>122</v>
      </c>
      <c r="C574" s="6" t="s">
        <v>152</v>
      </c>
      <c r="D574" s="6" t="s">
        <v>153</v>
      </c>
      <c r="E574" s="6" t="s">
        <v>1313</v>
      </c>
      <c r="F574" s="6" t="s">
        <v>181</v>
      </c>
      <c r="G574" s="6">
        <v>48.95</v>
      </c>
      <c r="H574" s="6">
        <v>115</v>
      </c>
      <c r="I574" s="6">
        <v>18</v>
      </c>
      <c r="J574" s="7">
        <f>MEDIAN(租金配对!K2018:K2035)</f>
        <v>0.0156174334140436</v>
      </c>
      <c r="K574" s="6" t="s">
        <v>1314</v>
      </c>
      <c r="L574" s="6">
        <f>MEDIAN(租金配对!L2018:L2035)</f>
        <v>0.018</v>
      </c>
    </row>
    <row r="575" ht="21" customHeight="1" spans="1:12">
      <c r="A575" s="5" t="s">
        <v>16</v>
      </c>
      <c r="B575" s="6" t="s">
        <v>122</v>
      </c>
      <c r="C575" s="6" t="s">
        <v>152</v>
      </c>
      <c r="D575" s="6" t="s">
        <v>153</v>
      </c>
      <c r="E575" s="6" t="s">
        <v>1315</v>
      </c>
      <c r="F575" s="6" t="s">
        <v>181</v>
      </c>
      <c r="G575" s="6">
        <v>47.53</v>
      </c>
      <c r="H575" s="6">
        <v>112</v>
      </c>
      <c r="I575" s="6">
        <v>18</v>
      </c>
      <c r="J575" s="7">
        <f>MEDIAN(租金配对!K2072:K2089)</f>
        <v>0.0160843998616396</v>
      </c>
      <c r="K575" s="6" t="s">
        <v>1316</v>
      </c>
      <c r="L575" s="6">
        <f>MEDIAN(租金配对!L2072:L2089)</f>
        <v>0.0184821428571429</v>
      </c>
    </row>
    <row r="576" ht="21" customHeight="1" spans="1:12">
      <c r="A576" s="5" t="s">
        <v>16</v>
      </c>
      <c r="B576" s="6" t="s">
        <v>122</v>
      </c>
      <c r="C576" s="6" t="s">
        <v>152</v>
      </c>
      <c r="D576" s="6" t="s">
        <v>153</v>
      </c>
      <c r="E576" s="6" t="s">
        <v>1317</v>
      </c>
      <c r="F576" s="6" t="s">
        <v>178</v>
      </c>
      <c r="G576" s="6">
        <v>49.27</v>
      </c>
      <c r="H576" s="6">
        <v>120</v>
      </c>
      <c r="I576" s="6">
        <v>18</v>
      </c>
      <c r="J576" s="7">
        <f>MEDIAN(租金配对!K2000:K2017)</f>
        <v>0.0148910411622276</v>
      </c>
      <c r="K576" s="6" t="s">
        <v>1318</v>
      </c>
      <c r="L576" s="6">
        <f>MEDIAN(租金配对!L2000:L2017)</f>
        <v>0.01725</v>
      </c>
    </row>
    <row r="577" ht="21" customHeight="1" spans="1:12">
      <c r="A577" s="5" t="s">
        <v>16</v>
      </c>
      <c r="B577" s="6" t="s">
        <v>122</v>
      </c>
      <c r="C577" s="6" t="s">
        <v>152</v>
      </c>
      <c r="D577" s="6" t="s">
        <v>153</v>
      </c>
      <c r="E577" s="6" t="s">
        <v>1319</v>
      </c>
      <c r="F577" s="6" t="s">
        <v>178</v>
      </c>
      <c r="G577" s="6">
        <v>47.92</v>
      </c>
      <c r="H577" s="6">
        <v>118</v>
      </c>
      <c r="I577" s="6">
        <v>18</v>
      </c>
      <c r="J577" s="7">
        <f>MEDIAN(租金配对!K2054:K2071)</f>
        <v>0.015174211023105</v>
      </c>
      <c r="K577" s="6" t="s">
        <v>1320</v>
      </c>
      <c r="L577" s="6">
        <f>MEDIAN(租金配对!L2054:L2071)</f>
        <v>0.0175423728813559</v>
      </c>
    </row>
    <row r="578" ht="21" customHeight="1" spans="1:12">
      <c r="A578" s="5" t="s">
        <v>16</v>
      </c>
      <c r="B578" s="6" t="s">
        <v>122</v>
      </c>
      <c r="C578" s="6" t="s">
        <v>152</v>
      </c>
      <c r="D578" s="6" t="s">
        <v>153</v>
      </c>
      <c r="E578" s="6" t="s">
        <v>1321</v>
      </c>
      <c r="F578" s="6" t="s">
        <v>178</v>
      </c>
      <c r="G578" s="6">
        <v>50.02</v>
      </c>
      <c r="H578" s="6">
        <v>119</v>
      </c>
      <c r="I578" s="6">
        <v>18</v>
      </c>
      <c r="J578" s="7">
        <f>MEDIAN(租金配对!K1820:K1837)</f>
        <v>0.0150314363033349</v>
      </c>
      <c r="K578" s="6" t="s">
        <v>1322</v>
      </c>
      <c r="L578" s="6">
        <f>MEDIAN(租金配对!L1820:L1837)</f>
        <v>0.0173949579831933</v>
      </c>
    </row>
    <row r="579" ht="21" customHeight="1" spans="1:12">
      <c r="A579" s="5" t="s">
        <v>16</v>
      </c>
      <c r="B579" s="6" t="s">
        <v>122</v>
      </c>
      <c r="C579" s="6" t="s">
        <v>152</v>
      </c>
      <c r="D579" s="6" t="s">
        <v>153</v>
      </c>
      <c r="E579" s="6" t="s">
        <v>1323</v>
      </c>
      <c r="F579" s="6" t="s">
        <v>178</v>
      </c>
      <c r="G579" s="6">
        <v>48.47</v>
      </c>
      <c r="H579" s="6">
        <v>120</v>
      </c>
      <c r="I579" s="6">
        <v>18</v>
      </c>
      <c r="J579" s="7">
        <f>MEDIAN(租金配对!K1982:K1999)</f>
        <v>0.0148910411622276</v>
      </c>
      <c r="K579" s="6" t="s">
        <v>1324</v>
      </c>
      <c r="L579" s="6">
        <f>MEDIAN(租金配对!L1982:L1999)</f>
        <v>0.01725</v>
      </c>
    </row>
    <row r="580" ht="21" customHeight="1" spans="1:12">
      <c r="A580" s="5" t="s">
        <v>16</v>
      </c>
      <c r="B580" s="6" t="s">
        <v>122</v>
      </c>
      <c r="C580" s="6" t="s">
        <v>152</v>
      </c>
      <c r="D580" s="6" t="s">
        <v>153</v>
      </c>
      <c r="E580" s="6" t="s">
        <v>1325</v>
      </c>
      <c r="F580" s="6" t="s">
        <v>181</v>
      </c>
      <c r="G580" s="6">
        <v>50.13</v>
      </c>
      <c r="H580" s="6">
        <v>120</v>
      </c>
      <c r="I580" s="6">
        <v>18</v>
      </c>
      <c r="J580" s="7">
        <f>MEDIAN(租金配对!K1892:K1909)</f>
        <v>0.0148910411622276</v>
      </c>
      <c r="K580" s="6" t="s">
        <v>1326</v>
      </c>
      <c r="L580" s="6">
        <f>MEDIAN(租金配对!L1892:L1909)</f>
        <v>0.01725</v>
      </c>
    </row>
    <row r="581" ht="21" customHeight="1" spans="1:12">
      <c r="A581" s="5" t="s">
        <v>16</v>
      </c>
      <c r="B581" s="6" t="s">
        <v>122</v>
      </c>
      <c r="C581" s="6" t="s">
        <v>152</v>
      </c>
      <c r="D581" s="6" t="s">
        <v>153</v>
      </c>
      <c r="E581" s="6" t="s">
        <v>1327</v>
      </c>
      <c r="F581" s="6" t="s">
        <v>178</v>
      </c>
      <c r="G581" s="6">
        <v>47.92</v>
      </c>
      <c r="H581" s="6">
        <v>110</v>
      </c>
      <c r="I581" s="6">
        <v>18</v>
      </c>
      <c r="J581" s="7">
        <f>MEDIAN(租金配对!K2198:K2215)</f>
        <v>0.0164098613251156</v>
      </c>
      <c r="K581" s="6" t="s">
        <v>1328</v>
      </c>
      <c r="L581" s="6">
        <f>MEDIAN(租金配对!L2198:L2215)</f>
        <v>0.0188181818181818</v>
      </c>
    </row>
    <row r="582" ht="21" customHeight="1" spans="1:12">
      <c r="A582" s="5" t="s">
        <v>16</v>
      </c>
      <c r="B582" s="6" t="s">
        <v>122</v>
      </c>
      <c r="C582" s="6" t="s">
        <v>152</v>
      </c>
      <c r="D582" s="6" t="s">
        <v>153</v>
      </c>
      <c r="E582" s="6" t="s">
        <v>1329</v>
      </c>
      <c r="F582" s="6" t="s">
        <v>178</v>
      </c>
      <c r="G582" s="6">
        <v>47.92</v>
      </c>
      <c r="H582" s="6">
        <v>112</v>
      </c>
      <c r="I582" s="6">
        <v>18</v>
      </c>
      <c r="J582" s="7">
        <f>MEDIAN(租金配对!K2090:K2107)</f>
        <v>0.0160843998616396</v>
      </c>
      <c r="K582" s="6" t="s">
        <v>1330</v>
      </c>
      <c r="L582" s="6">
        <f>MEDIAN(租金配对!L2090:L2107)</f>
        <v>0.0184821428571429</v>
      </c>
    </row>
    <row r="583" ht="21" customHeight="1" spans="1:12">
      <c r="A583" s="5" t="s">
        <v>16</v>
      </c>
      <c r="B583" s="6" t="s">
        <v>122</v>
      </c>
      <c r="C583" s="6" t="s">
        <v>152</v>
      </c>
      <c r="D583" s="6" t="s">
        <v>153</v>
      </c>
      <c r="E583" s="6" t="s">
        <v>1331</v>
      </c>
      <c r="F583" s="6" t="s">
        <v>181</v>
      </c>
      <c r="G583" s="6">
        <v>49.88</v>
      </c>
      <c r="H583" s="6">
        <v>119.8</v>
      </c>
      <c r="I583" s="6">
        <v>18</v>
      </c>
      <c r="J583" s="7">
        <f>MEDIAN(租金配对!K2126:K2143)</f>
        <v>0.0149189326844175</v>
      </c>
      <c r="K583" s="6" t="s">
        <v>1332</v>
      </c>
      <c r="L583" s="6">
        <f>MEDIAN(租金配对!L2126:L2143)</f>
        <v>0.0172787979966611</v>
      </c>
    </row>
    <row r="584" ht="21" customHeight="1" spans="1:12">
      <c r="A584" s="5" t="s">
        <v>16</v>
      </c>
      <c r="B584" s="6" t="s">
        <v>122</v>
      </c>
      <c r="C584" s="6" t="s">
        <v>152</v>
      </c>
      <c r="D584" s="6" t="s">
        <v>153</v>
      </c>
      <c r="E584" s="6" t="s">
        <v>1333</v>
      </c>
      <c r="F584" s="6" t="s">
        <v>178</v>
      </c>
      <c r="G584" s="6">
        <v>49.97</v>
      </c>
      <c r="H584" s="6">
        <v>109</v>
      </c>
      <c r="I584" s="6">
        <v>18</v>
      </c>
      <c r="J584" s="7">
        <f>MEDIAN(租金配对!K1964:K1981)</f>
        <v>0.0165770708843326</v>
      </c>
      <c r="K584" s="6" t="s">
        <v>1334</v>
      </c>
      <c r="L584" s="6">
        <f>MEDIAN(租金配对!L1964:L1981)</f>
        <v>0.0189908256880734</v>
      </c>
    </row>
    <row r="585" ht="21" customHeight="1" spans="1:12">
      <c r="A585" s="5" t="s">
        <v>16</v>
      </c>
      <c r="B585" s="6" t="s">
        <v>122</v>
      </c>
      <c r="C585" s="6" t="s">
        <v>152</v>
      </c>
      <c r="D585" s="6" t="s">
        <v>153</v>
      </c>
      <c r="E585" s="6" t="s">
        <v>1335</v>
      </c>
      <c r="F585" s="6" t="s">
        <v>178</v>
      </c>
      <c r="G585" s="6">
        <v>51.15</v>
      </c>
      <c r="H585" s="6">
        <v>118</v>
      </c>
      <c r="I585" s="6">
        <v>18</v>
      </c>
      <c r="J585" s="7">
        <f>MEDIAN(租金配对!K1856:K1873)</f>
        <v>0.015174211023105</v>
      </c>
      <c r="K585" s="6" t="s">
        <v>1336</v>
      </c>
      <c r="L585" s="6">
        <f>MEDIAN(租金配对!L1856:L1873)</f>
        <v>0.0175423728813559</v>
      </c>
    </row>
    <row r="586" ht="21" customHeight="1" spans="1:12">
      <c r="A586" s="5" t="s">
        <v>16</v>
      </c>
      <c r="B586" s="6" t="s">
        <v>122</v>
      </c>
      <c r="C586" s="6" t="s">
        <v>152</v>
      </c>
      <c r="D586" s="6" t="s">
        <v>153</v>
      </c>
      <c r="E586" s="6" t="s">
        <v>1337</v>
      </c>
      <c r="F586" s="6" t="s">
        <v>181</v>
      </c>
      <c r="G586" s="6">
        <v>49.89</v>
      </c>
      <c r="H586" s="6">
        <v>118</v>
      </c>
      <c r="I586" s="6">
        <v>18</v>
      </c>
      <c r="J586" s="7">
        <f>MEDIAN(租金配对!K2180:K2197)</f>
        <v>0.015174211023105</v>
      </c>
      <c r="K586" s="6" t="s">
        <v>1338</v>
      </c>
      <c r="L586" s="6">
        <f>MEDIAN(租金配对!L2180:L2197)</f>
        <v>0.0175423728813559</v>
      </c>
    </row>
    <row r="587" ht="21" customHeight="1" spans="1:12">
      <c r="A587" s="5" t="s">
        <v>16</v>
      </c>
      <c r="B587" s="6" t="s">
        <v>122</v>
      </c>
      <c r="C587" s="6" t="s">
        <v>152</v>
      </c>
      <c r="D587" s="6" t="s">
        <v>153</v>
      </c>
      <c r="E587" s="6" t="s">
        <v>1339</v>
      </c>
      <c r="F587" s="6" t="s">
        <v>178</v>
      </c>
      <c r="G587" s="6">
        <v>50.29</v>
      </c>
      <c r="H587" s="6">
        <v>109</v>
      </c>
      <c r="I587" s="6">
        <v>18</v>
      </c>
      <c r="J587" s="7">
        <f>MEDIAN(租金配对!K1874:K1891)</f>
        <v>0.0165770708843326</v>
      </c>
      <c r="K587" s="6" t="s">
        <v>1340</v>
      </c>
      <c r="L587" s="6">
        <f>MEDIAN(租金配对!L1874:L1891)</f>
        <v>0.0189908256880734</v>
      </c>
    </row>
    <row r="588" ht="21" customHeight="1" spans="1:12">
      <c r="A588" s="5" t="s">
        <v>16</v>
      </c>
      <c r="B588" s="6" t="s">
        <v>122</v>
      </c>
      <c r="C588" s="6" t="s">
        <v>152</v>
      </c>
      <c r="D588" s="6" t="s">
        <v>153</v>
      </c>
      <c r="E588" s="6" t="s">
        <v>1341</v>
      </c>
      <c r="F588" s="6" t="s">
        <v>181</v>
      </c>
      <c r="G588" s="6">
        <v>48.36</v>
      </c>
      <c r="H588" s="6">
        <v>108</v>
      </c>
      <c r="I588" s="6">
        <v>18</v>
      </c>
      <c r="J588" s="7">
        <f>MEDIAN(租金配对!K2162:K2179)</f>
        <v>0.0167473769168684</v>
      </c>
      <c r="K588" s="6" t="s">
        <v>1342</v>
      </c>
      <c r="L588" s="6">
        <f>MEDIAN(租金配对!L2162:L2179)</f>
        <v>0.0191666666666667</v>
      </c>
    </row>
    <row r="589" ht="21" customHeight="1" spans="1:12">
      <c r="A589" s="5" t="s">
        <v>16</v>
      </c>
      <c r="B589" s="6" t="s">
        <v>122</v>
      </c>
      <c r="C589" s="6" t="s">
        <v>152</v>
      </c>
      <c r="D589" s="6" t="s">
        <v>153</v>
      </c>
      <c r="E589" s="6" t="s">
        <v>1343</v>
      </c>
      <c r="F589" s="6" t="s">
        <v>178</v>
      </c>
      <c r="G589" s="6">
        <v>49.96</v>
      </c>
      <c r="H589" s="6">
        <v>120</v>
      </c>
      <c r="I589" s="6">
        <v>18</v>
      </c>
      <c r="J589" s="7">
        <f>MEDIAN(租金配对!K2144:K2161)</f>
        <v>0.0148910411622276</v>
      </c>
      <c r="K589" s="6" t="s">
        <v>1344</v>
      </c>
      <c r="L589" s="6">
        <f>MEDIAN(租金配对!L2144:L2161)</f>
        <v>0.01725</v>
      </c>
    </row>
    <row r="590" ht="21" customHeight="1" spans="1:12">
      <c r="A590" s="5" t="s">
        <v>16</v>
      </c>
      <c r="B590" s="6" t="s">
        <v>122</v>
      </c>
      <c r="C590" s="6" t="s">
        <v>152</v>
      </c>
      <c r="D590" s="6" t="s">
        <v>155</v>
      </c>
      <c r="E590" s="6" t="s">
        <v>1345</v>
      </c>
      <c r="F590" s="6" t="s">
        <v>178</v>
      </c>
      <c r="G590" s="6">
        <v>50.13</v>
      </c>
      <c r="H590" s="6">
        <v>113</v>
      </c>
      <c r="I590" s="6">
        <v>9</v>
      </c>
      <c r="J590" s="7">
        <f>MEDIAN(租金配对!K2216:K2224)</f>
        <v>0.0230399194325998</v>
      </c>
      <c r="K590" s="6" t="s">
        <v>1346</v>
      </c>
      <c r="L590" s="6">
        <f>MEDIAN(租金配对!L2216:L2224)</f>
        <v>0.0256637168141593</v>
      </c>
    </row>
    <row r="591" ht="21" customHeight="1" spans="1:12">
      <c r="A591" s="5" t="s">
        <v>16</v>
      </c>
      <c r="B591" s="6" t="s">
        <v>122</v>
      </c>
      <c r="C591" s="6" t="s">
        <v>152</v>
      </c>
      <c r="D591" s="6" t="s">
        <v>155</v>
      </c>
      <c r="E591" s="6" t="s">
        <v>1347</v>
      </c>
      <c r="F591" s="6" t="s">
        <v>178</v>
      </c>
      <c r="G591" s="6">
        <v>47.53</v>
      </c>
      <c r="H591" s="6">
        <v>119</v>
      </c>
      <c r="I591" s="6">
        <v>6</v>
      </c>
      <c r="J591" s="7">
        <f>MEDIAN(租金配对!K2225:K2230)</f>
        <v>0.0221936232119967</v>
      </c>
      <c r="K591" s="6" t="s">
        <v>1348</v>
      </c>
      <c r="L591" s="6">
        <f>MEDIAN(租金配对!L2225:L2230)</f>
        <v>0.0247899159663866</v>
      </c>
    </row>
    <row r="592" ht="21" customHeight="1" spans="1:12">
      <c r="A592" s="5" t="s">
        <v>16</v>
      </c>
      <c r="B592" s="6" t="s">
        <v>122</v>
      </c>
      <c r="C592" s="6" t="s">
        <v>152</v>
      </c>
      <c r="D592" s="6" t="s">
        <v>155</v>
      </c>
      <c r="E592" s="6" t="s">
        <v>1349</v>
      </c>
      <c r="F592" s="6" t="s">
        <v>181</v>
      </c>
      <c r="G592" s="6">
        <v>47.53</v>
      </c>
      <c r="H592" s="6">
        <v>118</v>
      </c>
      <c r="I592" s="6">
        <v>6</v>
      </c>
      <c r="J592" s="7">
        <f>MEDIAN(租金配对!K2231:K2236)</f>
        <v>0.0223970944309927</v>
      </c>
      <c r="K592" s="6" t="s">
        <v>1350</v>
      </c>
      <c r="L592" s="6">
        <f>MEDIAN(租金配对!L2231:L2236)</f>
        <v>0.025</v>
      </c>
    </row>
    <row r="593" ht="21" customHeight="1" spans="1:12">
      <c r="A593" s="5" t="s">
        <v>16</v>
      </c>
      <c r="B593" s="6" t="s">
        <v>122</v>
      </c>
      <c r="C593" s="6" t="s">
        <v>159</v>
      </c>
      <c r="D593" s="6" t="s">
        <v>160</v>
      </c>
      <c r="E593" s="6" t="s">
        <v>1351</v>
      </c>
      <c r="F593" s="6" t="s">
        <v>181</v>
      </c>
      <c r="G593" s="6">
        <v>21.69</v>
      </c>
      <c r="H593" s="6">
        <v>83</v>
      </c>
      <c r="I593" s="6">
        <v>1</v>
      </c>
      <c r="J593" s="7">
        <f>MEDIAN(租金配对!K1628:K1628)</f>
        <v>0.0133536567577817</v>
      </c>
      <c r="K593" s="6" t="s">
        <v>1352</v>
      </c>
      <c r="L593" s="6">
        <f>MEDIAN(租金配对!L1628:L1628)</f>
        <v>0.0156626506024096</v>
      </c>
    </row>
    <row r="594" ht="21" customHeight="1" spans="1:12">
      <c r="A594" s="5" t="s">
        <v>16</v>
      </c>
      <c r="B594" s="6" t="s">
        <v>122</v>
      </c>
      <c r="C594" s="6" t="s">
        <v>159</v>
      </c>
      <c r="D594" s="6" t="s">
        <v>160</v>
      </c>
      <c r="E594" s="6" t="s">
        <v>1353</v>
      </c>
      <c r="F594" s="6" t="s">
        <v>178</v>
      </c>
      <c r="G594" s="6">
        <v>29.14</v>
      </c>
      <c r="H594" s="6">
        <v>113</v>
      </c>
      <c r="I594" s="6">
        <v>7</v>
      </c>
      <c r="J594" s="7">
        <f>MEDIAN(租金配对!K1638:K1644)</f>
        <v>0.0110405194026013</v>
      </c>
      <c r="K594" s="6" t="s">
        <v>1354</v>
      </c>
      <c r="L594" s="6">
        <f>MEDIAN(租金配对!L1638:L1644)</f>
        <v>0.0132743362831858</v>
      </c>
    </row>
    <row r="595" ht="21" customHeight="1" spans="1:12">
      <c r="A595" s="5" t="s">
        <v>16</v>
      </c>
      <c r="B595" s="6" t="s">
        <v>122</v>
      </c>
      <c r="C595" s="6" t="s">
        <v>159</v>
      </c>
      <c r="D595" s="6" t="s">
        <v>160</v>
      </c>
      <c r="E595" s="6" t="s">
        <v>1355</v>
      </c>
      <c r="F595" s="6" t="s">
        <v>178</v>
      </c>
      <c r="G595" s="6">
        <v>29.4</v>
      </c>
      <c r="H595" s="6">
        <v>97</v>
      </c>
      <c r="I595" s="6">
        <v>7</v>
      </c>
      <c r="J595" s="7">
        <f>MEDIAN(租金配对!K1747:K1753)</f>
        <v>0.0131611792017174</v>
      </c>
      <c r="K595" s="6" t="s">
        <v>1356</v>
      </c>
      <c r="L595" s="6">
        <f>MEDIAN(租金配对!L1747:L1753)</f>
        <v>0.0154639175257732</v>
      </c>
    </row>
    <row r="596" ht="21" customHeight="1" spans="1:12">
      <c r="A596" s="5" t="s">
        <v>16</v>
      </c>
      <c r="B596" s="6" t="s">
        <v>122</v>
      </c>
      <c r="C596" s="6" t="s">
        <v>159</v>
      </c>
      <c r="D596" s="6" t="s">
        <v>160</v>
      </c>
      <c r="E596" s="6" t="s">
        <v>1357</v>
      </c>
      <c r="F596" s="6" t="s">
        <v>178</v>
      </c>
      <c r="G596" s="6">
        <v>30.71</v>
      </c>
      <c r="H596" s="6">
        <v>114.5</v>
      </c>
      <c r="I596" s="6">
        <v>8</v>
      </c>
      <c r="J596" s="7">
        <f>MEDIAN(租金配对!K1658:K1665)</f>
        <v>0.0119294331602821</v>
      </c>
      <c r="K596" s="6" t="s">
        <v>1358</v>
      </c>
      <c r="L596" s="6">
        <f>MEDIAN(租金配对!L1658:L1665)</f>
        <v>0.0141921397379913</v>
      </c>
    </row>
    <row r="597" ht="21" customHeight="1" spans="1:12">
      <c r="A597" s="5" t="s">
        <v>16</v>
      </c>
      <c r="B597" s="6" t="s">
        <v>122</v>
      </c>
      <c r="C597" s="6" t="s">
        <v>159</v>
      </c>
      <c r="D597" s="6" t="s">
        <v>160</v>
      </c>
      <c r="E597" s="6" t="s">
        <v>1359</v>
      </c>
      <c r="F597" s="6" t="s">
        <v>181</v>
      </c>
      <c r="G597" s="6">
        <v>33.34</v>
      </c>
      <c r="H597" s="6">
        <v>102</v>
      </c>
      <c r="I597" s="6">
        <v>8</v>
      </c>
      <c r="J597" s="7">
        <f>MEDIAN(租金配对!K1720:K1727)</f>
        <v>0.0136139201443289</v>
      </c>
      <c r="K597" s="6" t="s">
        <v>1360</v>
      </c>
      <c r="L597" s="6">
        <f>MEDIAN(租金配对!L1720:L1727)</f>
        <v>0.0159313725490196</v>
      </c>
    </row>
    <row r="598" ht="21" customHeight="1" spans="1:12">
      <c r="A598" s="5" t="s">
        <v>16</v>
      </c>
      <c r="B598" s="6" t="s">
        <v>122</v>
      </c>
      <c r="C598" s="6" t="s">
        <v>159</v>
      </c>
      <c r="D598" s="6" t="s">
        <v>160</v>
      </c>
      <c r="E598" s="6" t="s">
        <v>1361</v>
      </c>
      <c r="F598" s="6" t="s">
        <v>178</v>
      </c>
      <c r="G598" s="6">
        <v>33.42</v>
      </c>
      <c r="H598" s="6">
        <v>112</v>
      </c>
      <c r="I598" s="6">
        <v>8</v>
      </c>
      <c r="J598" s="7">
        <f>MEDIAN(租金配对!K1645:K1652)</f>
        <v>0.0122362504323763</v>
      </c>
      <c r="K598" s="6" t="s">
        <v>1362</v>
      </c>
      <c r="L598" s="6">
        <f>MEDIAN(租金配对!L1645:L1652)</f>
        <v>0.0145089285714286</v>
      </c>
    </row>
    <row r="599" ht="21" customHeight="1" spans="1:12">
      <c r="A599" s="5" t="s">
        <v>16</v>
      </c>
      <c r="B599" s="6" t="s">
        <v>122</v>
      </c>
      <c r="C599" s="6" t="s">
        <v>159</v>
      </c>
      <c r="D599" s="6" t="s">
        <v>160</v>
      </c>
      <c r="E599" s="6" t="s">
        <v>1363</v>
      </c>
      <c r="F599" s="6" t="s">
        <v>181</v>
      </c>
      <c r="G599" s="6">
        <v>31</v>
      </c>
      <c r="H599" s="6">
        <v>100</v>
      </c>
      <c r="I599" s="6">
        <v>8</v>
      </c>
      <c r="J599" s="7">
        <f>MEDIAN(租金配对!K1681:K1688)</f>
        <v>0.0139225181598063</v>
      </c>
      <c r="K599" s="6" t="s">
        <v>1364</v>
      </c>
      <c r="L599" s="6">
        <f>MEDIAN(租金配对!L1681:L1688)</f>
        <v>0.01625</v>
      </c>
    </row>
    <row r="600" ht="21" customHeight="1" spans="1:12">
      <c r="A600" s="5" t="s">
        <v>16</v>
      </c>
      <c r="B600" s="6" t="s">
        <v>122</v>
      </c>
      <c r="C600" s="6" t="s">
        <v>159</v>
      </c>
      <c r="D600" s="6" t="s">
        <v>160</v>
      </c>
      <c r="E600" s="6" t="s">
        <v>1365</v>
      </c>
      <c r="F600" s="6" t="s">
        <v>178</v>
      </c>
      <c r="G600" s="6">
        <v>33.85</v>
      </c>
      <c r="H600" s="6">
        <v>99</v>
      </c>
      <c r="I600" s="6">
        <v>8</v>
      </c>
      <c r="J600" s="7">
        <f>MEDIAN(租金配对!K1630:K1637)</f>
        <v>0.0140814928950522</v>
      </c>
      <c r="K600" s="6" t="s">
        <v>1366</v>
      </c>
      <c r="L600" s="6">
        <f>MEDIAN(租金配对!L1630:L1637)</f>
        <v>0.0164141414141414</v>
      </c>
    </row>
    <row r="601" ht="21" customHeight="1" spans="1:12">
      <c r="A601" s="5" t="s">
        <v>16</v>
      </c>
      <c r="B601" s="6" t="s">
        <v>122</v>
      </c>
      <c r="C601" s="6" t="s">
        <v>159</v>
      </c>
      <c r="D601" s="6" t="s">
        <v>160</v>
      </c>
      <c r="E601" s="6" t="s">
        <v>1367</v>
      </c>
      <c r="F601" s="6" t="s">
        <v>181</v>
      </c>
      <c r="G601" s="6">
        <v>30.09</v>
      </c>
      <c r="H601" s="6">
        <v>92</v>
      </c>
      <c r="I601" s="6">
        <v>8</v>
      </c>
      <c r="J601" s="7">
        <f>MEDIAN(租金配对!K1704:K1711)</f>
        <v>0.0152910832719234</v>
      </c>
      <c r="K601" s="6" t="s">
        <v>1368</v>
      </c>
      <c r="L601" s="6">
        <f>MEDIAN(租金配对!L1704:L1711)</f>
        <v>0.0176630434782609</v>
      </c>
    </row>
    <row r="602" ht="21" customHeight="1" spans="1:12">
      <c r="A602" s="5" t="s">
        <v>16</v>
      </c>
      <c r="B602" s="6" t="s">
        <v>122</v>
      </c>
      <c r="C602" s="6" t="s">
        <v>159</v>
      </c>
      <c r="D602" s="6" t="s">
        <v>160</v>
      </c>
      <c r="E602" s="6" t="s">
        <v>1369</v>
      </c>
      <c r="F602" s="6" t="s">
        <v>181</v>
      </c>
      <c r="G602" s="6">
        <v>29.38</v>
      </c>
      <c r="H602" s="6">
        <v>96</v>
      </c>
      <c r="I602" s="6">
        <v>7</v>
      </c>
      <c r="J602" s="7">
        <f>MEDIAN(租金配对!K1740:K1746)</f>
        <v>0.013317191283293</v>
      </c>
      <c r="K602" s="6" t="s">
        <v>1370</v>
      </c>
      <c r="L602" s="6">
        <f>MEDIAN(租金配对!L1740:L1746)</f>
        <v>0.015625</v>
      </c>
    </row>
    <row r="603" ht="21" customHeight="1" spans="1:12">
      <c r="A603" s="5" t="s">
        <v>16</v>
      </c>
      <c r="B603" s="6" t="s">
        <v>122</v>
      </c>
      <c r="C603" s="6" t="s">
        <v>159</v>
      </c>
      <c r="D603" s="6" t="s">
        <v>160</v>
      </c>
      <c r="E603" s="6" t="s">
        <v>1371</v>
      </c>
      <c r="F603" s="6" t="s">
        <v>178</v>
      </c>
      <c r="G603" s="6">
        <v>33.69</v>
      </c>
      <c r="H603" s="6">
        <v>115</v>
      </c>
      <c r="I603" s="6">
        <v>8</v>
      </c>
      <c r="J603" s="7">
        <f>MEDIAN(租金配对!K1673:K1680)</f>
        <v>0.0118696704916307</v>
      </c>
      <c r="K603" s="6" t="s">
        <v>1372</v>
      </c>
      <c r="L603" s="6">
        <f>MEDIAN(租金配对!L1673:L1680)</f>
        <v>0.0141304347826087</v>
      </c>
    </row>
    <row r="604" ht="21" customHeight="1" spans="1:12">
      <c r="A604" s="5" t="s">
        <v>16</v>
      </c>
      <c r="B604" s="6" t="s">
        <v>122</v>
      </c>
      <c r="C604" s="6" t="s">
        <v>159</v>
      </c>
      <c r="D604" s="6" t="s">
        <v>160</v>
      </c>
      <c r="E604" s="6" t="s">
        <v>1373</v>
      </c>
      <c r="F604" s="6" t="s">
        <v>181</v>
      </c>
      <c r="G604" s="6">
        <v>28.27</v>
      </c>
      <c r="H604" s="6">
        <v>106</v>
      </c>
      <c r="I604" s="6">
        <v>5</v>
      </c>
      <c r="J604" s="7">
        <f>MEDIAN(租金配对!K1653:K1657)</f>
        <v>0.0118895335556672</v>
      </c>
      <c r="K604" s="6" t="s">
        <v>1374</v>
      </c>
      <c r="L604" s="6">
        <f>MEDIAN(租金配对!L1653:L1657)</f>
        <v>0.0141509433962264</v>
      </c>
    </row>
    <row r="605" ht="21" customHeight="1" spans="1:12">
      <c r="A605" s="5" t="s">
        <v>16</v>
      </c>
      <c r="B605" s="6" t="s">
        <v>122</v>
      </c>
      <c r="C605" s="6" t="s">
        <v>159</v>
      </c>
      <c r="D605" s="6" t="s">
        <v>160</v>
      </c>
      <c r="E605" s="6" t="s">
        <v>1375</v>
      </c>
      <c r="F605" s="6" t="s">
        <v>178</v>
      </c>
      <c r="G605" s="6">
        <v>29.4</v>
      </c>
      <c r="H605" s="6">
        <v>94</v>
      </c>
      <c r="I605" s="6">
        <v>7</v>
      </c>
      <c r="J605" s="7">
        <f>MEDIAN(租金配对!K1666:K1672)</f>
        <v>0.0136391736644171</v>
      </c>
      <c r="K605" s="6" t="s">
        <v>1376</v>
      </c>
      <c r="L605" s="6">
        <f>MEDIAN(租金配对!L1666:L1672)</f>
        <v>0.0159574468085106</v>
      </c>
    </row>
    <row r="606" ht="21" customHeight="1" spans="1:12">
      <c r="A606" s="5" t="s">
        <v>16</v>
      </c>
      <c r="B606" s="6" t="s">
        <v>122</v>
      </c>
      <c r="C606" s="6" t="s">
        <v>159</v>
      </c>
      <c r="D606" s="6" t="s">
        <v>160</v>
      </c>
      <c r="E606" s="6" t="s">
        <v>1377</v>
      </c>
      <c r="F606" s="6" t="s">
        <v>181</v>
      </c>
      <c r="G606" s="6">
        <v>28.46</v>
      </c>
      <c r="H606" s="6">
        <v>92</v>
      </c>
      <c r="I606" s="6">
        <v>5</v>
      </c>
      <c r="J606" s="7">
        <f>MEDIAN(租金配对!K1728:K1732)</f>
        <v>0.0139751552795031</v>
      </c>
      <c r="K606" s="6" t="s">
        <v>1378</v>
      </c>
      <c r="L606" s="6">
        <f>MEDIAN(租金配对!L1728:L1732)</f>
        <v>0.016304347826087</v>
      </c>
    </row>
    <row r="607" ht="21" customHeight="1" spans="1:12">
      <c r="A607" s="5" t="s">
        <v>16</v>
      </c>
      <c r="B607" s="6" t="s">
        <v>122</v>
      </c>
      <c r="C607" s="6" t="s">
        <v>159</v>
      </c>
      <c r="D607" s="6" t="s">
        <v>160</v>
      </c>
      <c r="E607" s="6" t="s">
        <v>1379</v>
      </c>
      <c r="F607" s="6" t="s">
        <v>178</v>
      </c>
      <c r="G607" s="6">
        <v>29.14</v>
      </c>
      <c r="H607" s="6">
        <v>110</v>
      </c>
      <c r="I607" s="6">
        <v>7</v>
      </c>
      <c r="J607" s="7">
        <f>MEDIAN(租金配对!K1689:K1695)</f>
        <v>0.0113911512216597</v>
      </c>
      <c r="K607" s="6" t="s">
        <v>1380</v>
      </c>
      <c r="L607" s="6">
        <f>MEDIAN(租金配对!L1689:L1695)</f>
        <v>0.0136363636363636</v>
      </c>
    </row>
    <row r="608" ht="21" customHeight="1" spans="1:12">
      <c r="A608" s="5" t="s">
        <v>16</v>
      </c>
      <c r="B608" s="6" t="s">
        <v>122</v>
      </c>
      <c r="C608" s="6" t="s">
        <v>159</v>
      </c>
      <c r="D608" s="6" t="s">
        <v>160</v>
      </c>
      <c r="E608" s="6" t="s">
        <v>1381</v>
      </c>
      <c r="F608" s="6" t="s">
        <v>181</v>
      </c>
      <c r="G608" s="6">
        <v>33.34</v>
      </c>
      <c r="H608" s="6">
        <v>93</v>
      </c>
      <c r="I608" s="6">
        <v>8</v>
      </c>
      <c r="J608" s="7">
        <f>MEDIAN(租金配对!K1712:K1719)</f>
        <v>0.0151071363482517</v>
      </c>
      <c r="K608" s="6" t="s">
        <v>1382</v>
      </c>
      <c r="L608" s="6">
        <f>MEDIAN(租金配对!L1712:L1719)</f>
        <v>0.0174731182795699</v>
      </c>
    </row>
    <row r="609" ht="21" customHeight="1" spans="1:12">
      <c r="A609" s="5" t="s">
        <v>16</v>
      </c>
      <c r="B609" s="6" t="s">
        <v>122</v>
      </c>
      <c r="C609" s="6" t="s">
        <v>159</v>
      </c>
      <c r="D609" s="6" t="s">
        <v>160</v>
      </c>
      <c r="E609" s="6" t="s">
        <v>1383</v>
      </c>
      <c r="F609" s="6" t="s">
        <v>181</v>
      </c>
      <c r="G609" s="6">
        <v>33.85</v>
      </c>
      <c r="H609" s="6">
        <v>92</v>
      </c>
      <c r="I609" s="6">
        <v>8</v>
      </c>
      <c r="J609" s="7">
        <f>MEDIAN(租金配对!K1696:K1703)</f>
        <v>0.0152910832719234</v>
      </c>
      <c r="K609" s="6" t="s">
        <v>1384</v>
      </c>
      <c r="L609" s="6">
        <f>MEDIAN(租金配对!L1696:L1703)</f>
        <v>0.0176630434782609</v>
      </c>
    </row>
    <row r="610" ht="21" customHeight="1" spans="1:12">
      <c r="A610" s="5" t="s">
        <v>16</v>
      </c>
      <c r="B610" s="6" t="s">
        <v>122</v>
      </c>
      <c r="C610" s="6" t="s">
        <v>159</v>
      </c>
      <c r="D610" s="6" t="s">
        <v>160</v>
      </c>
      <c r="E610" s="6" t="s">
        <v>1385</v>
      </c>
      <c r="F610" s="6" t="s">
        <v>181</v>
      </c>
      <c r="G610" s="6">
        <v>21.69</v>
      </c>
      <c r="H610" s="6">
        <v>79</v>
      </c>
      <c r="I610" s="6">
        <v>1</v>
      </c>
      <c r="J610" s="7">
        <f>MEDIAN(租金配对!K1629:K1629)</f>
        <v>0.0141217396634689</v>
      </c>
      <c r="K610" s="6" t="s">
        <v>1386</v>
      </c>
      <c r="L610" s="6">
        <f>MEDIAN(租金配对!L1629:L1629)</f>
        <v>0.0164556962025316</v>
      </c>
    </row>
    <row r="611" ht="21" customHeight="1" spans="1:12">
      <c r="A611" s="5" t="s">
        <v>16</v>
      </c>
      <c r="B611" s="6" t="s">
        <v>122</v>
      </c>
      <c r="C611" s="6" t="s">
        <v>159</v>
      </c>
      <c r="D611" s="6" t="s">
        <v>160</v>
      </c>
      <c r="E611" s="6" t="s">
        <v>1387</v>
      </c>
      <c r="F611" s="6" t="s">
        <v>178</v>
      </c>
      <c r="G611" s="6">
        <v>29.33</v>
      </c>
      <c r="H611" s="6">
        <v>109</v>
      </c>
      <c r="I611" s="6">
        <v>7</v>
      </c>
      <c r="J611" s="7">
        <f>MEDIAN(租金配对!K1733:K1739)</f>
        <v>0.0115123175689184</v>
      </c>
      <c r="K611" s="6" t="s">
        <v>1388</v>
      </c>
      <c r="L611" s="6">
        <f>MEDIAN(租金配对!L1733:L1739)</f>
        <v>0.0137614678899083</v>
      </c>
    </row>
    <row r="612" ht="21" customHeight="1" spans="1:12">
      <c r="A612" s="5" t="s">
        <v>16</v>
      </c>
      <c r="B612" s="6" t="s">
        <v>122</v>
      </c>
      <c r="C612" s="6" t="s">
        <v>159</v>
      </c>
      <c r="D612" s="6" t="s">
        <v>153</v>
      </c>
      <c r="E612" s="6" t="s">
        <v>1389</v>
      </c>
      <c r="F612" s="6" t="s">
        <v>178</v>
      </c>
      <c r="G612" s="6">
        <v>33.42</v>
      </c>
      <c r="H612" s="6">
        <v>99</v>
      </c>
      <c r="I612" s="6">
        <v>2</v>
      </c>
      <c r="J612" s="7">
        <f>MEDIAN(租金配对!K1754:K1755)</f>
        <v>0.0138369163792893</v>
      </c>
      <c r="K612" s="6" t="s">
        <v>1390</v>
      </c>
      <c r="L612" s="6">
        <f>MEDIAN(租金配对!L1754:L1755)</f>
        <v>0.0161616161616162</v>
      </c>
    </row>
    <row r="613" ht="21" customHeight="1" spans="1:12">
      <c r="A613" s="5" t="s">
        <v>16</v>
      </c>
      <c r="B613" s="6" t="s">
        <v>122</v>
      </c>
      <c r="C613" s="6" t="s">
        <v>159</v>
      </c>
      <c r="D613" s="6" t="s">
        <v>153</v>
      </c>
      <c r="E613" s="6" t="s">
        <v>1391</v>
      </c>
      <c r="F613" s="6" t="s">
        <v>178</v>
      </c>
      <c r="G613" s="6">
        <v>31.08</v>
      </c>
      <c r="H613" s="6">
        <v>109.8</v>
      </c>
      <c r="I613" s="6">
        <v>2</v>
      </c>
      <c r="J613" s="7">
        <f>MEDIAN(租金配对!K1756:K1757)</f>
        <v>0.0122972871653061</v>
      </c>
      <c r="K613" s="6" t="s">
        <v>1392</v>
      </c>
      <c r="L613" s="6">
        <f>MEDIAN(租金配对!L1756:L1757)</f>
        <v>0.0145719489981785</v>
      </c>
    </row>
    <row r="614" ht="21" customHeight="1" spans="1:12">
      <c r="A614" s="5" t="s">
        <v>16</v>
      </c>
      <c r="B614" s="6" t="s">
        <v>117</v>
      </c>
      <c r="C614" s="6" t="s">
        <v>152</v>
      </c>
      <c r="D614" s="6" t="s">
        <v>160</v>
      </c>
      <c r="E614" s="6" t="s">
        <v>1393</v>
      </c>
      <c r="F614" s="6" t="s">
        <v>178</v>
      </c>
      <c r="G614" s="6">
        <v>43.39</v>
      </c>
      <c r="H614" s="6">
        <v>78</v>
      </c>
      <c r="I614" s="6">
        <v>0</v>
      </c>
      <c r="J614" s="7"/>
      <c r="K614" s="6" t="s">
        <v>1394</v>
      </c>
      <c r="L614" s="6"/>
    </row>
    <row r="615" ht="21" customHeight="1" spans="1:12">
      <c r="A615" s="5" t="s">
        <v>16</v>
      </c>
      <c r="B615" s="6" t="s">
        <v>117</v>
      </c>
      <c r="C615" s="6" t="s">
        <v>152</v>
      </c>
      <c r="D615" s="6" t="s">
        <v>153</v>
      </c>
      <c r="E615" s="6" t="s">
        <v>1395</v>
      </c>
      <c r="F615" s="6" t="s">
        <v>178</v>
      </c>
      <c r="G615" s="6">
        <v>46.03</v>
      </c>
      <c r="H615" s="6">
        <v>85</v>
      </c>
      <c r="I615" s="6">
        <v>1</v>
      </c>
      <c r="J615" s="7">
        <f>MEDIAN(租金配对!K2237:K2237)</f>
        <v>0.0278094288562883</v>
      </c>
      <c r="K615" s="6" t="s">
        <v>1396</v>
      </c>
      <c r="L615" s="6">
        <f>MEDIAN(租金配对!L2237:L2237)</f>
        <v>0.0305882352941176</v>
      </c>
    </row>
    <row r="616" ht="21" customHeight="1" spans="1:12">
      <c r="A616" s="5" t="s">
        <v>16</v>
      </c>
      <c r="B616" s="6" t="s">
        <v>117</v>
      </c>
      <c r="C616" s="6" t="s">
        <v>152</v>
      </c>
      <c r="D616" s="6" t="s">
        <v>153</v>
      </c>
      <c r="E616" s="6" t="s">
        <v>1397</v>
      </c>
      <c r="F616" s="6" t="s">
        <v>178</v>
      </c>
      <c r="G616" s="6">
        <v>43.39</v>
      </c>
      <c r="H616" s="6">
        <v>100</v>
      </c>
      <c r="I616" s="6">
        <v>1</v>
      </c>
      <c r="J616" s="7">
        <f>MEDIAN(租金配对!K2238:K2238)</f>
        <v>0.023365617433414</v>
      </c>
      <c r="K616" s="6" t="s">
        <v>1398</v>
      </c>
      <c r="L616" s="6">
        <f>MEDIAN(租金配对!L2238:L2238)</f>
        <v>0.026</v>
      </c>
    </row>
    <row r="617" ht="21" customHeight="1" spans="1:12">
      <c r="A617" s="5" t="s">
        <v>16</v>
      </c>
      <c r="B617" s="6" t="s">
        <v>117</v>
      </c>
      <c r="C617" s="6" t="s">
        <v>157</v>
      </c>
      <c r="D617" s="6" t="s">
        <v>155</v>
      </c>
      <c r="E617" s="6" t="s">
        <v>1399</v>
      </c>
      <c r="F617" s="6" t="s">
        <v>178</v>
      </c>
      <c r="G617" s="6">
        <v>67.72</v>
      </c>
      <c r="H617" s="6">
        <v>118</v>
      </c>
      <c r="I617" s="6">
        <v>0</v>
      </c>
      <c r="J617" s="7"/>
      <c r="K617" s="6" t="s">
        <v>1400</v>
      </c>
      <c r="L617" s="6"/>
    </row>
    <row r="618" ht="21" customHeight="1" spans="1:12">
      <c r="A618" s="5" t="s">
        <v>16</v>
      </c>
      <c r="B618" s="6" t="s">
        <v>121</v>
      </c>
      <c r="C618" s="6" t="s">
        <v>152</v>
      </c>
      <c r="D618" s="6" t="s">
        <v>160</v>
      </c>
      <c r="E618" s="6" t="s">
        <v>1401</v>
      </c>
      <c r="F618" s="6" t="s">
        <v>178</v>
      </c>
      <c r="G618" s="6">
        <v>44.21</v>
      </c>
      <c r="H618" s="6">
        <v>84.9</v>
      </c>
      <c r="I618" s="6">
        <v>0</v>
      </c>
      <c r="J618" s="7"/>
      <c r="K618" s="6" t="s">
        <v>1402</v>
      </c>
      <c r="L618" s="6"/>
    </row>
    <row r="619" ht="21" customHeight="1" spans="1:12">
      <c r="A619" s="5" t="s">
        <v>16</v>
      </c>
      <c r="B619" s="6" t="s">
        <v>121</v>
      </c>
      <c r="C619" s="6" t="s">
        <v>152</v>
      </c>
      <c r="D619" s="6" t="s">
        <v>153</v>
      </c>
      <c r="E619" s="6" t="s">
        <v>1403</v>
      </c>
      <c r="F619" s="6" t="s">
        <v>181</v>
      </c>
      <c r="G619" s="6">
        <v>53.82</v>
      </c>
      <c r="H619" s="6">
        <v>107</v>
      </c>
      <c r="I619" s="6">
        <v>3</v>
      </c>
      <c r="J619" s="7">
        <f>MEDIAN(租金配对!K2248:K2250)</f>
        <v>0.0153820913760721</v>
      </c>
      <c r="K619" s="6" t="s">
        <v>1404</v>
      </c>
      <c r="L619" s="6">
        <f>MEDIAN(租金配对!L2248:L2250)</f>
        <v>0.0177570093457944</v>
      </c>
    </row>
    <row r="620" ht="21" customHeight="1" spans="1:12">
      <c r="A620" s="5" t="s">
        <v>16</v>
      </c>
      <c r="B620" s="6" t="s">
        <v>121</v>
      </c>
      <c r="C620" s="6" t="s">
        <v>152</v>
      </c>
      <c r="D620" s="6" t="s">
        <v>153</v>
      </c>
      <c r="E620" s="6" t="s">
        <v>1405</v>
      </c>
      <c r="F620" s="6" t="s">
        <v>178</v>
      </c>
      <c r="G620" s="6">
        <v>45.39</v>
      </c>
      <c r="H620" s="6">
        <v>114</v>
      </c>
      <c r="I620" s="6">
        <v>9</v>
      </c>
      <c r="J620" s="7">
        <f>MEDIAN(租金配对!K2296:K2304)</f>
        <v>0.0126269062486725</v>
      </c>
      <c r="K620" s="6" t="s">
        <v>1406</v>
      </c>
      <c r="L620" s="6">
        <f>MEDIAN(租金配对!L2296:L2304)</f>
        <v>0.0149122807017544</v>
      </c>
    </row>
    <row r="621" ht="21" customHeight="1" spans="1:12">
      <c r="A621" s="5" t="s">
        <v>16</v>
      </c>
      <c r="B621" s="6" t="s">
        <v>121</v>
      </c>
      <c r="C621" s="6" t="s">
        <v>152</v>
      </c>
      <c r="D621" s="6" t="s">
        <v>153</v>
      </c>
      <c r="E621" s="6" t="s">
        <v>1407</v>
      </c>
      <c r="F621" s="6" t="s">
        <v>181</v>
      </c>
      <c r="G621" s="6">
        <v>44.21</v>
      </c>
      <c r="H621" s="6">
        <v>85</v>
      </c>
      <c r="I621" s="6">
        <v>9</v>
      </c>
      <c r="J621" s="7">
        <f>MEDIAN(租金配对!K2260:K2268)</f>
        <v>0.0175544794188862</v>
      </c>
      <c r="K621" s="6" t="s">
        <v>1408</v>
      </c>
      <c r="L621" s="6">
        <f>MEDIAN(租金配对!L2260:L2268)</f>
        <v>0.02</v>
      </c>
    </row>
    <row r="622" ht="21" customHeight="1" spans="1:12">
      <c r="A622" s="5" t="s">
        <v>16</v>
      </c>
      <c r="B622" s="6" t="s">
        <v>121</v>
      </c>
      <c r="C622" s="6" t="s">
        <v>152</v>
      </c>
      <c r="D622" s="6" t="s">
        <v>153</v>
      </c>
      <c r="E622" s="6" t="s">
        <v>1409</v>
      </c>
      <c r="F622" s="6" t="s">
        <v>181</v>
      </c>
      <c r="G622" s="6">
        <v>47.27</v>
      </c>
      <c r="H622" s="6">
        <v>92</v>
      </c>
      <c r="I622" s="6">
        <v>9</v>
      </c>
      <c r="J622" s="7">
        <f>MEDIAN(租金配对!K2269:K2277)</f>
        <v>0.0160806400673755</v>
      </c>
      <c r="K622" s="6" t="s">
        <v>1410</v>
      </c>
      <c r="L622" s="6">
        <f>MEDIAN(租金配对!L2269:L2277)</f>
        <v>0.0184782608695652</v>
      </c>
    </row>
    <row r="623" ht="21" customHeight="1" spans="1:12">
      <c r="A623" s="5" t="s">
        <v>16</v>
      </c>
      <c r="B623" s="6" t="s">
        <v>121</v>
      </c>
      <c r="C623" s="6" t="s">
        <v>152</v>
      </c>
      <c r="D623" s="6" t="s">
        <v>153</v>
      </c>
      <c r="E623" s="6" t="s">
        <v>1411</v>
      </c>
      <c r="F623" s="6" t="s">
        <v>178</v>
      </c>
      <c r="G623" s="6">
        <v>51.64</v>
      </c>
      <c r="H623" s="6">
        <v>98</v>
      </c>
      <c r="I623" s="6">
        <v>9</v>
      </c>
      <c r="J623" s="7">
        <f>MEDIAN(租金配对!K2239:K2247)</f>
        <v>0.0159732173741167</v>
      </c>
      <c r="K623" s="6" t="s">
        <v>1412</v>
      </c>
      <c r="L623" s="6">
        <f>MEDIAN(租金配对!L2239:L2247)</f>
        <v>0.0183673469387755</v>
      </c>
    </row>
    <row r="624" ht="21" customHeight="1" spans="1:12">
      <c r="A624" s="5" t="s">
        <v>16</v>
      </c>
      <c r="B624" s="6" t="s">
        <v>121</v>
      </c>
      <c r="C624" s="6" t="s">
        <v>152</v>
      </c>
      <c r="D624" s="6" t="s">
        <v>153</v>
      </c>
      <c r="E624" s="6" t="s">
        <v>1413</v>
      </c>
      <c r="F624" s="6" t="s">
        <v>178</v>
      </c>
      <c r="G624" s="6">
        <v>44.21</v>
      </c>
      <c r="H624" s="6">
        <v>99</v>
      </c>
      <c r="I624" s="6">
        <v>9</v>
      </c>
      <c r="J624" s="7">
        <f>MEDIAN(租金配对!K2287:K2295)</f>
        <v>0.0148152224423411</v>
      </c>
      <c r="K624" s="6" t="s">
        <v>1414</v>
      </c>
      <c r="L624" s="6">
        <f>MEDIAN(租金配对!L2287:L2295)</f>
        <v>0.0171717171717172</v>
      </c>
    </row>
    <row r="625" ht="21" customHeight="1" spans="1:12">
      <c r="A625" s="5" t="s">
        <v>16</v>
      </c>
      <c r="B625" s="6" t="s">
        <v>121</v>
      </c>
      <c r="C625" s="6" t="s">
        <v>152</v>
      </c>
      <c r="D625" s="6" t="s">
        <v>153</v>
      </c>
      <c r="E625" s="6" t="s">
        <v>1415</v>
      </c>
      <c r="F625" s="6" t="s">
        <v>181</v>
      </c>
      <c r="G625" s="6">
        <v>49.13</v>
      </c>
      <c r="H625" s="6">
        <v>86</v>
      </c>
      <c r="I625" s="6">
        <v>9</v>
      </c>
      <c r="J625" s="7">
        <f>MEDIAN(租金配对!K2251:K2259)</f>
        <v>0.0173292415113464</v>
      </c>
      <c r="K625" s="6" t="s">
        <v>1416</v>
      </c>
      <c r="L625" s="6">
        <f>MEDIAN(租金配对!L2251:L2259)</f>
        <v>0.0197674418604651</v>
      </c>
    </row>
    <row r="626" ht="21" customHeight="1" spans="1:12">
      <c r="A626" s="5" t="s">
        <v>16</v>
      </c>
      <c r="B626" s="6" t="s">
        <v>121</v>
      </c>
      <c r="C626" s="6" t="s">
        <v>152</v>
      </c>
      <c r="D626" s="6" t="s">
        <v>153</v>
      </c>
      <c r="E626" s="6" t="s">
        <v>1417</v>
      </c>
      <c r="F626" s="6" t="s">
        <v>181</v>
      </c>
      <c r="G626" s="6">
        <v>49.13</v>
      </c>
      <c r="H626" s="6">
        <v>100</v>
      </c>
      <c r="I626" s="6">
        <v>9</v>
      </c>
      <c r="J626" s="7">
        <f>MEDIAN(租金配对!K2278:K2286)</f>
        <v>0.0146489104116223</v>
      </c>
      <c r="K626" s="6" t="s">
        <v>1418</v>
      </c>
      <c r="L626" s="6">
        <f>MEDIAN(租金配对!L2278:L2286)</f>
        <v>0.017</v>
      </c>
    </row>
    <row r="627" ht="21" customHeight="1" spans="1:12">
      <c r="A627" s="5" t="s">
        <v>16</v>
      </c>
      <c r="B627" s="6" t="s">
        <v>121</v>
      </c>
      <c r="C627" s="6" t="s">
        <v>157</v>
      </c>
      <c r="D627" s="6" t="s">
        <v>153</v>
      </c>
      <c r="E627" s="6" t="s">
        <v>1419</v>
      </c>
      <c r="F627" s="6" t="s">
        <v>181</v>
      </c>
      <c r="G627" s="6">
        <v>61.22</v>
      </c>
      <c r="H627" s="6">
        <v>106</v>
      </c>
      <c r="I627" s="6">
        <v>1</v>
      </c>
      <c r="J627" s="7">
        <f>MEDIAN(租金配对!K2305:K2305)</f>
        <v>0.0118895335556672</v>
      </c>
      <c r="K627" s="6" t="s">
        <v>1420</v>
      </c>
      <c r="L627" s="6">
        <f>MEDIAN(租金配对!L2305:L2305)</f>
        <v>0.0141509433962264</v>
      </c>
    </row>
    <row r="628" ht="21" customHeight="1" spans="1:12">
      <c r="A628" s="5" t="s">
        <v>16</v>
      </c>
      <c r="B628" s="6" t="s">
        <v>133</v>
      </c>
      <c r="C628" s="6" t="s">
        <v>152</v>
      </c>
      <c r="D628" s="6" t="s">
        <v>160</v>
      </c>
      <c r="E628" s="6" t="s">
        <v>1421</v>
      </c>
      <c r="F628" s="6" t="s">
        <v>181</v>
      </c>
      <c r="G628" s="6">
        <v>48.03</v>
      </c>
      <c r="H628" s="6">
        <v>54</v>
      </c>
      <c r="I628" s="6">
        <v>0</v>
      </c>
      <c r="J628" s="7"/>
      <c r="K628" s="6" t="s">
        <v>1422</v>
      </c>
      <c r="L628" s="6"/>
    </row>
    <row r="629" ht="21" customHeight="1" spans="1:12">
      <c r="A629" s="5" t="s">
        <v>16</v>
      </c>
      <c r="B629" s="6" t="s">
        <v>133</v>
      </c>
      <c r="C629" s="6" t="s">
        <v>159</v>
      </c>
      <c r="D629" s="6" t="s">
        <v>160</v>
      </c>
      <c r="E629" s="6" t="s">
        <v>1423</v>
      </c>
      <c r="F629" s="6" t="s">
        <v>178</v>
      </c>
      <c r="G629" s="6">
        <v>37.53</v>
      </c>
      <c r="H629" s="6">
        <v>60</v>
      </c>
      <c r="I629" s="6">
        <v>0</v>
      </c>
      <c r="J629" s="7"/>
      <c r="K629" s="6" t="s">
        <v>1424</v>
      </c>
      <c r="L629" s="6"/>
    </row>
    <row r="630" ht="21" customHeight="1" spans="1:12">
      <c r="A630" s="5" t="s">
        <v>16</v>
      </c>
      <c r="B630" s="6" t="s">
        <v>124</v>
      </c>
      <c r="C630" s="6" t="s">
        <v>152</v>
      </c>
      <c r="D630" s="6" t="s">
        <v>160</v>
      </c>
      <c r="E630" s="6" t="s">
        <v>1425</v>
      </c>
      <c r="F630" s="6" t="s">
        <v>178</v>
      </c>
      <c r="G630" s="6">
        <v>42.81</v>
      </c>
      <c r="H630" s="6">
        <v>110</v>
      </c>
      <c r="I630" s="6">
        <v>8</v>
      </c>
      <c r="J630" s="7">
        <f>MEDIAN(租金配对!K2376:K2383)</f>
        <v>0.0144728153202729</v>
      </c>
      <c r="K630" s="6" t="s">
        <v>1426</v>
      </c>
      <c r="L630" s="6">
        <f>MEDIAN(租金配对!L2376:L2383)</f>
        <v>0.0168181818181818</v>
      </c>
    </row>
    <row r="631" ht="21" customHeight="1" spans="1:12">
      <c r="A631" s="5" t="s">
        <v>16</v>
      </c>
      <c r="B631" s="6" t="s">
        <v>124</v>
      </c>
      <c r="C631" s="6" t="s">
        <v>152</v>
      </c>
      <c r="D631" s="6" t="s">
        <v>160</v>
      </c>
      <c r="E631" s="6" t="s">
        <v>1427</v>
      </c>
      <c r="F631" s="6" t="s">
        <v>178</v>
      </c>
      <c r="G631" s="6">
        <v>42.81</v>
      </c>
      <c r="H631" s="6">
        <v>117</v>
      </c>
      <c r="I631" s="6">
        <v>8</v>
      </c>
      <c r="J631" s="7">
        <f>MEDIAN(租金配对!K2360:K2367)</f>
        <v>0.0134982719728482</v>
      </c>
      <c r="K631" s="6" t="s">
        <v>1428</v>
      </c>
      <c r="L631" s="6">
        <f>MEDIAN(租金配对!L2360:L2367)</f>
        <v>0.0158119658119658</v>
      </c>
    </row>
    <row r="632" ht="21" customHeight="1" spans="1:12">
      <c r="A632" s="5" t="s">
        <v>16</v>
      </c>
      <c r="B632" s="6" t="s">
        <v>124</v>
      </c>
      <c r="C632" s="6" t="s">
        <v>152</v>
      </c>
      <c r="D632" s="6" t="s">
        <v>160</v>
      </c>
      <c r="E632" s="6" t="s">
        <v>1429</v>
      </c>
      <c r="F632" s="6" t="s">
        <v>181</v>
      </c>
      <c r="G632" s="6">
        <v>42.81</v>
      </c>
      <c r="H632" s="6">
        <v>105</v>
      </c>
      <c r="I632" s="6">
        <v>8</v>
      </c>
      <c r="J632" s="7">
        <f>MEDIAN(租金配对!K2384:K2391)</f>
        <v>0.015248472270264</v>
      </c>
      <c r="K632" s="6" t="s">
        <v>1430</v>
      </c>
      <c r="L632" s="6">
        <f>MEDIAN(租金配对!L2384:L2391)</f>
        <v>0.0176190476190476</v>
      </c>
    </row>
    <row r="633" ht="21" customHeight="1" spans="1:12">
      <c r="A633" s="5" t="s">
        <v>16</v>
      </c>
      <c r="B633" s="6" t="s">
        <v>124</v>
      </c>
      <c r="C633" s="6" t="s">
        <v>152</v>
      </c>
      <c r="D633" s="6" t="s">
        <v>160</v>
      </c>
      <c r="E633" s="6" t="s">
        <v>1431</v>
      </c>
      <c r="F633" s="6" t="s">
        <v>178</v>
      </c>
      <c r="G633" s="6">
        <v>42.81</v>
      </c>
      <c r="H633" s="6">
        <v>108</v>
      </c>
      <c r="I633" s="6">
        <v>8</v>
      </c>
      <c r="J633" s="7">
        <f>MEDIAN(租金配对!K2368:K2375)</f>
        <v>0.0147744596897139</v>
      </c>
      <c r="K633" s="6" t="s">
        <v>1432</v>
      </c>
      <c r="L633" s="6">
        <f>MEDIAN(租金配对!L2368:L2375)</f>
        <v>0.0171296296296296</v>
      </c>
    </row>
    <row r="634" ht="21" customHeight="1" spans="1:12">
      <c r="A634" s="5" t="s">
        <v>16</v>
      </c>
      <c r="B634" s="6" t="s">
        <v>124</v>
      </c>
      <c r="C634" s="6" t="s">
        <v>152</v>
      </c>
      <c r="D634" s="6" t="s">
        <v>153</v>
      </c>
      <c r="E634" s="6" t="s">
        <v>1433</v>
      </c>
      <c r="F634" s="6" t="s">
        <v>178</v>
      </c>
      <c r="G634" s="6">
        <v>42.81</v>
      </c>
      <c r="H634" s="6">
        <v>105</v>
      </c>
      <c r="I634" s="6">
        <v>1</v>
      </c>
      <c r="J634" s="7">
        <f>MEDIAN(租金配对!K2392:K2392)</f>
        <v>0.014851839040701</v>
      </c>
      <c r="K634" s="6" t="s">
        <v>1434</v>
      </c>
      <c r="L634" s="6">
        <f>MEDIAN(租金配对!L2392:L2392)</f>
        <v>0.0172095238095238</v>
      </c>
    </row>
    <row r="635" ht="21" customHeight="1" spans="1:12">
      <c r="A635" s="5" t="s">
        <v>16</v>
      </c>
      <c r="B635" s="6" t="s">
        <v>124</v>
      </c>
      <c r="C635" s="6" t="s">
        <v>159</v>
      </c>
      <c r="D635" s="6" t="s">
        <v>160</v>
      </c>
      <c r="E635" s="6" t="s">
        <v>1435</v>
      </c>
      <c r="F635" s="6" t="s">
        <v>181</v>
      </c>
      <c r="G635" s="6">
        <v>33.11</v>
      </c>
      <c r="H635" s="6">
        <v>95</v>
      </c>
      <c r="I635" s="6">
        <v>6</v>
      </c>
      <c r="J635" s="7">
        <f>MEDIAN(租金配对!K2342:K2347)</f>
        <v>0.0152606091499936</v>
      </c>
      <c r="K635" s="6" t="s">
        <v>1436</v>
      </c>
      <c r="L635" s="6">
        <f>MEDIAN(租金配对!L2342:L2347)</f>
        <v>0.0176315789473684</v>
      </c>
    </row>
    <row r="636" ht="21" customHeight="1" spans="1:12">
      <c r="A636" s="5" t="s">
        <v>16</v>
      </c>
      <c r="B636" s="6" t="s">
        <v>124</v>
      </c>
      <c r="C636" s="6" t="s">
        <v>159</v>
      </c>
      <c r="D636" s="6" t="s">
        <v>160</v>
      </c>
      <c r="E636" s="6" t="s">
        <v>1437</v>
      </c>
      <c r="F636" s="6" t="s">
        <v>178</v>
      </c>
      <c r="G636" s="6">
        <v>33.11</v>
      </c>
      <c r="H636" s="6">
        <v>105</v>
      </c>
      <c r="I636" s="6">
        <v>6</v>
      </c>
      <c r="J636" s="7">
        <f>MEDIAN(租金配对!K2324:K2329)</f>
        <v>0.0136342672662285</v>
      </c>
      <c r="K636" s="6" t="s">
        <v>1438</v>
      </c>
      <c r="L636" s="6">
        <f>MEDIAN(租金配对!L2324:L2329)</f>
        <v>0.015952380952381</v>
      </c>
    </row>
    <row r="637" ht="21" customHeight="1" spans="1:12">
      <c r="A637" s="5" t="s">
        <v>16</v>
      </c>
      <c r="B637" s="6" t="s">
        <v>124</v>
      </c>
      <c r="C637" s="6" t="s">
        <v>159</v>
      </c>
      <c r="D637" s="6" t="s">
        <v>160</v>
      </c>
      <c r="E637" s="6" t="s">
        <v>1439</v>
      </c>
      <c r="F637" s="6" t="s">
        <v>178</v>
      </c>
      <c r="G637" s="6">
        <v>33.51</v>
      </c>
      <c r="H637" s="6">
        <v>102</v>
      </c>
      <c r="I637" s="6">
        <v>6</v>
      </c>
      <c r="J637" s="7">
        <f>MEDIAN(租金配对!K2312:K2317)</f>
        <v>0.0140886863219864</v>
      </c>
      <c r="K637" s="6" t="s">
        <v>1440</v>
      </c>
      <c r="L637" s="6">
        <f>MEDIAN(租金配对!L2312:L2317)</f>
        <v>0.016421568627451</v>
      </c>
    </row>
    <row r="638" ht="21" customHeight="1" spans="1:12">
      <c r="A638" s="5" t="s">
        <v>16</v>
      </c>
      <c r="B638" s="6" t="s">
        <v>124</v>
      </c>
      <c r="C638" s="6" t="s">
        <v>159</v>
      </c>
      <c r="D638" s="6" t="s">
        <v>160</v>
      </c>
      <c r="E638" s="6" t="s">
        <v>1441</v>
      </c>
      <c r="F638" s="6" t="s">
        <v>181</v>
      </c>
      <c r="G638" s="6">
        <v>33.11</v>
      </c>
      <c r="H638" s="6">
        <v>97</v>
      </c>
      <c r="I638" s="6">
        <v>6</v>
      </c>
      <c r="J638" s="7">
        <f>MEDIAN(租金配对!K2330:K2335)</f>
        <v>0.0149085145153641</v>
      </c>
      <c r="K638" s="6" t="s">
        <v>1442</v>
      </c>
      <c r="L638" s="6">
        <f>MEDIAN(租金配对!L2330:L2335)</f>
        <v>0.0172680412371134</v>
      </c>
    </row>
    <row r="639" ht="21" customHeight="1" spans="1:12">
      <c r="A639" s="5" t="s">
        <v>16</v>
      </c>
      <c r="B639" s="6" t="s">
        <v>124</v>
      </c>
      <c r="C639" s="6" t="s">
        <v>159</v>
      </c>
      <c r="D639" s="6" t="s">
        <v>160</v>
      </c>
      <c r="E639" s="6" t="s">
        <v>1443</v>
      </c>
      <c r="F639" s="6" t="s">
        <v>181</v>
      </c>
      <c r="G639" s="6">
        <v>33.11</v>
      </c>
      <c r="H639" s="6">
        <v>115</v>
      </c>
      <c r="I639" s="6">
        <v>6</v>
      </c>
      <c r="J639" s="7">
        <f>MEDIAN(租金配对!K2306:K2311)</f>
        <v>0.0122907674492052</v>
      </c>
      <c r="K639" s="6" t="s">
        <v>1444</v>
      </c>
      <c r="L639" s="6">
        <f>MEDIAN(租金配对!L2306:L2311)</f>
        <v>0.0145652173913043</v>
      </c>
    </row>
    <row r="640" ht="21" customHeight="1" spans="1:12">
      <c r="A640" s="5" t="s">
        <v>16</v>
      </c>
      <c r="B640" s="6" t="s">
        <v>124</v>
      </c>
      <c r="C640" s="6" t="s">
        <v>159</v>
      </c>
      <c r="D640" s="6" t="s">
        <v>160</v>
      </c>
      <c r="E640" s="6" t="s">
        <v>1445</v>
      </c>
      <c r="F640" s="6" t="s">
        <v>178</v>
      </c>
      <c r="G640" s="6">
        <v>33.11</v>
      </c>
      <c r="H640" s="6">
        <v>102</v>
      </c>
      <c r="I640" s="6">
        <v>6</v>
      </c>
      <c r="J640" s="7">
        <f>MEDIAN(租金配对!K2348:K2353)</f>
        <v>0.0140886863219864</v>
      </c>
      <c r="K640" s="6" t="s">
        <v>1446</v>
      </c>
      <c r="L640" s="6">
        <f>MEDIAN(租金配对!L2348:L2353)</f>
        <v>0.016421568627451</v>
      </c>
    </row>
    <row r="641" ht="21" customHeight="1" spans="1:12">
      <c r="A641" s="5" t="s">
        <v>16</v>
      </c>
      <c r="B641" s="6" t="s">
        <v>124</v>
      </c>
      <c r="C641" s="6" t="s">
        <v>159</v>
      </c>
      <c r="D641" s="6" t="s">
        <v>160</v>
      </c>
      <c r="E641" s="6" t="s">
        <v>1447</v>
      </c>
      <c r="F641" s="6" t="s">
        <v>178</v>
      </c>
      <c r="G641" s="6">
        <v>33.11</v>
      </c>
      <c r="H641" s="6">
        <v>96</v>
      </c>
      <c r="I641" s="6">
        <v>6</v>
      </c>
      <c r="J641" s="7">
        <f>MEDIAN(租金配对!K2318:K2323)</f>
        <v>0.0150827280064568</v>
      </c>
      <c r="K641" s="6" t="s">
        <v>1448</v>
      </c>
      <c r="L641" s="6">
        <f>MEDIAN(租金配对!L2318:L2323)</f>
        <v>0.0174479166666667</v>
      </c>
    </row>
    <row r="642" ht="21" customHeight="1" spans="1:12">
      <c r="A642" s="5" t="s">
        <v>16</v>
      </c>
      <c r="B642" s="6" t="s">
        <v>124</v>
      </c>
      <c r="C642" s="6" t="s">
        <v>159</v>
      </c>
      <c r="D642" s="6" t="s">
        <v>160</v>
      </c>
      <c r="E642" s="6" t="s">
        <v>1449</v>
      </c>
      <c r="F642" s="6" t="s">
        <v>181</v>
      </c>
      <c r="G642" s="6">
        <v>33.11</v>
      </c>
      <c r="H642" s="6">
        <v>100</v>
      </c>
      <c r="I642" s="6">
        <v>6</v>
      </c>
      <c r="J642" s="7">
        <f>MEDIAN(租金配对!K2354:K2359)</f>
        <v>0.0144067796610169</v>
      </c>
      <c r="K642" s="6" t="s">
        <v>1450</v>
      </c>
      <c r="L642" s="6">
        <f>MEDIAN(租金配对!L2354:L2359)</f>
        <v>0.01675</v>
      </c>
    </row>
    <row r="643" ht="21" customHeight="1" spans="1:12">
      <c r="A643" s="5" t="s">
        <v>16</v>
      </c>
      <c r="B643" s="6" t="s">
        <v>124</v>
      </c>
      <c r="C643" s="6" t="s">
        <v>159</v>
      </c>
      <c r="D643" s="6" t="s">
        <v>160</v>
      </c>
      <c r="E643" s="6" t="s">
        <v>1451</v>
      </c>
      <c r="F643" s="6" t="s">
        <v>178</v>
      </c>
      <c r="G643" s="6">
        <v>33.14</v>
      </c>
      <c r="H643" s="6">
        <v>115</v>
      </c>
      <c r="I643" s="6">
        <v>6</v>
      </c>
      <c r="J643" s="7">
        <f>MEDIAN(租金配对!K2336:K2341)</f>
        <v>0.0122907674492052</v>
      </c>
      <c r="K643" s="6" t="s">
        <v>1452</v>
      </c>
      <c r="L643" s="6">
        <f>MEDIAN(租金配对!L2336:L2341)</f>
        <v>0.0145652173913043</v>
      </c>
    </row>
    <row r="644" ht="21" customHeight="1" spans="1:12">
      <c r="A644" s="5" t="s">
        <v>16</v>
      </c>
      <c r="B644" s="6" t="s">
        <v>134</v>
      </c>
      <c r="C644" s="6" t="s">
        <v>152</v>
      </c>
      <c r="D644" s="6" t="s">
        <v>153</v>
      </c>
      <c r="E644" s="6" t="s">
        <v>1453</v>
      </c>
      <c r="F644" s="6" t="s">
        <v>181</v>
      </c>
      <c r="G644" s="6">
        <v>46.7</v>
      </c>
      <c r="H644" s="6">
        <v>119.8</v>
      </c>
      <c r="I644" s="6">
        <v>0</v>
      </c>
      <c r="J644" s="7"/>
      <c r="K644" s="6" t="s">
        <v>1454</v>
      </c>
      <c r="L644" s="6"/>
    </row>
    <row r="645" ht="21" customHeight="1" spans="1:12">
      <c r="A645" s="5" t="s">
        <v>16</v>
      </c>
      <c r="B645" s="6" t="s">
        <v>134</v>
      </c>
      <c r="C645" s="6" t="s">
        <v>152</v>
      </c>
      <c r="D645" s="6" t="s">
        <v>155</v>
      </c>
      <c r="E645" s="6" t="s">
        <v>1455</v>
      </c>
      <c r="F645" s="6" t="s">
        <v>181</v>
      </c>
      <c r="G645" s="6">
        <v>49.48</v>
      </c>
      <c r="H645" s="6">
        <v>119</v>
      </c>
      <c r="I645" s="6">
        <v>0</v>
      </c>
      <c r="J645" s="7"/>
      <c r="K645" s="6" t="s">
        <v>1456</v>
      </c>
      <c r="L645" s="6"/>
    </row>
    <row r="646" ht="21" customHeight="1" spans="1:12">
      <c r="A646" s="5" t="s">
        <v>11</v>
      </c>
      <c r="B646" s="6" t="s">
        <v>138</v>
      </c>
      <c r="C646" s="6" t="s">
        <v>152</v>
      </c>
      <c r="D646" s="6" t="s">
        <v>160</v>
      </c>
      <c r="E646" s="6" t="s">
        <v>1457</v>
      </c>
      <c r="F646" s="6" t="s">
        <v>178</v>
      </c>
      <c r="G646" s="6">
        <v>47.04</v>
      </c>
      <c r="H646" s="6">
        <v>51</v>
      </c>
      <c r="I646" s="6">
        <v>8</v>
      </c>
      <c r="J646" s="7">
        <f>MEDIAN(租金配对!K2393:K2400)</f>
        <v>0.0285690547405403</v>
      </c>
      <c r="K646" s="6" t="s">
        <v>1458</v>
      </c>
      <c r="L646" s="6">
        <f>MEDIAN(租金配对!L2393:L2400)</f>
        <v>0.0313725490196078</v>
      </c>
    </row>
    <row r="647" ht="21" customHeight="1" spans="1:12">
      <c r="A647" s="5" t="s">
        <v>11</v>
      </c>
      <c r="B647" s="6" t="s">
        <v>138</v>
      </c>
      <c r="C647" s="6" t="s">
        <v>152</v>
      </c>
      <c r="D647" s="6" t="s">
        <v>160</v>
      </c>
      <c r="E647" s="6" t="s">
        <v>1459</v>
      </c>
      <c r="F647" s="6" t="s">
        <v>181</v>
      </c>
      <c r="G647" s="6">
        <v>47.04</v>
      </c>
      <c r="H647" s="6">
        <v>53</v>
      </c>
      <c r="I647" s="6">
        <v>8</v>
      </c>
      <c r="J647" s="7">
        <f>MEDIAN(租金配对!K2401:K2408)</f>
        <v>0.0274224496322354</v>
      </c>
      <c r="K647" s="6" t="s">
        <v>1460</v>
      </c>
      <c r="L647" s="6">
        <f>MEDIAN(租金配对!L2401:L2408)</f>
        <v>0.030188679245283</v>
      </c>
    </row>
    <row r="648" ht="21" customHeight="1" spans="1:12">
      <c r="A648" s="5" t="s">
        <v>11</v>
      </c>
      <c r="B648" s="6" t="s">
        <v>138</v>
      </c>
      <c r="C648" s="6" t="s">
        <v>152</v>
      </c>
      <c r="D648" s="6" t="s">
        <v>160</v>
      </c>
      <c r="E648" s="6" t="s">
        <v>1461</v>
      </c>
      <c r="F648" s="6" t="s">
        <v>181</v>
      </c>
      <c r="G648" s="6">
        <v>41.83</v>
      </c>
      <c r="H648" s="6">
        <v>45</v>
      </c>
      <c r="I648" s="6">
        <v>7</v>
      </c>
      <c r="J648" s="7">
        <f>MEDIAN(租金配对!K2409:K2415)</f>
        <v>0.0326203927898843</v>
      </c>
      <c r="K648" s="6" t="s">
        <v>1462</v>
      </c>
      <c r="L648" s="6">
        <f>MEDIAN(租金配对!L2409:L2415)</f>
        <v>0.0355555555555556</v>
      </c>
    </row>
    <row r="649" ht="21" customHeight="1" spans="1:12">
      <c r="A649" s="5" t="s">
        <v>11</v>
      </c>
      <c r="B649" s="6" t="s">
        <v>138</v>
      </c>
      <c r="C649" s="6" t="s">
        <v>157</v>
      </c>
      <c r="D649" s="6" t="s">
        <v>153</v>
      </c>
      <c r="E649" s="6" t="s">
        <v>1463</v>
      </c>
      <c r="F649" s="6" t="s">
        <v>181</v>
      </c>
      <c r="G649" s="6">
        <v>62.98</v>
      </c>
      <c r="H649" s="6">
        <v>69.5</v>
      </c>
      <c r="I649" s="6">
        <v>0</v>
      </c>
      <c r="J649" s="7"/>
      <c r="K649" s="6" t="s">
        <v>1464</v>
      </c>
      <c r="L649" s="6"/>
    </row>
    <row r="650" ht="21" customHeight="1" spans="1:12">
      <c r="A650" s="5" t="s">
        <v>11</v>
      </c>
      <c r="B650" s="6" t="s">
        <v>136</v>
      </c>
      <c r="C650" s="6" t="s">
        <v>152</v>
      </c>
      <c r="D650" s="6" t="s">
        <v>160</v>
      </c>
      <c r="E650" s="6" t="s">
        <v>1465</v>
      </c>
      <c r="F650" s="6" t="s">
        <v>181</v>
      </c>
      <c r="G650" s="6">
        <v>58.76</v>
      </c>
      <c r="H650" s="6">
        <v>65</v>
      </c>
      <c r="I650" s="6">
        <v>1</v>
      </c>
      <c r="J650" s="7">
        <f>MEDIAN(租金配对!K2416:K2416)</f>
        <v>0.0324548333022909</v>
      </c>
      <c r="K650" s="6" t="s">
        <v>1466</v>
      </c>
      <c r="L650" s="6">
        <f>MEDIAN(租金配对!L2416:L2416)</f>
        <v>0.0353846153846154</v>
      </c>
    </row>
    <row r="651" ht="21" customHeight="1" spans="1:12">
      <c r="A651" s="5" t="s">
        <v>11</v>
      </c>
      <c r="B651" s="6" t="s">
        <v>136</v>
      </c>
      <c r="C651" s="6" t="s">
        <v>152</v>
      </c>
      <c r="D651" s="6" t="s">
        <v>160</v>
      </c>
      <c r="E651" s="6" t="s">
        <v>1467</v>
      </c>
      <c r="F651" s="6" t="s">
        <v>178</v>
      </c>
      <c r="G651" s="6">
        <v>51.22</v>
      </c>
      <c r="H651" s="6">
        <v>50</v>
      </c>
      <c r="I651" s="6">
        <v>1</v>
      </c>
      <c r="J651" s="7">
        <f>MEDIAN(租金配对!K2417:K2417)</f>
        <v>0.0427360774818402</v>
      </c>
      <c r="K651" s="6" t="s">
        <v>1468</v>
      </c>
      <c r="L651" s="6">
        <f>MEDIAN(租金配对!L2417:L2417)</f>
        <v>0.046</v>
      </c>
    </row>
    <row r="652" ht="21" customHeight="1" spans="1:12">
      <c r="A652" s="5" t="s">
        <v>11</v>
      </c>
      <c r="B652" s="6" t="s">
        <v>136</v>
      </c>
      <c r="C652" s="6" t="s">
        <v>152</v>
      </c>
      <c r="D652" s="6" t="s">
        <v>153</v>
      </c>
      <c r="E652" s="6" t="s">
        <v>1469</v>
      </c>
      <c r="F652" s="6" t="s">
        <v>178</v>
      </c>
      <c r="G652" s="6">
        <v>49.31</v>
      </c>
      <c r="H652" s="6">
        <v>48</v>
      </c>
      <c r="I652" s="6">
        <v>0</v>
      </c>
      <c r="J652" s="7"/>
      <c r="K652" s="6" t="s">
        <v>1470</v>
      </c>
      <c r="L652" s="6"/>
    </row>
    <row r="653" ht="21" customHeight="1" spans="1:12">
      <c r="A653" s="5" t="s">
        <v>11</v>
      </c>
      <c r="B653" s="6" t="s">
        <v>136</v>
      </c>
      <c r="C653" s="6" t="s">
        <v>152</v>
      </c>
      <c r="D653" s="6" t="s">
        <v>153</v>
      </c>
      <c r="E653" s="6" t="s">
        <v>1471</v>
      </c>
      <c r="F653" s="6" t="s">
        <v>181</v>
      </c>
      <c r="G653" s="6">
        <v>51.22</v>
      </c>
      <c r="H653" s="6">
        <v>48</v>
      </c>
      <c r="I653" s="6">
        <v>0</v>
      </c>
      <c r="J653" s="7"/>
      <c r="K653" s="6" t="s">
        <v>1472</v>
      </c>
      <c r="L653" s="6"/>
    </row>
    <row r="654" ht="21" customHeight="1" spans="1:12">
      <c r="A654" s="5" t="s">
        <v>11</v>
      </c>
      <c r="B654" s="6" t="s">
        <v>136</v>
      </c>
      <c r="C654" s="6" t="s">
        <v>166</v>
      </c>
      <c r="D654" s="6" t="s">
        <v>153</v>
      </c>
      <c r="E654" s="6" t="s">
        <v>1473</v>
      </c>
      <c r="F654" s="6" t="s">
        <v>178</v>
      </c>
      <c r="G654" s="6">
        <v>96.6</v>
      </c>
      <c r="H654" s="6">
        <v>79.9</v>
      </c>
      <c r="I654" s="6">
        <v>2</v>
      </c>
      <c r="J654" s="7">
        <f>MEDIAN(租金配对!K2418:K2419)</f>
        <v>0.046670777939737</v>
      </c>
      <c r="K654" s="6" t="s">
        <v>1474</v>
      </c>
      <c r="L654" s="6">
        <f>MEDIAN(租金配对!L2418:L2419)</f>
        <v>0.0500625782227785</v>
      </c>
    </row>
    <row r="655" ht="21" customHeight="1" spans="1:12">
      <c r="A655" s="5" t="s">
        <v>11</v>
      </c>
      <c r="B655" s="6" t="s">
        <v>136</v>
      </c>
      <c r="C655" s="6" t="s">
        <v>166</v>
      </c>
      <c r="D655" s="6" t="s">
        <v>155</v>
      </c>
      <c r="E655" s="6" t="s">
        <v>1475</v>
      </c>
      <c r="F655" s="6" t="s">
        <v>178</v>
      </c>
      <c r="G655" s="6">
        <v>96.6</v>
      </c>
      <c r="H655" s="6">
        <v>90</v>
      </c>
      <c r="I655" s="6">
        <v>1</v>
      </c>
      <c r="J655" s="7">
        <f>MEDIAN(租金配对!K2420:K2420)</f>
        <v>0.0347726661285983</v>
      </c>
      <c r="K655" s="6" t="s">
        <v>1476</v>
      </c>
      <c r="L655" s="6">
        <f>MEDIAN(租金配对!L2420:L2420)</f>
        <v>0.0377777777777778</v>
      </c>
    </row>
    <row r="656" ht="21" customHeight="1" spans="1:12">
      <c r="A656" s="5" t="s">
        <v>11</v>
      </c>
      <c r="B656" s="6" t="s">
        <v>136</v>
      </c>
      <c r="C656" s="6" t="s">
        <v>166</v>
      </c>
      <c r="D656" s="6" t="s">
        <v>155</v>
      </c>
      <c r="E656" s="6" t="s">
        <v>1477</v>
      </c>
      <c r="F656" s="6" t="s">
        <v>181</v>
      </c>
      <c r="G656" s="6">
        <v>96.6</v>
      </c>
      <c r="H656" s="6">
        <v>85</v>
      </c>
      <c r="I656" s="6">
        <v>1</v>
      </c>
      <c r="J656" s="7">
        <f>MEDIAN(租金配对!K2421:K2421)</f>
        <v>0.0369249394673123</v>
      </c>
      <c r="K656" s="6" t="s">
        <v>1478</v>
      </c>
      <c r="L656" s="6">
        <f>MEDIAN(租金配对!L2421:L2421)</f>
        <v>0.04</v>
      </c>
    </row>
    <row r="657" ht="21" customHeight="1" spans="1:12">
      <c r="A657" s="5" t="s">
        <v>11</v>
      </c>
      <c r="B657" s="6" t="s">
        <v>141</v>
      </c>
      <c r="C657" s="6" t="s">
        <v>152</v>
      </c>
      <c r="D657" s="6" t="s">
        <v>153</v>
      </c>
      <c r="E657" s="6" t="s">
        <v>1479</v>
      </c>
      <c r="F657" s="6" t="s">
        <v>178</v>
      </c>
      <c r="G657" s="6">
        <v>54.88</v>
      </c>
      <c r="H657" s="6">
        <v>79.8</v>
      </c>
      <c r="I657" s="6">
        <v>6</v>
      </c>
      <c r="J657" s="7">
        <f>MEDIAN(租金配对!K2422:K2427)</f>
        <v>0.0221543568364009</v>
      </c>
      <c r="K657" s="6" t="s">
        <v>1480</v>
      </c>
      <c r="L657" s="6">
        <f>MEDIAN(租金配对!L2422:L2427)</f>
        <v>0.024749373433584</v>
      </c>
    </row>
    <row r="658" ht="21" customHeight="1" spans="1:12">
      <c r="A658" s="5" t="s">
        <v>11</v>
      </c>
      <c r="B658" s="6" t="s">
        <v>141</v>
      </c>
      <c r="C658" s="6" t="s">
        <v>157</v>
      </c>
      <c r="D658" s="6" t="s">
        <v>155</v>
      </c>
      <c r="E658" s="6" t="s">
        <v>1481</v>
      </c>
      <c r="F658" s="6" t="s">
        <v>181</v>
      </c>
      <c r="G658" s="6">
        <v>82.5</v>
      </c>
      <c r="H658" s="6">
        <v>117</v>
      </c>
      <c r="I658" s="6">
        <v>13</v>
      </c>
      <c r="J658" s="7">
        <f>MEDIAN(租金配对!K2454:K2466)</f>
        <v>0.0180511578816664</v>
      </c>
      <c r="K658" s="6" t="s">
        <v>1482</v>
      </c>
      <c r="L658" s="6">
        <f>MEDIAN(租金配对!L2454:L2466)</f>
        <v>0.0205128205128205</v>
      </c>
    </row>
    <row r="659" ht="21" customHeight="1" spans="1:12">
      <c r="A659" s="5" t="s">
        <v>11</v>
      </c>
      <c r="B659" s="6" t="s">
        <v>141</v>
      </c>
      <c r="C659" s="6" t="s">
        <v>157</v>
      </c>
      <c r="D659" s="6" t="s">
        <v>155</v>
      </c>
      <c r="E659" s="6" t="s">
        <v>1483</v>
      </c>
      <c r="F659" s="6" t="s">
        <v>178</v>
      </c>
      <c r="G659" s="6">
        <v>83.33</v>
      </c>
      <c r="H659" s="6">
        <v>118</v>
      </c>
      <c r="I659" s="6">
        <v>13</v>
      </c>
      <c r="J659" s="7">
        <f>MEDIAN(租金配对!K2428:K2440)</f>
        <v>0.0178827923010629</v>
      </c>
      <c r="K659" s="6" t="s">
        <v>1484</v>
      </c>
      <c r="L659" s="6">
        <f>MEDIAN(租金配对!L2428:L2440)</f>
        <v>0.0203389830508475</v>
      </c>
    </row>
    <row r="660" ht="21" customHeight="1" spans="1:12">
      <c r="A660" s="5" t="s">
        <v>11</v>
      </c>
      <c r="B660" s="6" t="s">
        <v>141</v>
      </c>
      <c r="C660" s="6" t="s">
        <v>157</v>
      </c>
      <c r="D660" s="6" t="s">
        <v>155</v>
      </c>
      <c r="E660" s="6" t="s">
        <v>1485</v>
      </c>
      <c r="F660" s="6" t="s">
        <v>178</v>
      </c>
      <c r="G660" s="6">
        <v>82.99</v>
      </c>
      <c r="H660" s="6">
        <v>118</v>
      </c>
      <c r="I660" s="6">
        <v>13</v>
      </c>
      <c r="J660" s="7">
        <f>MEDIAN(租金配对!K2441:K2453)</f>
        <v>0.0178827923010629</v>
      </c>
      <c r="K660" s="6" t="s">
        <v>1486</v>
      </c>
      <c r="L660" s="6">
        <f>MEDIAN(租金配对!L2441:L2453)</f>
        <v>0.0203389830508475</v>
      </c>
    </row>
    <row r="661" ht="21" customHeight="1" spans="1:12">
      <c r="A661" s="5" t="s">
        <v>11</v>
      </c>
      <c r="B661" s="6" t="s">
        <v>141</v>
      </c>
      <c r="C661" s="6" t="s">
        <v>157</v>
      </c>
      <c r="D661" s="6" t="s">
        <v>155</v>
      </c>
      <c r="E661" s="6" t="s">
        <v>1487</v>
      </c>
      <c r="F661" s="6" t="s">
        <v>181</v>
      </c>
      <c r="G661" s="6">
        <v>82.85</v>
      </c>
      <c r="H661" s="6">
        <v>114</v>
      </c>
      <c r="I661" s="6">
        <v>13</v>
      </c>
      <c r="J661" s="7">
        <f>MEDIAN(租金配对!K2467:K2479)</f>
        <v>0.0185739773161718</v>
      </c>
      <c r="K661" s="6" t="s">
        <v>1488</v>
      </c>
      <c r="L661" s="6">
        <f>MEDIAN(租金配对!L2467:L2479)</f>
        <v>0.0210526315789474</v>
      </c>
    </row>
    <row r="662" ht="21" customHeight="1" spans="1:12">
      <c r="A662" s="5" t="s">
        <v>11</v>
      </c>
      <c r="B662" s="6" t="s">
        <v>141</v>
      </c>
      <c r="C662" s="6" t="s">
        <v>157</v>
      </c>
      <c r="D662" s="6" t="s">
        <v>155</v>
      </c>
      <c r="E662" s="6" t="s">
        <v>1489</v>
      </c>
      <c r="F662" s="6" t="s">
        <v>181</v>
      </c>
      <c r="G662" s="6">
        <v>80.56</v>
      </c>
      <c r="H662" s="6">
        <v>116</v>
      </c>
      <c r="I662" s="6">
        <v>13</v>
      </c>
      <c r="J662" s="7">
        <f>MEDIAN(租金配对!K2480:K2492)</f>
        <v>0.0182224263171078</v>
      </c>
      <c r="K662" s="6" t="s">
        <v>1490</v>
      </c>
      <c r="L662" s="6">
        <f>MEDIAN(租金配对!L2480:L2492)</f>
        <v>0.0206896551724138</v>
      </c>
    </row>
    <row r="663" ht="21" customHeight="1" spans="1:12">
      <c r="A663" s="5" t="s">
        <v>11</v>
      </c>
      <c r="B663" s="6" t="s">
        <v>141</v>
      </c>
      <c r="C663" s="6" t="s">
        <v>157</v>
      </c>
      <c r="D663" s="6" t="s">
        <v>155</v>
      </c>
      <c r="E663" s="6" t="s">
        <v>1491</v>
      </c>
      <c r="F663" s="6" t="s">
        <v>178</v>
      </c>
      <c r="G663" s="6">
        <v>82.67</v>
      </c>
      <c r="H663" s="6">
        <v>115</v>
      </c>
      <c r="I663" s="6">
        <v>13</v>
      </c>
      <c r="J663" s="7">
        <f>MEDIAN(租金配对!K2493:K2505)</f>
        <v>0.0183966733340352</v>
      </c>
      <c r="K663" s="6" t="s">
        <v>1492</v>
      </c>
      <c r="L663" s="6">
        <f>MEDIAN(租金配对!L2493:L2505)</f>
        <v>0.0208695652173913</v>
      </c>
    </row>
    <row r="664" ht="21" customHeight="1" spans="1:12">
      <c r="A664" s="5" t="s">
        <v>11</v>
      </c>
      <c r="B664" s="6" t="s">
        <v>141</v>
      </c>
      <c r="C664" s="6" t="s">
        <v>157</v>
      </c>
      <c r="D664" s="6" t="s">
        <v>162</v>
      </c>
      <c r="E664" s="6" t="s">
        <v>1493</v>
      </c>
      <c r="F664" s="6" t="s">
        <v>178</v>
      </c>
      <c r="G664" s="6">
        <v>82.23</v>
      </c>
      <c r="H664" s="6">
        <v>108</v>
      </c>
      <c r="I664" s="6">
        <v>2</v>
      </c>
      <c r="J664" s="7">
        <f>MEDIAN(租金配对!K2514:K2515)</f>
        <v>0.0210519235942965</v>
      </c>
      <c r="K664" s="6" t="s">
        <v>1494</v>
      </c>
      <c r="L664" s="6">
        <f>MEDIAN(租金配对!L2514:L2515)</f>
        <v>0.0236111111111111</v>
      </c>
    </row>
    <row r="665" ht="21" customHeight="1" spans="1:12">
      <c r="A665" s="5" t="s">
        <v>11</v>
      </c>
      <c r="B665" s="6" t="s">
        <v>141</v>
      </c>
      <c r="C665" s="6" t="s">
        <v>157</v>
      </c>
      <c r="D665" s="6" t="s">
        <v>162</v>
      </c>
      <c r="E665" s="6" t="s">
        <v>1495</v>
      </c>
      <c r="F665" s="6" t="s">
        <v>178</v>
      </c>
      <c r="G665" s="6">
        <v>80.56</v>
      </c>
      <c r="H665" s="6">
        <v>103</v>
      </c>
      <c r="I665" s="6">
        <v>2</v>
      </c>
      <c r="J665" s="7">
        <f>MEDIAN(租金配对!K2506:K2507)</f>
        <v>0.0221620160323468</v>
      </c>
      <c r="K665" s="6" t="s">
        <v>1496</v>
      </c>
      <c r="L665" s="6">
        <f>MEDIAN(租金配对!L2506:L2507)</f>
        <v>0.0247572815533981</v>
      </c>
    </row>
    <row r="666" ht="21" customHeight="1" spans="1:12">
      <c r="A666" s="5" t="s">
        <v>11</v>
      </c>
      <c r="B666" s="6" t="s">
        <v>141</v>
      </c>
      <c r="C666" s="6" t="s">
        <v>157</v>
      </c>
      <c r="D666" s="6" t="s">
        <v>162</v>
      </c>
      <c r="E666" s="6" t="s">
        <v>1497</v>
      </c>
      <c r="F666" s="6" t="s">
        <v>178</v>
      </c>
      <c r="G666" s="6">
        <v>81.62</v>
      </c>
      <c r="H666" s="6">
        <v>112</v>
      </c>
      <c r="I666" s="6">
        <v>2</v>
      </c>
      <c r="J666" s="7">
        <f>MEDIAN(租金配对!K2512:K2513)</f>
        <v>0.0202352127291595</v>
      </c>
      <c r="K666" s="6" t="s">
        <v>1498</v>
      </c>
      <c r="L666" s="6">
        <f>MEDIAN(租金配对!L2512:L2513)</f>
        <v>0.0227678571428571</v>
      </c>
    </row>
    <row r="667" ht="21" customHeight="1" spans="1:12">
      <c r="A667" s="5" t="s">
        <v>11</v>
      </c>
      <c r="B667" s="6" t="s">
        <v>141</v>
      </c>
      <c r="C667" s="6" t="s">
        <v>157</v>
      </c>
      <c r="D667" s="6" t="s">
        <v>162</v>
      </c>
      <c r="E667" s="6" t="s">
        <v>1499</v>
      </c>
      <c r="F667" s="6" t="s">
        <v>181</v>
      </c>
      <c r="G667" s="6">
        <v>78.84</v>
      </c>
      <c r="H667" s="6">
        <v>96.8</v>
      </c>
      <c r="I667" s="6">
        <v>2</v>
      </c>
      <c r="J667" s="7">
        <f>MEDIAN(租金配对!K2516:K2517)</f>
        <v>0.0236977968102776</v>
      </c>
      <c r="K667" s="6" t="s">
        <v>1500</v>
      </c>
      <c r="L667" s="6">
        <f>MEDIAN(租金配对!L2516:L2517)</f>
        <v>0.0263429752066116</v>
      </c>
    </row>
    <row r="668" ht="21" customHeight="1" spans="1:12">
      <c r="A668" s="5" t="s">
        <v>11</v>
      </c>
      <c r="B668" s="6" t="s">
        <v>141</v>
      </c>
      <c r="C668" s="6" t="s">
        <v>157</v>
      </c>
      <c r="D668" s="6" t="s">
        <v>162</v>
      </c>
      <c r="E668" s="6" t="s">
        <v>1501</v>
      </c>
      <c r="F668" s="6" t="s">
        <v>181</v>
      </c>
      <c r="G668" s="6">
        <v>82.29</v>
      </c>
      <c r="H668" s="6">
        <v>118</v>
      </c>
      <c r="I668" s="6">
        <v>2</v>
      </c>
      <c r="J668" s="7">
        <f>MEDIAN(租金配对!K2508:K2509)</f>
        <v>0.0191139656092256</v>
      </c>
      <c r="K668" s="6" t="s">
        <v>1502</v>
      </c>
      <c r="L668" s="6">
        <f>MEDIAN(租金配对!L2508:L2509)</f>
        <v>0.0216101694915254</v>
      </c>
    </row>
    <row r="669" ht="21" customHeight="1" spans="1:12">
      <c r="A669" s="5" t="s">
        <v>11</v>
      </c>
      <c r="B669" s="6" t="s">
        <v>141</v>
      </c>
      <c r="C669" s="6" t="s">
        <v>157</v>
      </c>
      <c r="D669" s="6" t="s">
        <v>162</v>
      </c>
      <c r="E669" s="6" t="s">
        <v>1503</v>
      </c>
      <c r="F669" s="6" t="s">
        <v>178</v>
      </c>
      <c r="G669" s="6">
        <v>80.59</v>
      </c>
      <c r="H669" s="6">
        <v>119</v>
      </c>
      <c r="I669" s="6">
        <v>2</v>
      </c>
      <c r="J669" s="7">
        <f>MEDIAN(租金配对!K2510:K2511)</f>
        <v>0.0189380837080595</v>
      </c>
      <c r="K669" s="6" t="s">
        <v>1504</v>
      </c>
      <c r="L669" s="6">
        <f>MEDIAN(租金配对!L2510:L2511)</f>
        <v>0.0214285714285714</v>
      </c>
    </row>
    <row r="670" ht="21" customHeight="1" spans="1:12">
      <c r="A670" s="5" t="s">
        <v>11</v>
      </c>
      <c r="B670" s="6" t="s">
        <v>140</v>
      </c>
      <c r="C670" s="6" t="s">
        <v>152</v>
      </c>
      <c r="D670" s="6" t="s">
        <v>153</v>
      </c>
      <c r="E670" s="6" t="s">
        <v>1505</v>
      </c>
      <c r="F670" s="6" t="s">
        <v>181</v>
      </c>
      <c r="G670" s="6">
        <v>43.78</v>
      </c>
      <c r="H670" s="6">
        <v>59.8</v>
      </c>
      <c r="I670" s="6">
        <v>0</v>
      </c>
      <c r="J670" s="7"/>
      <c r="K670" s="6" t="s">
        <v>1506</v>
      </c>
      <c r="L670" s="6"/>
    </row>
    <row r="671" ht="21" customHeight="1" spans="1:12">
      <c r="A671" s="5" t="s">
        <v>11</v>
      </c>
      <c r="B671" s="6" t="s">
        <v>140</v>
      </c>
      <c r="C671" s="6" t="s">
        <v>152</v>
      </c>
      <c r="D671" s="6" t="s">
        <v>153</v>
      </c>
      <c r="E671" s="6" t="s">
        <v>1507</v>
      </c>
      <c r="F671" s="6" t="s">
        <v>181</v>
      </c>
      <c r="G671" s="6">
        <v>42.67</v>
      </c>
      <c r="H671" s="6">
        <v>49</v>
      </c>
      <c r="I671" s="6">
        <v>0</v>
      </c>
      <c r="J671" s="7"/>
      <c r="K671" s="6" t="s">
        <v>1508</v>
      </c>
      <c r="L671" s="6"/>
    </row>
    <row r="672" ht="21" customHeight="1" spans="1:12">
      <c r="A672" s="5" t="s">
        <v>11</v>
      </c>
      <c r="B672" s="6" t="s">
        <v>140</v>
      </c>
      <c r="C672" s="6" t="s">
        <v>157</v>
      </c>
      <c r="D672" s="6" t="s">
        <v>155</v>
      </c>
      <c r="E672" s="6" t="s">
        <v>1509</v>
      </c>
      <c r="F672" s="6" t="s">
        <v>181</v>
      </c>
      <c r="G672" s="6">
        <v>75.92</v>
      </c>
      <c r="H672" s="6">
        <v>103</v>
      </c>
      <c r="I672" s="6">
        <v>1</v>
      </c>
      <c r="J672" s="7">
        <f>MEDIAN(租金配对!K2519:K2519)</f>
        <v>0.0226321728296387</v>
      </c>
      <c r="K672" s="6" t="s">
        <v>1510</v>
      </c>
      <c r="L672" s="6">
        <f>MEDIAN(租金配对!L2519:L2519)</f>
        <v>0.0252427184466019</v>
      </c>
    </row>
    <row r="673" ht="21" customHeight="1" spans="1:12">
      <c r="A673" s="5" t="s">
        <v>11</v>
      </c>
      <c r="B673" s="6" t="s">
        <v>140</v>
      </c>
      <c r="C673" s="6" t="s">
        <v>157</v>
      </c>
      <c r="D673" s="6" t="s">
        <v>155</v>
      </c>
      <c r="E673" s="6" t="s">
        <v>1511</v>
      </c>
      <c r="F673" s="6" t="s">
        <v>178</v>
      </c>
      <c r="G673" s="6">
        <v>75.39</v>
      </c>
      <c r="H673" s="6">
        <v>83</v>
      </c>
      <c r="I673" s="6">
        <v>1</v>
      </c>
      <c r="J673" s="7">
        <f>MEDIAN(租金配对!K2518:K2518)</f>
        <v>0.0285232941451034</v>
      </c>
      <c r="K673" s="6" t="s">
        <v>1512</v>
      </c>
      <c r="L673" s="6">
        <f>MEDIAN(租金配对!L2518:L2518)</f>
        <v>0.0313253012048193</v>
      </c>
    </row>
    <row r="674" ht="21" customHeight="1" spans="1:12">
      <c r="A674" s="5" t="s">
        <v>11</v>
      </c>
      <c r="B674" s="6" t="s">
        <v>140</v>
      </c>
      <c r="C674" s="6" t="s">
        <v>157</v>
      </c>
      <c r="D674" s="6" t="s">
        <v>155</v>
      </c>
      <c r="E674" s="6" t="s">
        <v>1513</v>
      </c>
      <c r="F674" s="6" t="s">
        <v>178</v>
      </c>
      <c r="G674" s="6">
        <v>78.6</v>
      </c>
      <c r="H674" s="6">
        <v>106</v>
      </c>
      <c r="I674" s="6">
        <v>1</v>
      </c>
      <c r="J674" s="7">
        <f>MEDIAN(租金配对!K2520:K2520)</f>
        <v>0.0219402439581525</v>
      </c>
      <c r="K674" s="6" t="s">
        <v>1514</v>
      </c>
      <c r="L674" s="6">
        <f>MEDIAN(租金配对!L2520:L2520)</f>
        <v>0.0245283018867925</v>
      </c>
    </row>
    <row r="675" ht="21" customHeight="1" spans="1:12">
      <c r="A675" s="5" t="s">
        <v>11</v>
      </c>
      <c r="B675" s="6" t="s">
        <v>142</v>
      </c>
      <c r="C675" s="6" t="s">
        <v>157</v>
      </c>
      <c r="D675" s="6" t="s">
        <v>155</v>
      </c>
      <c r="E675" s="6" t="s">
        <v>1515</v>
      </c>
      <c r="F675" s="6" t="s">
        <v>181</v>
      </c>
      <c r="G675" s="6">
        <v>81.28</v>
      </c>
      <c r="H675" s="6">
        <v>79.5</v>
      </c>
      <c r="I675" s="6">
        <v>0</v>
      </c>
      <c r="J675" s="7"/>
      <c r="K675" s="6" t="s">
        <v>1516</v>
      </c>
      <c r="L675" s="6"/>
    </row>
    <row r="676" ht="21" customHeight="1" spans="1:12">
      <c r="A676" s="5" t="s">
        <v>11</v>
      </c>
      <c r="B676" s="6" t="s">
        <v>142</v>
      </c>
      <c r="C676" s="6" t="s">
        <v>157</v>
      </c>
      <c r="D676" s="6" t="s">
        <v>155</v>
      </c>
      <c r="E676" s="6" t="s">
        <v>1517</v>
      </c>
      <c r="F676" s="6" t="s">
        <v>178</v>
      </c>
      <c r="G676" s="6">
        <v>76.76</v>
      </c>
      <c r="H676" s="6">
        <v>100</v>
      </c>
      <c r="I676" s="6">
        <v>0</v>
      </c>
      <c r="J676" s="7"/>
      <c r="K676" s="6" t="s">
        <v>1518</v>
      </c>
      <c r="L676" s="6"/>
    </row>
    <row r="677" ht="21" customHeight="1" spans="1:12">
      <c r="A677" s="5" t="s">
        <v>11</v>
      </c>
      <c r="B677" s="6" t="s">
        <v>142</v>
      </c>
      <c r="C677" s="6" t="s">
        <v>157</v>
      </c>
      <c r="D677" s="6" t="s">
        <v>155</v>
      </c>
      <c r="E677" s="6" t="s">
        <v>1519</v>
      </c>
      <c r="F677" s="6" t="s">
        <v>178</v>
      </c>
      <c r="G677" s="6">
        <v>81.28</v>
      </c>
      <c r="H677" s="6">
        <v>109.6</v>
      </c>
      <c r="I677" s="6">
        <v>0</v>
      </c>
      <c r="J677" s="7"/>
      <c r="K677" s="6" t="s">
        <v>1520</v>
      </c>
      <c r="L677" s="6"/>
    </row>
    <row r="678" ht="21" customHeight="1" spans="1:12">
      <c r="A678" s="5" t="s">
        <v>11</v>
      </c>
      <c r="B678" s="6" t="s">
        <v>142</v>
      </c>
      <c r="C678" s="6" t="s">
        <v>157</v>
      </c>
      <c r="D678" s="6" t="s">
        <v>155</v>
      </c>
      <c r="E678" s="6" t="s">
        <v>1521</v>
      </c>
      <c r="F678" s="6" t="s">
        <v>181</v>
      </c>
      <c r="G678" s="6">
        <v>82.81</v>
      </c>
      <c r="H678" s="6">
        <v>95</v>
      </c>
      <c r="I678" s="6">
        <v>0</v>
      </c>
      <c r="J678" s="7"/>
      <c r="K678" s="6" t="s">
        <v>1522</v>
      </c>
      <c r="L678" s="6"/>
    </row>
    <row r="679" ht="21" customHeight="1" spans="1:12">
      <c r="A679" s="5" t="s">
        <v>11</v>
      </c>
      <c r="B679" s="6" t="s">
        <v>142</v>
      </c>
      <c r="C679" s="6" t="s">
        <v>157</v>
      </c>
      <c r="D679" s="6" t="s">
        <v>162</v>
      </c>
      <c r="E679" s="6" t="s">
        <v>1523</v>
      </c>
      <c r="F679" s="6" t="s">
        <v>178</v>
      </c>
      <c r="G679" s="6">
        <v>86.03</v>
      </c>
      <c r="H679" s="6">
        <v>106.8</v>
      </c>
      <c r="I679" s="6">
        <v>0</v>
      </c>
      <c r="J679" s="7"/>
      <c r="K679" s="6" t="s">
        <v>1524</v>
      </c>
      <c r="L679" s="6"/>
    </row>
    <row r="680" ht="21" customHeight="1" spans="1:12">
      <c r="A680" s="5" t="s">
        <v>11</v>
      </c>
      <c r="B680" s="6" t="s">
        <v>137</v>
      </c>
      <c r="C680" s="6" t="s">
        <v>152</v>
      </c>
      <c r="D680" s="6" t="s">
        <v>160</v>
      </c>
      <c r="E680" s="6" t="s">
        <v>1525</v>
      </c>
      <c r="F680" s="6" t="s">
        <v>178</v>
      </c>
      <c r="G680" s="6">
        <v>45.91</v>
      </c>
      <c r="H680" s="6">
        <v>54</v>
      </c>
      <c r="I680" s="6">
        <v>1</v>
      </c>
      <c r="J680" s="7">
        <f>MEDIAN(租金配对!K2534:K2534)</f>
        <v>0.0277777777777778</v>
      </c>
      <c r="K680" s="6" t="s">
        <v>1526</v>
      </c>
      <c r="L680" s="6">
        <f>MEDIAN(租金配对!L2534:L2534)</f>
        <v>0.0305555555555556</v>
      </c>
    </row>
    <row r="681" ht="21" customHeight="1" spans="1:12">
      <c r="A681" s="5" t="s">
        <v>11</v>
      </c>
      <c r="B681" s="6" t="s">
        <v>137</v>
      </c>
      <c r="C681" s="6" t="s">
        <v>152</v>
      </c>
      <c r="D681" s="6" t="s">
        <v>160</v>
      </c>
      <c r="E681" s="6" t="s">
        <v>1527</v>
      </c>
      <c r="F681" s="6" t="s">
        <v>181</v>
      </c>
      <c r="G681" s="6">
        <v>45.91</v>
      </c>
      <c r="H681" s="6">
        <v>50</v>
      </c>
      <c r="I681" s="6">
        <v>1</v>
      </c>
      <c r="J681" s="7">
        <f>MEDIAN(租金配对!K2533:K2533)</f>
        <v>0.0301452784503632</v>
      </c>
      <c r="K681" s="6" t="s">
        <v>1528</v>
      </c>
      <c r="L681" s="6">
        <f>MEDIAN(租金配对!L2533:L2533)</f>
        <v>0.033</v>
      </c>
    </row>
    <row r="682" ht="21" customHeight="1" spans="1:12">
      <c r="A682" s="5" t="s">
        <v>11</v>
      </c>
      <c r="B682" s="6" t="s">
        <v>137</v>
      </c>
      <c r="C682" s="6" t="s">
        <v>152</v>
      </c>
      <c r="D682" s="6" t="s">
        <v>153</v>
      </c>
      <c r="E682" s="6" t="s">
        <v>1529</v>
      </c>
      <c r="F682" s="6" t="s">
        <v>181</v>
      </c>
      <c r="G682" s="6">
        <v>45.91</v>
      </c>
      <c r="H682" s="6">
        <v>53</v>
      </c>
      <c r="I682" s="6">
        <v>10</v>
      </c>
      <c r="J682" s="7">
        <f>MEDIAN(租金配对!K2578:K2587)</f>
        <v>0.030620402942117</v>
      </c>
      <c r="K682" s="6" t="s">
        <v>1530</v>
      </c>
      <c r="L682" s="6">
        <f>MEDIAN(租金配对!L2578:L2587)</f>
        <v>0.0334905660377358</v>
      </c>
    </row>
    <row r="683" ht="21" customHeight="1" spans="1:12">
      <c r="A683" s="5" t="s">
        <v>11</v>
      </c>
      <c r="B683" s="6" t="s">
        <v>137</v>
      </c>
      <c r="C683" s="6" t="s">
        <v>152</v>
      </c>
      <c r="D683" s="6" t="s">
        <v>153</v>
      </c>
      <c r="E683" s="6" t="s">
        <v>1531</v>
      </c>
      <c r="F683" s="6" t="s">
        <v>181</v>
      </c>
      <c r="G683" s="6">
        <v>55.34</v>
      </c>
      <c r="H683" s="6">
        <v>72</v>
      </c>
      <c r="I683" s="6">
        <v>3</v>
      </c>
      <c r="J683" s="7">
        <f>MEDIAN(租金配对!K2535:K2537)</f>
        <v>0.0210519235942965</v>
      </c>
      <c r="K683" s="6" t="s">
        <v>1532</v>
      </c>
      <c r="L683" s="6">
        <f>MEDIAN(租金配对!L2535:L2537)</f>
        <v>0.0236111111111111</v>
      </c>
    </row>
    <row r="684" ht="21" customHeight="1" spans="1:12">
      <c r="A684" s="5" t="s">
        <v>11</v>
      </c>
      <c r="B684" s="6" t="s">
        <v>137</v>
      </c>
      <c r="C684" s="6" t="s">
        <v>152</v>
      </c>
      <c r="D684" s="6" t="s">
        <v>153</v>
      </c>
      <c r="E684" s="6" t="s">
        <v>1533</v>
      </c>
      <c r="F684" s="6" t="s">
        <v>181</v>
      </c>
      <c r="G684" s="6">
        <v>49.45</v>
      </c>
      <c r="H684" s="6">
        <v>62</v>
      </c>
      <c r="I684" s="6">
        <v>10</v>
      </c>
      <c r="J684" s="7">
        <f>MEDIAN(租金配对!K2538:K2547)</f>
        <v>0.0259118956494572</v>
      </c>
      <c r="K684" s="6" t="s">
        <v>1534</v>
      </c>
      <c r="L684" s="6">
        <f>MEDIAN(租金配对!L2538:L2547)</f>
        <v>0.0286290322580645</v>
      </c>
    </row>
    <row r="685" ht="21" customHeight="1" spans="1:12">
      <c r="A685" s="5" t="s">
        <v>11</v>
      </c>
      <c r="B685" s="6" t="s">
        <v>137</v>
      </c>
      <c r="C685" s="6" t="s">
        <v>152</v>
      </c>
      <c r="D685" s="6" t="s">
        <v>153</v>
      </c>
      <c r="E685" s="6" t="s">
        <v>1535</v>
      </c>
      <c r="F685" s="6" t="s">
        <v>181</v>
      </c>
      <c r="G685" s="6">
        <v>45.91</v>
      </c>
      <c r="H685" s="6">
        <v>69.8</v>
      </c>
      <c r="I685" s="6">
        <v>10</v>
      </c>
      <c r="J685" s="7">
        <f>MEDIAN(租金配对!K2548:K2557)</f>
        <v>0.0228133650624059</v>
      </c>
      <c r="K685" s="6" t="s">
        <v>1536</v>
      </c>
      <c r="L685" s="6">
        <f>MEDIAN(租金配对!L2548:L2557)</f>
        <v>0.0254297994269341</v>
      </c>
    </row>
    <row r="686" ht="21" customHeight="1" spans="1:12">
      <c r="A686" s="5" t="s">
        <v>11</v>
      </c>
      <c r="B686" s="6" t="s">
        <v>137</v>
      </c>
      <c r="C686" s="6" t="s">
        <v>152</v>
      </c>
      <c r="D686" s="6" t="s">
        <v>153</v>
      </c>
      <c r="E686" s="6" t="s">
        <v>1537</v>
      </c>
      <c r="F686" s="6" t="s">
        <v>178</v>
      </c>
      <c r="G686" s="6">
        <v>45.91</v>
      </c>
      <c r="H686" s="6">
        <v>52</v>
      </c>
      <c r="I686" s="6">
        <v>10</v>
      </c>
      <c r="J686" s="7">
        <f>MEDIAN(租金配对!K2568:K2577)</f>
        <v>0.0312441795492643</v>
      </c>
      <c r="K686" s="6" t="s">
        <v>1538</v>
      </c>
      <c r="L686" s="6">
        <f>MEDIAN(租金配对!L2568:L2577)</f>
        <v>0.0341346153846154</v>
      </c>
    </row>
    <row r="687" ht="21" customHeight="1" spans="1:12">
      <c r="A687" s="5" t="s">
        <v>11</v>
      </c>
      <c r="B687" s="6" t="s">
        <v>137</v>
      </c>
      <c r="C687" s="6" t="s">
        <v>152</v>
      </c>
      <c r="D687" s="6" t="s">
        <v>153</v>
      </c>
      <c r="E687" s="6" t="s">
        <v>1539</v>
      </c>
      <c r="F687" s="6" t="s">
        <v>178</v>
      </c>
      <c r="G687" s="6">
        <v>45.91</v>
      </c>
      <c r="H687" s="6">
        <v>80</v>
      </c>
      <c r="I687" s="6">
        <v>10</v>
      </c>
      <c r="J687" s="7">
        <f>MEDIAN(租金配对!K2558:K2567)</f>
        <v>0.0196731234866828</v>
      </c>
      <c r="K687" s="6" t="s">
        <v>1540</v>
      </c>
      <c r="L687" s="6">
        <f>MEDIAN(租金配对!L2558:L2567)</f>
        <v>0.0221875</v>
      </c>
    </row>
    <row r="688" ht="21" customHeight="1" spans="1:12">
      <c r="A688" s="5" t="s">
        <v>11</v>
      </c>
      <c r="B688" s="6" t="s">
        <v>137</v>
      </c>
      <c r="C688" s="6" t="s">
        <v>152</v>
      </c>
      <c r="D688" s="6" t="s">
        <v>155</v>
      </c>
      <c r="E688" s="6" t="s">
        <v>1541</v>
      </c>
      <c r="F688" s="6" t="s">
        <v>181</v>
      </c>
      <c r="G688" s="6">
        <v>45.91</v>
      </c>
      <c r="H688" s="6">
        <v>65</v>
      </c>
      <c r="I688" s="6">
        <v>0</v>
      </c>
      <c r="J688" s="7"/>
      <c r="K688" s="6" t="s">
        <v>1542</v>
      </c>
      <c r="L688" s="6"/>
    </row>
    <row r="689" ht="21" customHeight="1" spans="1:12">
      <c r="A689" s="5" t="s">
        <v>11</v>
      </c>
      <c r="B689" s="6" t="s">
        <v>137</v>
      </c>
      <c r="C689" s="6" t="s">
        <v>152</v>
      </c>
      <c r="D689" s="6" t="s">
        <v>155</v>
      </c>
      <c r="E689" s="6" t="s">
        <v>1543</v>
      </c>
      <c r="F689" s="6" t="s">
        <v>178</v>
      </c>
      <c r="G689" s="6">
        <v>41.27</v>
      </c>
      <c r="H689" s="6">
        <v>86</v>
      </c>
      <c r="I689" s="6">
        <v>0</v>
      </c>
      <c r="J689" s="7"/>
      <c r="K689" s="6" t="s">
        <v>1544</v>
      </c>
      <c r="L689" s="6"/>
    </row>
    <row r="690" ht="21" customHeight="1" spans="1:12">
      <c r="A690" s="5" t="s">
        <v>11</v>
      </c>
      <c r="B690" s="6" t="s">
        <v>137</v>
      </c>
      <c r="C690" s="6" t="s">
        <v>159</v>
      </c>
      <c r="D690" s="6" t="s">
        <v>160</v>
      </c>
      <c r="E690" s="6" t="s">
        <v>1545</v>
      </c>
      <c r="F690" s="6" t="s">
        <v>178</v>
      </c>
      <c r="G690" s="6">
        <v>38.05</v>
      </c>
      <c r="H690" s="6">
        <v>49</v>
      </c>
      <c r="I690" s="6">
        <v>0</v>
      </c>
      <c r="J690" s="7"/>
      <c r="K690" s="6" t="s">
        <v>1546</v>
      </c>
      <c r="L690" s="6"/>
    </row>
    <row r="691" ht="21" customHeight="1" spans="1:12">
      <c r="A691" s="5" t="s">
        <v>11</v>
      </c>
      <c r="B691" s="6" t="s">
        <v>137</v>
      </c>
      <c r="C691" s="6" t="s">
        <v>159</v>
      </c>
      <c r="D691" s="6" t="s">
        <v>153</v>
      </c>
      <c r="E691" s="6" t="s">
        <v>1547</v>
      </c>
      <c r="F691" s="6" t="s">
        <v>181</v>
      </c>
      <c r="G691" s="6">
        <v>38.05</v>
      </c>
      <c r="H691" s="6">
        <v>60</v>
      </c>
      <c r="I691" s="6">
        <v>3</v>
      </c>
      <c r="J691" s="7">
        <f>MEDIAN(租金配对!K2527:K2529)</f>
        <v>0.034180790960452</v>
      </c>
      <c r="K691" s="6" t="s">
        <v>1548</v>
      </c>
      <c r="L691" s="6">
        <f>MEDIAN(租金配对!L2527:L2529)</f>
        <v>0.0371666666666667</v>
      </c>
    </row>
    <row r="692" ht="21" customHeight="1" spans="1:12">
      <c r="A692" s="5" t="s">
        <v>11</v>
      </c>
      <c r="B692" s="6" t="s">
        <v>137</v>
      </c>
      <c r="C692" s="6" t="s">
        <v>159</v>
      </c>
      <c r="D692" s="6" t="s">
        <v>153</v>
      </c>
      <c r="E692" s="6" t="s">
        <v>1549</v>
      </c>
      <c r="F692" s="6" t="s">
        <v>178</v>
      </c>
      <c r="G692" s="6">
        <v>38.05</v>
      </c>
      <c r="H692" s="6">
        <v>62.8</v>
      </c>
      <c r="I692" s="6">
        <v>3</v>
      </c>
      <c r="J692" s="7">
        <f>MEDIAN(租金配对!K2521:K2523)</f>
        <v>0.0325758393608982</v>
      </c>
      <c r="K692" s="6" t="s">
        <v>1550</v>
      </c>
      <c r="L692" s="6">
        <f>MEDIAN(租金配对!L2521:L2523)</f>
        <v>0.0355095541401274</v>
      </c>
    </row>
    <row r="693" ht="21" customHeight="1" spans="1:12">
      <c r="A693" s="5" t="s">
        <v>11</v>
      </c>
      <c r="B693" s="6" t="s">
        <v>137</v>
      </c>
      <c r="C693" s="6" t="s">
        <v>159</v>
      </c>
      <c r="D693" s="6" t="s">
        <v>153</v>
      </c>
      <c r="E693" s="6" t="s">
        <v>1551</v>
      </c>
      <c r="F693" s="6" t="s">
        <v>178</v>
      </c>
      <c r="G693" s="6">
        <v>38.05</v>
      </c>
      <c r="H693" s="6">
        <v>59</v>
      </c>
      <c r="I693" s="6">
        <v>3</v>
      </c>
      <c r="J693" s="7">
        <f>MEDIAN(租金配对!K2530:K2532)</f>
        <v>0.0347909057331637</v>
      </c>
      <c r="K693" s="6" t="s">
        <v>1552</v>
      </c>
      <c r="L693" s="6">
        <f>MEDIAN(租金配对!L2530:L2532)</f>
        <v>0.0377966101694915</v>
      </c>
    </row>
    <row r="694" ht="21" customHeight="1" spans="1:12">
      <c r="A694" s="5" t="s">
        <v>11</v>
      </c>
      <c r="B694" s="6" t="s">
        <v>137</v>
      </c>
      <c r="C694" s="6" t="s">
        <v>159</v>
      </c>
      <c r="D694" s="6" t="s">
        <v>153</v>
      </c>
      <c r="E694" s="6" t="s">
        <v>1553</v>
      </c>
      <c r="F694" s="6" t="s">
        <v>181</v>
      </c>
      <c r="G694" s="6">
        <v>38.05</v>
      </c>
      <c r="H694" s="6">
        <v>40</v>
      </c>
      <c r="I694" s="6">
        <v>3</v>
      </c>
      <c r="J694" s="7">
        <f>MEDIAN(租金配对!K2524:K2526)</f>
        <v>0.0521791767554479</v>
      </c>
      <c r="K694" s="6" t="s">
        <v>1554</v>
      </c>
      <c r="L694" s="6">
        <f>MEDIAN(租金配对!L2524:L2526)</f>
        <v>0.05575</v>
      </c>
    </row>
    <row r="695" ht="21" customHeight="1" spans="1:12">
      <c r="A695" s="5" t="s">
        <v>11</v>
      </c>
      <c r="B695" s="6" t="s">
        <v>137</v>
      </c>
      <c r="C695" s="6" t="s">
        <v>159</v>
      </c>
      <c r="D695" s="6" t="s">
        <v>161</v>
      </c>
      <c r="E695" s="6" t="s">
        <v>1555</v>
      </c>
      <c r="F695" s="6" t="s">
        <v>178</v>
      </c>
      <c r="G695" s="6">
        <v>38.05</v>
      </c>
      <c r="H695" s="6">
        <v>65</v>
      </c>
      <c r="I695" s="6">
        <v>0</v>
      </c>
      <c r="J695" s="7"/>
      <c r="K695" s="6" t="s">
        <v>1556</v>
      </c>
      <c r="L695" s="6"/>
    </row>
    <row r="696" ht="21" customHeight="1" spans="1:12">
      <c r="A696" s="5" t="s">
        <v>11</v>
      </c>
      <c r="B696" s="6" t="s">
        <v>139</v>
      </c>
      <c r="C696" s="6" t="s">
        <v>152</v>
      </c>
      <c r="D696" s="6" t="s">
        <v>160</v>
      </c>
      <c r="E696" s="6" t="s">
        <v>1557</v>
      </c>
      <c r="F696" s="6" t="s">
        <v>181</v>
      </c>
      <c r="G696" s="6">
        <v>42.09</v>
      </c>
      <c r="H696" s="6">
        <v>52.7</v>
      </c>
      <c r="I696" s="6">
        <v>0</v>
      </c>
      <c r="J696" s="7"/>
      <c r="K696" s="6" t="s">
        <v>1558</v>
      </c>
      <c r="L696" s="6"/>
    </row>
    <row r="697" ht="21" customHeight="1" spans="1:12">
      <c r="A697" s="5" t="s">
        <v>11</v>
      </c>
      <c r="B697" s="6" t="s">
        <v>139</v>
      </c>
      <c r="C697" s="6" t="s">
        <v>152</v>
      </c>
      <c r="D697" s="6" t="s">
        <v>153</v>
      </c>
      <c r="E697" s="6" t="s">
        <v>1559</v>
      </c>
      <c r="F697" s="6" t="s">
        <v>181</v>
      </c>
      <c r="G697" s="6">
        <v>52.68</v>
      </c>
      <c r="H697" s="6">
        <v>55</v>
      </c>
      <c r="I697" s="6">
        <v>1</v>
      </c>
      <c r="J697" s="7">
        <f>MEDIAN(租金配对!K2588:K2588)</f>
        <v>0.0281201848998459</v>
      </c>
      <c r="K697" s="6" t="s">
        <v>1560</v>
      </c>
      <c r="L697" s="6">
        <f>MEDIAN(租金配对!L2588:L2588)</f>
        <v>0.0309090909090909</v>
      </c>
    </row>
    <row r="698" ht="21" customHeight="1" spans="1:12">
      <c r="A698" s="5" t="s">
        <v>11</v>
      </c>
      <c r="B698" s="6" t="s">
        <v>139</v>
      </c>
      <c r="C698" s="6" t="s">
        <v>152</v>
      </c>
      <c r="D698" s="6" t="s">
        <v>153</v>
      </c>
      <c r="E698" s="6" t="s">
        <v>1561</v>
      </c>
      <c r="F698" s="6" t="s">
        <v>178</v>
      </c>
      <c r="G698" s="6">
        <v>51.54</v>
      </c>
      <c r="H698" s="6">
        <v>58</v>
      </c>
      <c r="I698" s="6">
        <v>1</v>
      </c>
      <c r="J698" s="7">
        <f>MEDIAN(租金配对!K2589:K2589)</f>
        <v>0.0265717625448777</v>
      </c>
      <c r="K698" s="6" t="s">
        <v>1562</v>
      </c>
      <c r="L698" s="6">
        <f>MEDIAN(租金配对!L2589:L2589)</f>
        <v>0.0293103448275862</v>
      </c>
    </row>
    <row r="699" ht="21" customHeight="1" spans="1:12">
      <c r="A699" s="5" t="s">
        <v>11</v>
      </c>
      <c r="B699" s="6" t="s">
        <v>139</v>
      </c>
      <c r="C699" s="6" t="s">
        <v>152</v>
      </c>
      <c r="D699" s="6" t="s">
        <v>155</v>
      </c>
      <c r="E699" s="6" t="s">
        <v>1563</v>
      </c>
      <c r="F699" s="6" t="s">
        <v>178</v>
      </c>
      <c r="G699" s="6">
        <v>53.35</v>
      </c>
      <c r="H699" s="6">
        <v>66</v>
      </c>
      <c r="I699" s="6">
        <v>0</v>
      </c>
      <c r="J699" s="7"/>
      <c r="K699" s="6" t="s">
        <v>1564</v>
      </c>
      <c r="L699" s="6"/>
    </row>
    <row r="700" ht="21" customHeight="1" spans="1:12">
      <c r="A700" s="5" t="s">
        <v>11</v>
      </c>
      <c r="B700" s="6" t="s">
        <v>139</v>
      </c>
      <c r="C700" s="6" t="s">
        <v>152</v>
      </c>
      <c r="D700" s="6" t="s">
        <v>155</v>
      </c>
      <c r="E700" s="6" t="s">
        <v>1565</v>
      </c>
      <c r="F700" s="6" t="s">
        <v>178</v>
      </c>
      <c r="G700" s="6">
        <v>53.35</v>
      </c>
      <c r="H700" s="6">
        <v>69</v>
      </c>
      <c r="I700" s="6">
        <v>0</v>
      </c>
      <c r="J700" s="7"/>
      <c r="K700" s="6" t="s">
        <v>1566</v>
      </c>
      <c r="L700" s="6"/>
    </row>
    <row r="701" ht="21" customHeight="1" spans="1:12">
      <c r="A701" s="5" t="s">
        <v>11</v>
      </c>
      <c r="B701" s="6" t="s">
        <v>139</v>
      </c>
      <c r="C701" s="6" t="s">
        <v>157</v>
      </c>
      <c r="D701" s="6" t="s">
        <v>155</v>
      </c>
      <c r="E701" s="6" t="s">
        <v>1567</v>
      </c>
      <c r="F701" s="6" t="s">
        <v>178</v>
      </c>
      <c r="G701" s="6">
        <v>69.84</v>
      </c>
      <c r="H701" s="6">
        <v>90</v>
      </c>
      <c r="I701" s="6">
        <v>0</v>
      </c>
      <c r="J701" s="7"/>
      <c r="K701" s="6" t="s">
        <v>1568</v>
      </c>
      <c r="L701" s="6"/>
    </row>
    <row r="702" ht="21" customHeight="1" spans="1:12">
      <c r="A702" s="5" t="s">
        <v>11</v>
      </c>
      <c r="B702" s="6" t="s">
        <v>135</v>
      </c>
      <c r="C702" s="6" t="s">
        <v>152</v>
      </c>
      <c r="D702" s="6" t="s">
        <v>160</v>
      </c>
      <c r="E702" s="6" t="s">
        <v>1569</v>
      </c>
      <c r="F702" s="6" t="s">
        <v>181</v>
      </c>
      <c r="G702" s="6">
        <v>46.5</v>
      </c>
      <c r="H702" s="6">
        <v>35</v>
      </c>
      <c r="I702" s="6">
        <v>2</v>
      </c>
      <c r="J702" s="7">
        <f>MEDIAN(租金配对!K2592:K2593)</f>
        <v>0.0438429609131788</v>
      </c>
      <c r="K702" s="6" t="s">
        <v>1570</v>
      </c>
      <c r="L702" s="6">
        <f>MEDIAN(租金配对!L2592:L2593)</f>
        <v>0.0471428571428571</v>
      </c>
    </row>
    <row r="703" ht="21" customHeight="1" spans="1:12">
      <c r="A703" s="5" t="s">
        <v>11</v>
      </c>
      <c r="B703" s="6" t="s">
        <v>135</v>
      </c>
      <c r="C703" s="6" t="s">
        <v>152</v>
      </c>
      <c r="D703" s="6" t="s">
        <v>160</v>
      </c>
      <c r="E703" s="6" t="s">
        <v>1571</v>
      </c>
      <c r="F703" s="6" t="s">
        <v>181</v>
      </c>
      <c r="G703" s="6">
        <v>46.67</v>
      </c>
      <c r="H703" s="6">
        <v>35</v>
      </c>
      <c r="I703" s="6">
        <v>2</v>
      </c>
      <c r="J703" s="7">
        <f>MEDIAN(租金配对!K2590:K2591)</f>
        <v>0.0438429609131788</v>
      </c>
      <c r="K703" s="6" t="s">
        <v>1572</v>
      </c>
      <c r="L703" s="6">
        <f>MEDIAN(租金配对!L2590:L2591)</f>
        <v>0.0471428571428571</v>
      </c>
    </row>
    <row r="704" ht="21" customHeight="1" spans="1:12">
      <c r="A704" s="5" t="s">
        <v>11</v>
      </c>
      <c r="B704" s="6" t="s">
        <v>135</v>
      </c>
      <c r="C704" s="6" t="s">
        <v>152</v>
      </c>
      <c r="D704" s="6" t="s">
        <v>153</v>
      </c>
      <c r="E704" s="6" t="s">
        <v>1573</v>
      </c>
      <c r="F704" s="6" t="s">
        <v>181</v>
      </c>
      <c r="G704" s="6">
        <v>46.5</v>
      </c>
      <c r="H704" s="6">
        <v>38</v>
      </c>
      <c r="I704" s="6">
        <v>0</v>
      </c>
      <c r="J704" s="7"/>
      <c r="K704" s="6" t="s">
        <v>1574</v>
      </c>
      <c r="L704" s="6"/>
    </row>
    <row r="705" ht="21" customHeight="1" spans="1:12">
      <c r="A705" s="5" t="s">
        <v>11</v>
      </c>
      <c r="B705" s="6" t="s">
        <v>135</v>
      </c>
      <c r="C705" s="6" t="s">
        <v>157</v>
      </c>
      <c r="D705" s="6" t="s">
        <v>153</v>
      </c>
      <c r="E705" s="6" t="s">
        <v>1575</v>
      </c>
      <c r="F705" s="6" t="s">
        <v>181</v>
      </c>
      <c r="G705" s="6">
        <v>72.68</v>
      </c>
      <c r="H705" s="6">
        <v>61.8</v>
      </c>
      <c r="I705" s="6">
        <v>0</v>
      </c>
      <c r="J705" s="7"/>
      <c r="K705" s="6" t="s">
        <v>1576</v>
      </c>
      <c r="L705" s="6"/>
    </row>
    <row r="706" ht="21" customHeight="1" spans="1:12">
      <c r="A706" s="5" t="s">
        <v>11</v>
      </c>
      <c r="B706" s="6" t="s">
        <v>143</v>
      </c>
      <c r="C706" s="6" t="s">
        <v>152</v>
      </c>
      <c r="D706" s="6" t="s">
        <v>160</v>
      </c>
      <c r="E706" s="6" t="s">
        <v>1577</v>
      </c>
      <c r="F706" s="6" t="s">
        <v>178</v>
      </c>
      <c r="G706" s="6">
        <v>46.05</v>
      </c>
      <c r="H706" s="6">
        <v>39.8</v>
      </c>
      <c r="I706" s="6">
        <v>0</v>
      </c>
      <c r="J706" s="7"/>
      <c r="K706" s="6" t="s">
        <v>1578</v>
      </c>
      <c r="L706" s="6"/>
    </row>
    <row r="707" ht="21" customHeight="1" spans="1:12">
      <c r="A707" s="5" t="s">
        <v>11</v>
      </c>
      <c r="B707" s="6" t="s">
        <v>143</v>
      </c>
      <c r="C707" s="6" t="s">
        <v>152</v>
      </c>
      <c r="D707" s="6" t="s">
        <v>153</v>
      </c>
      <c r="E707" s="6" t="s">
        <v>1579</v>
      </c>
      <c r="F707" s="6" t="s">
        <v>181</v>
      </c>
      <c r="G707" s="6">
        <v>51.74</v>
      </c>
      <c r="H707" s="6">
        <v>41</v>
      </c>
      <c r="I707" s="6">
        <v>0</v>
      </c>
      <c r="J707" s="7"/>
      <c r="K707" s="6" t="s">
        <v>1580</v>
      </c>
      <c r="L707" s="6"/>
    </row>
  </sheetData>
  <conditionalFormatting sqref="J7:J707">
    <cfRule type="colorScale" priority="1">
      <colorScale>
        <cfvo type="min"/>
        <cfvo type="percentile" val="50"/>
        <cfvo type="max"/>
        <color rgb="FFFAD4D4"/>
        <color rgb="FFF4F6F8"/>
        <color rgb="FFD1F6DA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593"/>
  <sheetViews>
    <sheetView showGridLines="0" tabSelected="1" workbookViewId="0">
      <pane ySplit="6" topLeftCell="A2576" activePane="bottomLeft" state="frozen"/>
      <selection/>
      <selection pane="bottomLeft" activeCell="B6" sqref="B6:M2593"/>
    </sheetView>
  </sheetViews>
  <sheetFormatPr defaultColWidth="9" defaultRowHeight="16.8"/>
  <cols>
    <col min="1" max="1" width="13" customWidth="1"/>
    <col min="2" max="2" width="23" customWidth="1"/>
    <col min="3" max="3" width="13" customWidth="1"/>
    <col min="4" max="4" width="12" customWidth="1"/>
    <col min="5" max="5" width="24" customWidth="1"/>
    <col min="6" max="6" width="32" customWidth="1"/>
    <col min="7" max="10" width="16" customWidth="1"/>
    <col min="11" max="11" width="23" customWidth="1"/>
    <col min="12" max="12" width="19" customWidth="1"/>
    <col min="13" max="13" width="21" customWidth="1"/>
  </cols>
  <sheetData>
    <row r="2" ht="22" spans="1:13">
      <c r="A2" s="1" t="s">
        <v>1581</v>
      </c>
    </row>
    <row r="3" spans="1:13">
      <c r="A3" s="2" t="s">
        <v>1582</v>
      </c>
    </row>
    <row r="6" ht="28" customHeight="1" spans="1:13">
      <c r="A6" s="3" t="s">
        <v>2</v>
      </c>
      <c r="B6" s="4" t="s">
        <v>35</v>
      </c>
      <c r="C6" s="4" t="s">
        <v>146</v>
      </c>
      <c r="D6" s="4" t="s">
        <v>169</v>
      </c>
      <c r="E6" s="4" t="s">
        <v>1583</v>
      </c>
      <c r="F6" s="4" t="s">
        <v>1584</v>
      </c>
      <c r="G6" s="4" t="s">
        <v>1585</v>
      </c>
      <c r="H6" s="4" t="s">
        <v>1586</v>
      </c>
      <c r="I6" s="4" t="s">
        <v>173</v>
      </c>
      <c r="J6" s="4" t="s">
        <v>1587</v>
      </c>
      <c r="K6" s="4" t="s">
        <v>175</v>
      </c>
      <c r="L6" s="4" t="s">
        <v>39</v>
      </c>
      <c r="M6" s="4" t="s">
        <v>1588</v>
      </c>
    </row>
    <row r="7" ht="21" customHeight="1" spans="1:13">
      <c r="A7" s="5" t="s">
        <v>13</v>
      </c>
      <c r="B7" s="6" t="s">
        <v>50</v>
      </c>
      <c r="C7" s="6" t="s">
        <v>152</v>
      </c>
      <c r="D7" s="6" t="s">
        <v>153</v>
      </c>
      <c r="E7" s="6" t="s">
        <v>180</v>
      </c>
      <c r="F7" s="6" t="s">
        <v>1589</v>
      </c>
      <c r="G7" s="6">
        <v>59.3</v>
      </c>
      <c r="H7" s="6">
        <v>57.93</v>
      </c>
      <c r="I7" s="6">
        <v>97</v>
      </c>
      <c r="J7" s="6">
        <v>2200</v>
      </c>
      <c r="K7" s="7">
        <f>(J7-M7)*税费参数!$B$12/(I7*10000*(1+SUM(税费参数!$B$6:$B$8)))</f>
        <v>0.0201505204563041</v>
      </c>
      <c r="L7" s="7">
        <f>J7*税费参数!$B$12/(I7*10000)</f>
        <v>0.022680412371134</v>
      </c>
      <c r="M7" s="6">
        <f>I7*10000*SUM(税费参数!$B$9:$B$10)/税费参数!$B$11</f>
        <v>181.875</v>
      </c>
    </row>
    <row r="8" ht="21" customHeight="1" spans="1:13">
      <c r="A8" s="5" t="s">
        <v>13</v>
      </c>
      <c r="B8" s="6" t="s">
        <v>50</v>
      </c>
      <c r="C8" s="6" t="s">
        <v>152</v>
      </c>
      <c r="D8" s="6" t="s">
        <v>153</v>
      </c>
      <c r="E8" s="6" t="s">
        <v>180</v>
      </c>
      <c r="F8" s="6" t="s">
        <v>1590</v>
      </c>
      <c r="G8" s="6">
        <v>59.3</v>
      </c>
      <c r="H8" s="6">
        <v>60</v>
      </c>
      <c r="I8" s="6">
        <v>97</v>
      </c>
      <c r="J8" s="6">
        <v>2300</v>
      </c>
      <c r="K8" s="7">
        <f>(J8-M8)*税费参数!$B$12/(I8*10000*(1+SUM(税费参数!$B$6:$B$8)))</f>
        <v>0.021148997778388</v>
      </c>
      <c r="L8" s="7">
        <f>J8*税费参数!$B$12/(I8*10000)</f>
        <v>0.0237113402061856</v>
      </c>
      <c r="M8" s="6">
        <f>I8*10000*SUM(税费参数!$B$9:$B$10)/税费参数!$B$11</f>
        <v>181.875</v>
      </c>
    </row>
    <row r="9" ht="21" customHeight="1" spans="1:13">
      <c r="A9" s="5" t="s">
        <v>13</v>
      </c>
      <c r="B9" s="6" t="s">
        <v>50</v>
      </c>
      <c r="C9" s="6" t="s">
        <v>152</v>
      </c>
      <c r="D9" s="6" t="s">
        <v>153</v>
      </c>
      <c r="E9" s="6" t="s">
        <v>177</v>
      </c>
      <c r="F9" s="6" t="s">
        <v>1589</v>
      </c>
      <c r="G9" s="6">
        <v>57.93</v>
      </c>
      <c r="H9" s="6">
        <v>57.93</v>
      </c>
      <c r="I9" s="6">
        <v>95</v>
      </c>
      <c r="J9" s="6">
        <v>2200</v>
      </c>
      <c r="K9" s="7">
        <f>(J9-M9)*税费参数!$B$12/(I9*10000*(1+SUM(税费参数!$B$6:$B$8)))</f>
        <v>0.020612973110743</v>
      </c>
      <c r="L9" s="7">
        <f>J9*税费参数!$B$12/(I9*10000)</f>
        <v>0.0231578947368421</v>
      </c>
      <c r="M9" s="6">
        <f>I9*10000*SUM(税费参数!$B$9:$B$10)/税费参数!$B$11</f>
        <v>178.125</v>
      </c>
    </row>
    <row r="10" ht="21" customHeight="1" spans="1:13">
      <c r="A10" s="5" t="s">
        <v>13</v>
      </c>
      <c r="B10" s="6" t="s">
        <v>50</v>
      </c>
      <c r="C10" s="6" t="s">
        <v>152</v>
      </c>
      <c r="D10" s="6" t="s">
        <v>153</v>
      </c>
      <c r="E10" s="6" t="s">
        <v>177</v>
      </c>
      <c r="F10" s="6" t="s">
        <v>1590</v>
      </c>
      <c r="G10" s="6">
        <v>57.93</v>
      </c>
      <c r="H10" s="6">
        <v>60</v>
      </c>
      <c r="I10" s="6">
        <v>95</v>
      </c>
      <c r="J10" s="6">
        <v>2300</v>
      </c>
      <c r="K10" s="7">
        <f>(J10-M10)*税费参数!$B$12/(I10*10000*(1+SUM(税费参数!$B$6:$B$8)))</f>
        <v>0.0216324710080285</v>
      </c>
      <c r="L10" s="7">
        <f>J10*税费参数!$B$12/(I10*10000)</f>
        <v>0.0242105263157895</v>
      </c>
      <c r="M10" s="6">
        <f>I10*10000*SUM(税费参数!$B$9:$B$10)/税费参数!$B$11</f>
        <v>178.125</v>
      </c>
    </row>
    <row r="11" ht="21" customHeight="1" spans="1:13">
      <c r="A11" s="5" t="s">
        <v>13</v>
      </c>
      <c r="B11" s="6" t="s">
        <v>50</v>
      </c>
      <c r="C11" s="6" t="s">
        <v>157</v>
      </c>
      <c r="D11" s="6" t="s">
        <v>153</v>
      </c>
      <c r="E11" s="6" t="s">
        <v>189</v>
      </c>
      <c r="F11" s="6" t="s">
        <v>1591</v>
      </c>
      <c r="G11" s="6">
        <v>60.74</v>
      </c>
      <c r="H11" s="6">
        <v>62.16</v>
      </c>
      <c r="I11" s="6">
        <v>110</v>
      </c>
      <c r="J11" s="6">
        <v>2400</v>
      </c>
      <c r="K11" s="7">
        <f>(J11-M11)*税费参数!$B$12/(I11*10000*(1+SUM(税费参数!$B$6:$B$8)))</f>
        <v>0.0193154303323795</v>
      </c>
      <c r="L11" s="7">
        <f>J11*税费参数!$B$12/(I11*10000)</f>
        <v>0.0218181818181818</v>
      </c>
      <c r="M11" s="6">
        <f>I11*10000*SUM(税费参数!$B$9:$B$10)/税费参数!$B$11</f>
        <v>206.25</v>
      </c>
    </row>
    <row r="12" ht="21" customHeight="1" spans="1:13">
      <c r="A12" s="5" t="s">
        <v>13</v>
      </c>
      <c r="B12" s="6" t="s">
        <v>50</v>
      </c>
      <c r="C12" s="6" t="s">
        <v>157</v>
      </c>
      <c r="D12" s="6" t="s">
        <v>153</v>
      </c>
      <c r="E12" s="6" t="s">
        <v>187</v>
      </c>
      <c r="F12" s="6" t="s">
        <v>1591</v>
      </c>
      <c r="G12" s="6">
        <v>60.74</v>
      </c>
      <c r="H12" s="6">
        <v>62.16</v>
      </c>
      <c r="I12" s="6">
        <v>120</v>
      </c>
      <c r="J12" s="6">
        <v>2400</v>
      </c>
      <c r="K12" s="7">
        <f>(J12-M12)*税费参数!$B$12/(I12*10000*(1+SUM(税费参数!$B$6:$B$8)))</f>
        <v>0.0175544794188862</v>
      </c>
      <c r="L12" s="7">
        <f>J12*税费参数!$B$12/(I12*10000)</f>
        <v>0.02</v>
      </c>
      <c r="M12" s="6">
        <f>I12*10000*SUM(税费参数!$B$9:$B$10)/税费参数!$B$11</f>
        <v>225</v>
      </c>
    </row>
    <row r="13" ht="21" customHeight="1" spans="1:13">
      <c r="A13" s="5" t="s">
        <v>13</v>
      </c>
      <c r="B13" s="6" t="s">
        <v>47</v>
      </c>
      <c r="C13" s="6" t="s">
        <v>152</v>
      </c>
      <c r="D13" s="6" t="s">
        <v>153</v>
      </c>
      <c r="E13" s="6" t="s">
        <v>199</v>
      </c>
      <c r="F13" s="6" t="s">
        <v>1592</v>
      </c>
      <c r="G13" s="6">
        <v>55.41</v>
      </c>
      <c r="H13" s="6">
        <v>59.44</v>
      </c>
      <c r="I13" s="6">
        <v>95</v>
      </c>
      <c r="J13" s="6">
        <v>2700</v>
      </c>
      <c r="K13" s="7">
        <f>(J13-M13)*税费参数!$B$12/(I13*10000*(1+SUM(税费参数!$B$6:$B$8)))</f>
        <v>0.0257104625971709</v>
      </c>
      <c r="L13" s="7">
        <f>J13*税费参数!$B$12/(I13*10000)</f>
        <v>0.0284210526315789</v>
      </c>
      <c r="M13" s="6">
        <f>I13*10000*SUM(税费参数!$B$9:$B$10)/税费参数!$B$11</f>
        <v>178.125</v>
      </c>
    </row>
    <row r="14" ht="21" customHeight="1" spans="1:13">
      <c r="A14" s="5" t="s">
        <v>13</v>
      </c>
      <c r="B14" s="6" t="s">
        <v>47</v>
      </c>
      <c r="C14" s="6" t="s">
        <v>152</v>
      </c>
      <c r="D14" s="6" t="s">
        <v>153</v>
      </c>
      <c r="E14" s="6" t="s">
        <v>199</v>
      </c>
      <c r="F14" s="6" t="s">
        <v>1593</v>
      </c>
      <c r="G14" s="6">
        <v>55.41</v>
      </c>
      <c r="H14" s="6">
        <v>57.05</v>
      </c>
      <c r="I14" s="6">
        <v>95</v>
      </c>
      <c r="J14" s="6">
        <v>2300</v>
      </c>
      <c r="K14" s="7">
        <f>(J14-M14)*税费参数!$B$12/(I14*10000*(1+SUM(税费参数!$B$6:$B$8)))</f>
        <v>0.0216324710080285</v>
      </c>
      <c r="L14" s="7">
        <f>J14*税费参数!$B$12/(I14*10000)</f>
        <v>0.0242105263157895</v>
      </c>
      <c r="M14" s="6">
        <f>I14*10000*SUM(税费参数!$B$9:$B$10)/税费参数!$B$11</f>
        <v>178.125</v>
      </c>
    </row>
    <row r="15" ht="21" customHeight="1" spans="1:13">
      <c r="A15" s="5" t="s">
        <v>13</v>
      </c>
      <c r="B15" s="6" t="s">
        <v>47</v>
      </c>
      <c r="C15" s="6" t="s">
        <v>152</v>
      </c>
      <c r="D15" s="6" t="s">
        <v>153</v>
      </c>
      <c r="E15" s="6" t="s">
        <v>201</v>
      </c>
      <c r="F15" s="6" t="s">
        <v>1592</v>
      </c>
      <c r="G15" s="6">
        <v>59.44</v>
      </c>
      <c r="H15" s="6">
        <v>59.44</v>
      </c>
      <c r="I15" s="6">
        <v>95</v>
      </c>
      <c r="J15" s="6">
        <v>2700</v>
      </c>
      <c r="K15" s="7">
        <f>(J15-M15)*税费参数!$B$12/(I15*10000*(1+SUM(税费参数!$B$6:$B$8)))</f>
        <v>0.0257104625971709</v>
      </c>
      <c r="L15" s="7">
        <f>J15*税费参数!$B$12/(I15*10000)</f>
        <v>0.0284210526315789</v>
      </c>
      <c r="M15" s="6">
        <f>I15*10000*SUM(税费参数!$B$9:$B$10)/税费参数!$B$11</f>
        <v>178.125</v>
      </c>
    </row>
    <row r="16" ht="21" customHeight="1" spans="1:13">
      <c r="A16" s="5" t="s">
        <v>13</v>
      </c>
      <c r="B16" s="6" t="s">
        <v>47</v>
      </c>
      <c r="C16" s="6" t="s">
        <v>152</v>
      </c>
      <c r="D16" s="6" t="s">
        <v>153</v>
      </c>
      <c r="E16" s="6" t="s">
        <v>201</v>
      </c>
      <c r="F16" s="6" t="s">
        <v>1593</v>
      </c>
      <c r="G16" s="6">
        <v>59.44</v>
      </c>
      <c r="H16" s="6">
        <v>57.05</v>
      </c>
      <c r="I16" s="6">
        <v>95</v>
      </c>
      <c r="J16" s="6">
        <v>2300</v>
      </c>
      <c r="K16" s="7">
        <f>(J16-M16)*税费参数!$B$12/(I16*10000*(1+SUM(税费参数!$B$6:$B$8)))</f>
        <v>0.0216324710080285</v>
      </c>
      <c r="L16" s="7">
        <f>J16*税费参数!$B$12/(I16*10000)</f>
        <v>0.0242105263157895</v>
      </c>
      <c r="M16" s="6">
        <f>I16*10000*SUM(税费参数!$B$9:$B$10)/税费参数!$B$11</f>
        <v>178.125</v>
      </c>
    </row>
    <row r="17" ht="21" customHeight="1" spans="1:13">
      <c r="A17" s="5" t="s">
        <v>13</v>
      </c>
      <c r="B17" s="6" t="s">
        <v>45</v>
      </c>
      <c r="C17" s="6" t="s">
        <v>152</v>
      </c>
      <c r="D17" s="6" t="s">
        <v>153</v>
      </c>
      <c r="E17" s="6" t="s">
        <v>203</v>
      </c>
      <c r="F17" s="6" t="s">
        <v>1594</v>
      </c>
      <c r="G17" s="6">
        <v>51.94</v>
      </c>
      <c r="H17" s="6">
        <v>48.56</v>
      </c>
      <c r="I17" s="6">
        <v>98</v>
      </c>
      <c r="J17" s="6">
        <v>2600</v>
      </c>
      <c r="K17" s="7">
        <f>(J17-M17)*税费参数!$B$12/(I17*10000*(1+SUM(税费参数!$B$6:$B$8)))</f>
        <v>0.0238795275979641</v>
      </c>
      <c r="L17" s="7">
        <f>J17*税费参数!$B$12/(I17*10000)</f>
        <v>0.026530612244898</v>
      </c>
      <c r="M17" s="6">
        <f>I17*10000*SUM(税费参数!$B$9:$B$10)/税费参数!$B$11</f>
        <v>183.75</v>
      </c>
    </row>
    <row r="18" ht="21" customHeight="1" spans="1:13">
      <c r="A18" s="5" t="s">
        <v>13</v>
      </c>
      <c r="B18" s="6" t="s">
        <v>45</v>
      </c>
      <c r="C18" s="6" t="s">
        <v>152</v>
      </c>
      <c r="D18" s="6" t="s">
        <v>153</v>
      </c>
      <c r="E18" s="6" t="s">
        <v>203</v>
      </c>
      <c r="F18" s="6" t="s">
        <v>1595</v>
      </c>
      <c r="G18" s="6">
        <v>51.94</v>
      </c>
      <c r="H18" s="6">
        <v>48.56</v>
      </c>
      <c r="I18" s="6">
        <v>98</v>
      </c>
      <c r="J18" s="6">
        <v>2800</v>
      </c>
      <c r="K18" s="7">
        <f>(J18-M18)*税费参数!$B$12/(I18*10000*(1+SUM(税费参数!$B$6:$B$8)))</f>
        <v>0.025856105153926</v>
      </c>
      <c r="L18" s="7">
        <f>J18*税费参数!$B$12/(I18*10000)</f>
        <v>0.0285714285714286</v>
      </c>
      <c r="M18" s="6">
        <f>I18*10000*SUM(税费参数!$B$9:$B$10)/税费参数!$B$11</f>
        <v>183.75</v>
      </c>
    </row>
    <row r="19" ht="21" customHeight="1" spans="1:13">
      <c r="A19" s="5" t="s">
        <v>13</v>
      </c>
      <c r="B19" s="6" t="s">
        <v>45</v>
      </c>
      <c r="C19" s="6" t="s">
        <v>152</v>
      </c>
      <c r="D19" s="6" t="s">
        <v>153</v>
      </c>
      <c r="E19" s="6" t="s">
        <v>205</v>
      </c>
      <c r="F19" s="6" t="s">
        <v>1594</v>
      </c>
      <c r="G19" s="6">
        <v>48.56</v>
      </c>
      <c r="H19" s="6">
        <v>48.56</v>
      </c>
      <c r="I19" s="6">
        <v>92</v>
      </c>
      <c r="J19" s="6">
        <v>2600</v>
      </c>
      <c r="K19" s="7">
        <f>(J19-M19)*税费参数!$B$12/(I19*10000*(1+SUM(税费参数!$B$6:$B$8)))</f>
        <v>0.0255553216128013</v>
      </c>
      <c r="L19" s="7">
        <f>J19*税费参数!$B$12/(I19*10000)</f>
        <v>0.0282608695652174</v>
      </c>
      <c r="M19" s="6">
        <f>I19*10000*SUM(税费参数!$B$9:$B$10)/税费参数!$B$11</f>
        <v>172.5</v>
      </c>
    </row>
    <row r="20" ht="21" customHeight="1" spans="1:13">
      <c r="A20" s="5" t="s">
        <v>13</v>
      </c>
      <c r="B20" s="6" t="s">
        <v>45</v>
      </c>
      <c r="C20" s="6" t="s">
        <v>152</v>
      </c>
      <c r="D20" s="6" t="s">
        <v>153</v>
      </c>
      <c r="E20" s="6" t="s">
        <v>205</v>
      </c>
      <c r="F20" s="6" t="s">
        <v>1595</v>
      </c>
      <c r="G20" s="6">
        <v>48.56</v>
      </c>
      <c r="H20" s="6">
        <v>48.56</v>
      </c>
      <c r="I20" s="6">
        <v>92</v>
      </c>
      <c r="J20" s="6">
        <v>2800</v>
      </c>
      <c r="K20" s="7">
        <f>(J20-M20)*税费参数!$B$12/(I20*10000*(1+SUM(税费参数!$B$6:$B$8)))</f>
        <v>0.0276608064006738</v>
      </c>
      <c r="L20" s="7">
        <f>J20*税费参数!$B$12/(I20*10000)</f>
        <v>0.0304347826086957</v>
      </c>
      <c r="M20" s="6">
        <f>I20*10000*SUM(税费参数!$B$9:$B$10)/税费参数!$B$11</f>
        <v>172.5</v>
      </c>
    </row>
    <row r="21" ht="21" customHeight="1" spans="1:13">
      <c r="A21" s="5" t="s">
        <v>13</v>
      </c>
      <c r="B21" s="6" t="s">
        <v>46</v>
      </c>
      <c r="C21" s="6" t="s">
        <v>157</v>
      </c>
      <c r="D21" s="6" t="s">
        <v>155</v>
      </c>
      <c r="E21" s="6" t="s">
        <v>207</v>
      </c>
      <c r="F21" s="6" t="s">
        <v>1596</v>
      </c>
      <c r="G21" s="6">
        <v>68.61</v>
      </c>
      <c r="H21" s="6">
        <v>68.61</v>
      </c>
      <c r="I21" s="6">
        <v>103</v>
      </c>
      <c r="J21" s="6">
        <v>2900</v>
      </c>
      <c r="K21" s="7">
        <f>(J21-M21)*税费参数!$B$12/(I21*10000*(1+SUM(税费参数!$B$6:$B$8)))</f>
        <v>0.0254531136133901</v>
      </c>
      <c r="L21" s="7">
        <f>J21*税费参数!$B$12/(I21*10000)</f>
        <v>0.0281553398058252</v>
      </c>
      <c r="M21" s="6">
        <f>I21*10000*SUM(税费参数!$B$9:$B$10)/税费参数!$B$11</f>
        <v>193.125</v>
      </c>
    </row>
    <row r="22" ht="21" customHeight="1" spans="1:13">
      <c r="A22" s="5" t="s">
        <v>13</v>
      </c>
      <c r="B22" s="6" t="s">
        <v>42</v>
      </c>
      <c r="C22" s="6" t="s">
        <v>152</v>
      </c>
      <c r="D22" s="6" t="s">
        <v>153</v>
      </c>
      <c r="E22" s="6" t="s">
        <v>209</v>
      </c>
      <c r="F22" s="6" t="s">
        <v>1597</v>
      </c>
      <c r="G22" s="6">
        <v>44.29</v>
      </c>
      <c r="H22" s="6">
        <v>44.29</v>
      </c>
      <c r="I22" s="6">
        <v>55</v>
      </c>
      <c r="J22" s="6">
        <v>1800</v>
      </c>
      <c r="K22" s="7">
        <f>(J22-M22)*税费参数!$B$12/(I22*10000*(1+SUM(税费参数!$B$6:$B$8)))</f>
        <v>0.0298811358133392</v>
      </c>
      <c r="L22" s="7">
        <f>J22*税费参数!$B$12/(I22*10000)</f>
        <v>0.0327272727272727</v>
      </c>
      <c r="M22" s="6">
        <f>I22*10000*SUM(税费参数!$B$9:$B$10)/税费参数!$B$11</f>
        <v>103.125</v>
      </c>
    </row>
    <row r="23" ht="21" customHeight="1" spans="1:13">
      <c r="A23" s="5" t="s">
        <v>13</v>
      </c>
      <c r="B23" s="6" t="s">
        <v>43</v>
      </c>
      <c r="C23" s="6" t="s">
        <v>152</v>
      </c>
      <c r="D23" s="6" t="s">
        <v>153</v>
      </c>
      <c r="E23" s="6" t="s">
        <v>211</v>
      </c>
      <c r="F23" s="6" t="s">
        <v>1598</v>
      </c>
      <c r="G23" s="6">
        <v>47.04</v>
      </c>
      <c r="H23" s="6">
        <v>51.24</v>
      </c>
      <c r="I23" s="6">
        <v>75</v>
      </c>
      <c r="J23" s="6">
        <v>2200</v>
      </c>
      <c r="K23" s="7">
        <f>(J23-M23)*税费参数!$B$12/(I23*10000*(1+SUM(税费参数!$B$6:$B$8)))</f>
        <v>0.0265940274414851</v>
      </c>
      <c r="L23" s="7">
        <f>J23*税费参数!$B$12/(I23*10000)</f>
        <v>0.0293333333333333</v>
      </c>
      <c r="M23" s="6">
        <f>I23*10000*SUM(税费参数!$B$9:$B$10)/税费参数!$B$11</f>
        <v>140.625</v>
      </c>
    </row>
    <row r="24" ht="21" customHeight="1" spans="1:13">
      <c r="A24" s="5" t="s">
        <v>13</v>
      </c>
      <c r="B24" s="6" t="s">
        <v>48</v>
      </c>
      <c r="C24" s="6" t="s">
        <v>152</v>
      </c>
      <c r="D24" s="6" t="s">
        <v>153</v>
      </c>
      <c r="E24" s="6" t="s">
        <v>215</v>
      </c>
      <c r="F24" s="6" t="s">
        <v>1599</v>
      </c>
      <c r="G24" s="6">
        <v>52.51</v>
      </c>
      <c r="H24" s="6">
        <v>50</v>
      </c>
      <c r="I24" s="6">
        <v>73</v>
      </c>
      <c r="J24" s="6">
        <v>2000</v>
      </c>
      <c r="K24" s="7">
        <f>(J24-M24)*税费参数!$B$12/(I24*10000*(1+SUM(税费参数!$B$6:$B$8)))</f>
        <v>0.024718896149126</v>
      </c>
      <c r="L24" s="7">
        <f>J24*税费参数!$B$12/(I24*10000)</f>
        <v>0.0273972602739726</v>
      </c>
      <c r="M24" s="6">
        <f>I24*10000*SUM(税费参数!$B$9:$B$10)/税费参数!$B$11</f>
        <v>136.875</v>
      </c>
    </row>
    <row r="25" ht="21" customHeight="1" spans="1:13">
      <c r="A25" s="5" t="s">
        <v>13</v>
      </c>
      <c r="B25" s="6" t="s">
        <v>48</v>
      </c>
      <c r="C25" s="6" t="s">
        <v>152</v>
      </c>
      <c r="D25" s="6" t="s">
        <v>153</v>
      </c>
      <c r="E25" s="6" t="s">
        <v>215</v>
      </c>
      <c r="F25" s="6" t="s">
        <v>1600</v>
      </c>
      <c r="G25" s="6">
        <v>52.51</v>
      </c>
      <c r="H25" s="6">
        <v>52.51</v>
      </c>
      <c r="I25" s="6">
        <v>73</v>
      </c>
      <c r="J25" s="6">
        <v>2200</v>
      </c>
      <c r="K25" s="7">
        <f>(J25-M25)*税费参数!$B$12/(I25*10000*(1+SUM(税费参数!$B$6:$B$8)))</f>
        <v>0.0273723838269926</v>
      </c>
      <c r="L25" s="7">
        <f>J25*税费参数!$B$12/(I25*10000)</f>
        <v>0.0301369863013699</v>
      </c>
      <c r="M25" s="6">
        <f>I25*10000*SUM(税费参数!$B$9:$B$10)/税费参数!$B$11</f>
        <v>136.875</v>
      </c>
    </row>
    <row r="26" ht="21" customHeight="1" spans="1:13">
      <c r="A26" s="5" t="s">
        <v>13</v>
      </c>
      <c r="B26" s="6" t="s">
        <v>48</v>
      </c>
      <c r="C26" s="6" t="s">
        <v>152</v>
      </c>
      <c r="D26" s="6" t="s">
        <v>155</v>
      </c>
      <c r="E26" s="6" t="s">
        <v>217</v>
      </c>
      <c r="F26" s="6" t="s">
        <v>1601</v>
      </c>
      <c r="G26" s="6">
        <v>52.51</v>
      </c>
      <c r="H26" s="6">
        <v>53.39</v>
      </c>
      <c r="I26" s="6">
        <v>80</v>
      </c>
      <c r="J26" s="6">
        <v>2100</v>
      </c>
      <c r="K26" s="7">
        <f>(J26-M26)*税费参数!$B$12/(I26*10000*(1+SUM(税费参数!$B$6:$B$8)))</f>
        <v>0.0236077481840194</v>
      </c>
      <c r="L26" s="7">
        <f>J26*税费参数!$B$12/(I26*10000)</f>
        <v>0.02625</v>
      </c>
      <c r="M26" s="6">
        <f>I26*10000*SUM(税费参数!$B$9:$B$10)/税费参数!$B$11</f>
        <v>150</v>
      </c>
    </row>
    <row r="27" ht="21" customHeight="1" spans="1:13">
      <c r="A27" s="5" t="s">
        <v>13</v>
      </c>
      <c r="B27" s="6" t="s">
        <v>48</v>
      </c>
      <c r="C27" s="6" t="s">
        <v>157</v>
      </c>
      <c r="D27" s="6" t="s">
        <v>155</v>
      </c>
      <c r="E27" s="6" t="s">
        <v>221</v>
      </c>
      <c r="F27" s="6" t="s">
        <v>1602</v>
      </c>
      <c r="G27" s="6">
        <v>69.88</v>
      </c>
      <c r="H27" s="6">
        <v>67.81</v>
      </c>
      <c r="I27" s="6">
        <v>105</v>
      </c>
      <c r="J27" s="6">
        <v>2100</v>
      </c>
      <c r="K27" s="7">
        <f>(J27-M27)*税费参数!$B$12/(I27*10000*(1+SUM(税费参数!$B$6:$B$8)))</f>
        <v>0.0175544794188862</v>
      </c>
      <c r="L27" s="7">
        <f>J27*税费参数!$B$12/(I27*10000)</f>
        <v>0.02</v>
      </c>
      <c r="M27" s="6">
        <f>I27*10000*SUM(税费参数!$B$9:$B$10)/税费参数!$B$11</f>
        <v>196.875</v>
      </c>
    </row>
    <row r="28" ht="21" customHeight="1" spans="1:13">
      <c r="A28" s="5" t="s">
        <v>13</v>
      </c>
      <c r="B28" s="6" t="s">
        <v>48</v>
      </c>
      <c r="C28" s="6" t="s">
        <v>157</v>
      </c>
      <c r="D28" s="6" t="s">
        <v>155</v>
      </c>
      <c r="E28" s="6" t="s">
        <v>221</v>
      </c>
      <c r="F28" s="6" t="s">
        <v>1603</v>
      </c>
      <c r="G28" s="6">
        <v>69.88</v>
      </c>
      <c r="H28" s="6">
        <v>65.86</v>
      </c>
      <c r="I28" s="6">
        <v>105</v>
      </c>
      <c r="J28" s="6">
        <v>2500</v>
      </c>
      <c r="K28" s="7">
        <f>(J28-M28)*税费参数!$B$12/(I28*10000*(1+SUM(税费参数!$B$6:$B$8)))</f>
        <v>0.0212440908566817</v>
      </c>
      <c r="L28" s="7">
        <f>J28*税费参数!$B$12/(I28*10000)</f>
        <v>0.0238095238095238</v>
      </c>
      <c r="M28" s="6">
        <f>I28*10000*SUM(税费参数!$B$9:$B$10)/税费参数!$B$11</f>
        <v>196.875</v>
      </c>
    </row>
    <row r="29" ht="21" customHeight="1" spans="1:13">
      <c r="A29" s="5" t="s">
        <v>13</v>
      </c>
      <c r="B29" s="6" t="s">
        <v>48</v>
      </c>
      <c r="C29" s="6" t="s">
        <v>157</v>
      </c>
      <c r="D29" s="6" t="s">
        <v>155</v>
      </c>
      <c r="E29" s="6" t="s">
        <v>219</v>
      </c>
      <c r="F29" s="6" t="s">
        <v>1602</v>
      </c>
      <c r="G29" s="6">
        <v>69.69</v>
      </c>
      <c r="H29" s="6">
        <v>67.81</v>
      </c>
      <c r="I29" s="6">
        <v>105</v>
      </c>
      <c r="J29" s="6">
        <v>2100</v>
      </c>
      <c r="K29" s="7">
        <f>(J29-M29)*税费参数!$B$12/(I29*10000*(1+SUM(税费参数!$B$6:$B$8)))</f>
        <v>0.0175544794188862</v>
      </c>
      <c r="L29" s="7">
        <f>J29*税费参数!$B$12/(I29*10000)</f>
        <v>0.02</v>
      </c>
      <c r="M29" s="6">
        <f>I29*10000*SUM(税费参数!$B$9:$B$10)/税费参数!$B$11</f>
        <v>196.875</v>
      </c>
    </row>
    <row r="30" ht="21" customHeight="1" spans="1:13">
      <c r="A30" s="5" t="s">
        <v>13</v>
      </c>
      <c r="B30" s="6" t="s">
        <v>48</v>
      </c>
      <c r="C30" s="6" t="s">
        <v>157</v>
      </c>
      <c r="D30" s="6" t="s">
        <v>155</v>
      </c>
      <c r="E30" s="6" t="s">
        <v>219</v>
      </c>
      <c r="F30" s="6" t="s">
        <v>1603</v>
      </c>
      <c r="G30" s="6">
        <v>69.69</v>
      </c>
      <c r="H30" s="6">
        <v>65.86</v>
      </c>
      <c r="I30" s="6">
        <v>105</v>
      </c>
      <c r="J30" s="6">
        <v>2500</v>
      </c>
      <c r="K30" s="7">
        <f>(J30-M30)*税费参数!$B$12/(I30*10000*(1+SUM(税费参数!$B$6:$B$8)))</f>
        <v>0.0212440908566817</v>
      </c>
      <c r="L30" s="7">
        <f>J30*税费参数!$B$12/(I30*10000)</f>
        <v>0.0238095238095238</v>
      </c>
      <c r="M30" s="6">
        <f>I30*10000*SUM(税费参数!$B$9:$B$10)/税费参数!$B$11</f>
        <v>196.875</v>
      </c>
    </row>
    <row r="31" ht="21" customHeight="1" spans="1:13">
      <c r="A31" s="5" t="s">
        <v>13</v>
      </c>
      <c r="B31" s="6" t="s">
        <v>40</v>
      </c>
      <c r="C31" s="6" t="s">
        <v>152</v>
      </c>
      <c r="D31" s="6" t="s">
        <v>160</v>
      </c>
      <c r="E31" s="6" t="s">
        <v>233</v>
      </c>
      <c r="F31" s="6" t="s">
        <v>1604</v>
      </c>
      <c r="G31" s="6">
        <v>47.97</v>
      </c>
      <c r="H31" s="6">
        <v>47.97</v>
      </c>
      <c r="I31" s="6">
        <v>58</v>
      </c>
      <c r="J31" s="6">
        <v>2100</v>
      </c>
      <c r="K31" s="7">
        <f>(J31-M31)*税费参数!$B$12/(I31*10000*(1+SUM(税费参数!$B$6:$B$8)))</f>
        <v>0.0332512315270936</v>
      </c>
      <c r="L31" s="7">
        <f>J31*税费参数!$B$12/(I31*10000)</f>
        <v>0.0362068965517241</v>
      </c>
      <c r="M31" s="6">
        <f>I31*10000*SUM(税费参数!$B$9:$B$10)/税费参数!$B$11</f>
        <v>108.75</v>
      </c>
    </row>
    <row r="32" ht="21" customHeight="1" spans="1:13">
      <c r="A32" s="5" t="s">
        <v>13</v>
      </c>
      <c r="B32" s="6" t="s">
        <v>40</v>
      </c>
      <c r="C32" s="6" t="s">
        <v>152</v>
      </c>
      <c r="D32" s="6" t="s">
        <v>160</v>
      </c>
      <c r="E32" s="6" t="s">
        <v>227</v>
      </c>
      <c r="F32" s="6" t="s">
        <v>1604</v>
      </c>
      <c r="G32" s="6">
        <v>48.01</v>
      </c>
      <c r="H32" s="6">
        <v>47.97</v>
      </c>
      <c r="I32" s="6">
        <v>59.8</v>
      </c>
      <c r="J32" s="6">
        <v>2100</v>
      </c>
      <c r="K32" s="7">
        <f>(J32-M32)*税费参数!$B$12/(I32*10000*(1+SUM(税费参数!$B$6:$B$8)))</f>
        <v>0.0321956967130143</v>
      </c>
      <c r="L32" s="7">
        <f>J32*税费参数!$B$12/(I32*10000)</f>
        <v>0.0351170568561873</v>
      </c>
      <c r="M32" s="6">
        <f>I32*10000*SUM(税费参数!$B$9:$B$10)/税费参数!$B$11</f>
        <v>112.125</v>
      </c>
    </row>
    <row r="33" ht="21" customHeight="1" spans="1:13">
      <c r="A33" s="5" t="s">
        <v>13</v>
      </c>
      <c r="B33" s="6" t="s">
        <v>40</v>
      </c>
      <c r="C33" s="6" t="s">
        <v>152</v>
      </c>
      <c r="D33" s="6" t="s">
        <v>160</v>
      </c>
      <c r="E33" s="6" t="s">
        <v>225</v>
      </c>
      <c r="F33" s="6" t="s">
        <v>1604</v>
      </c>
      <c r="G33" s="6">
        <v>41.74</v>
      </c>
      <c r="H33" s="6">
        <v>47.97</v>
      </c>
      <c r="I33" s="6">
        <v>50</v>
      </c>
      <c r="J33" s="6">
        <v>2100</v>
      </c>
      <c r="K33" s="7">
        <f>(J33-M33)*税费参数!$B$12/(I33*10000*(1+SUM(税费参数!$B$6:$B$8)))</f>
        <v>0.038861985472155</v>
      </c>
      <c r="L33" s="7">
        <f>J33*税费参数!$B$12/(I33*10000)</f>
        <v>0.042</v>
      </c>
      <c r="M33" s="6">
        <f>I33*10000*SUM(税费参数!$B$9:$B$10)/税费参数!$B$11</f>
        <v>93.75</v>
      </c>
    </row>
    <row r="34" ht="21" customHeight="1" spans="1:13">
      <c r="A34" s="5" t="s">
        <v>13</v>
      </c>
      <c r="B34" s="6" t="s">
        <v>40</v>
      </c>
      <c r="C34" s="6" t="s">
        <v>152</v>
      </c>
      <c r="D34" s="6" t="s">
        <v>160</v>
      </c>
      <c r="E34" s="6" t="s">
        <v>231</v>
      </c>
      <c r="F34" s="6" t="s">
        <v>1604</v>
      </c>
      <c r="G34" s="6">
        <v>47.97</v>
      </c>
      <c r="H34" s="6">
        <v>47.97</v>
      </c>
      <c r="I34" s="6">
        <v>63</v>
      </c>
      <c r="J34" s="6">
        <v>2100</v>
      </c>
      <c r="K34" s="7">
        <f>(J34-M34)*税费参数!$B$12/(I34*10000*(1+SUM(税费参数!$B$6:$B$8)))</f>
        <v>0.0304681194511703</v>
      </c>
      <c r="L34" s="7">
        <f>J34*税费参数!$B$12/(I34*10000)</f>
        <v>0.0333333333333333</v>
      </c>
      <c r="M34" s="6">
        <f>I34*10000*SUM(税费参数!$B$9:$B$10)/税费参数!$B$11</f>
        <v>118.125</v>
      </c>
    </row>
    <row r="35" ht="21" customHeight="1" spans="1:13">
      <c r="A35" s="5" t="s">
        <v>13</v>
      </c>
      <c r="B35" s="6" t="s">
        <v>40</v>
      </c>
      <c r="C35" s="6" t="s">
        <v>152</v>
      </c>
      <c r="D35" s="6" t="s">
        <v>160</v>
      </c>
      <c r="E35" s="6" t="s">
        <v>229</v>
      </c>
      <c r="F35" s="6" t="s">
        <v>1604</v>
      </c>
      <c r="G35" s="6">
        <v>47.97</v>
      </c>
      <c r="H35" s="6">
        <v>47.97</v>
      </c>
      <c r="I35" s="6">
        <v>58</v>
      </c>
      <c r="J35" s="6">
        <v>2100</v>
      </c>
      <c r="K35" s="7">
        <f>(J35-M35)*税费参数!$B$12/(I35*10000*(1+SUM(税费参数!$B$6:$B$8)))</f>
        <v>0.0332512315270936</v>
      </c>
      <c r="L35" s="7">
        <f>J35*税费参数!$B$12/(I35*10000)</f>
        <v>0.0362068965517241</v>
      </c>
      <c r="M35" s="6">
        <f>I35*10000*SUM(税费参数!$B$9:$B$10)/税费参数!$B$11</f>
        <v>108.75</v>
      </c>
    </row>
    <row r="36" ht="21" customHeight="1" spans="1:13">
      <c r="A36" s="5" t="s">
        <v>13</v>
      </c>
      <c r="B36" s="6" t="s">
        <v>40</v>
      </c>
      <c r="C36" s="6" t="s">
        <v>152</v>
      </c>
      <c r="D36" s="6" t="s">
        <v>155</v>
      </c>
      <c r="E36" s="6" t="s">
        <v>239</v>
      </c>
      <c r="F36" s="6" t="s">
        <v>1605</v>
      </c>
      <c r="G36" s="6">
        <v>53.95</v>
      </c>
      <c r="H36" s="6">
        <v>47.88</v>
      </c>
      <c r="I36" s="6">
        <v>100</v>
      </c>
      <c r="J36" s="6">
        <v>4500</v>
      </c>
      <c r="K36" s="7">
        <f>(J36-M36)*税费参数!$B$12/(I36*10000*(1+SUM(税费参数!$B$6:$B$8)))</f>
        <v>0.0417675544794189</v>
      </c>
      <c r="L36" s="7">
        <f>J36*税费参数!$B$12/(I36*10000)</f>
        <v>0.045</v>
      </c>
      <c r="M36" s="6">
        <f>I36*10000*SUM(税费参数!$B$9:$B$10)/税费参数!$B$11</f>
        <v>187.5</v>
      </c>
    </row>
    <row r="37" ht="21" customHeight="1" spans="1:13">
      <c r="A37" s="5" t="s">
        <v>13</v>
      </c>
      <c r="B37" s="6" t="s">
        <v>40</v>
      </c>
      <c r="C37" s="6" t="s">
        <v>152</v>
      </c>
      <c r="D37" s="6" t="s">
        <v>155</v>
      </c>
      <c r="E37" s="6" t="s">
        <v>237</v>
      </c>
      <c r="F37" s="6" t="s">
        <v>1605</v>
      </c>
      <c r="G37" s="6">
        <v>42.17</v>
      </c>
      <c r="H37" s="6">
        <v>47.88</v>
      </c>
      <c r="I37" s="6">
        <v>63</v>
      </c>
      <c r="J37" s="6">
        <v>4500</v>
      </c>
      <c r="K37" s="7">
        <f>(J37-M37)*税费参数!$B$12/(I37*10000*(1+SUM(税费参数!$B$6:$B$8)))</f>
        <v>0.0673642338291249</v>
      </c>
      <c r="L37" s="7">
        <f>J37*税费参数!$B$12/(I37*10000)</f>
        <v>0.0714285714285714</v>
      </c>
      <c r="M37" s="6">
        <f>I37*10000*SUM(税费参数!$B$9:$B$10)/税费参数!$B$11</f>
        <v>118.125</v>
      </c>
    </row>
    <row r="38" ht="21" customHeight="1" spans="1:13">
      <c r="A38" s="5" t="s">
        <v>13</v>
      </c>
      <c r="B38" s="6" t="s">
        <v>49</v>
      </c>
      <c r="C38" s="6" t="s">
        <v>157</v>
      </c>
      <c r="D38" s="6" t="s">
        <v>155</v>
      </c>
      <c r="E38" s="6" t="s">
        <v>243</v>
      </c>
      <c r="F38" s="6" t="s">
        <v>1606</v>
      </c>
      <c r="G38" s="6">
        <v>82.74</v>
      </c>
      <c r="H38" s="6">
        <v>82.74</v>
      </c>
      <c r="I38" s="6">
        <v>98</v>
      </c>
      <c r="J38" s="6">
        <v>2300</v>
      </c>
      <c r="K38" s="7">
        <f>(J38-M38)*税费参数!$B$12/(I38*10000*(1+SUM(税费参数!$B$6:$B$8)))</f>
        <v>0.0209146612640213</v>
      </c>
      <c r="L38" s="7">
        <f>J38*税费参数!$B$12/(I38*10000)</f>
        <v>0.023469387755102</v>
      </c>
      <c r="M38" s="6">
        <f>I38*10000*SUM(税费参数!$B$9:$B$10)/税费参数!$B$11</f>
        <v>183.75</v>
      </c>
    </row>
    <row r="39" ht="21" customHeight="1" spans="1:13">
      <c r="A39" s="5" t="s">
        <v>13</v>
      </c>
      <c r="B39" s="6" t="s">
        <v>41</v>
      </c>
      <c r="C39" s="6" t="s">
        <v>159</v>
      </c>
      <c r="D39" s="6" t="s">
        <v>153</v>
      </c>
      <c r="E39" s="6" t="s">
        <v>255</v>
      </c>
      <c r="F39" s="6" t="s">
        <v>1607</v>
      </c>
      <c r="G39" s="6">
        <v>31.03</v>
      </c>
      <c r="H39" s="6">
        <v>31.06</v>
      </c>
      <c r="I39" s="6">
        <v>44</v>
      </c>
      <c r="J39" s="6">
        <v>2120</v>
      </c>
      <c r="K39" s="7">
        <f>(J39-M39)*税费参数!$B$12/(I39*10000*(1+SUM(税费参数!$B$6:$B$8)))</f>
        <v>0.0448492185780321</v>
      </c>
      <c r="L39" s="7">
        <f>J39*税费参数!$B$12/(I39*10000)</f>
        <v>0.0481818181818182</v>
      </c>
      <c r="M39" s="6">
        <f>I39*10000*SUM(税费参数!$B$9:$B$10)/税费参数!$B$11</f>
        <v>82.5</v>
      </c>
    </row>
    <row r="40" ht="21" customHeight="1" spans="1:13">
      <c r="A40" s="5" t="s">
        <v>13</v>
      </c>
      <c r="B40" s="6" t="s">
        <v>41</v>
      </c>
      <c r="C40" s="6" t="s">
        <v>159</v>
      </c>
      <c r="D40" s="6" t="s">
        <v>153</v>
      </c>
      <c r="E40" s="6" t="s">
        <v>255</v>
      </c>
      <c r="F40" s="6" t="s">
        <v>1608</v>
      </c>
      <c r="G40" s="6">
        <v>31.03</v>
      </c>
      <c r="H40" s="6">
        <v>31.06</v>
      </c>
      <c r="I40" s="6">
        <v>44</v>
      </c>
      <c r="J40" s="6">
        <v>2680</v>
      </c>
      <c r="K40" s="7">
        <f>(J40-M40)*税费参数!$B$12/(I40*10000*(1+SUM(税费参数!$B$6:$B$8)))</f>
        <v>0.0571758749724851</v>
      </c>
      <c r="L40" s="7">
        <f>J40*税费参数!$B$12/(I40*10000)</f>
        <v>0.0609090909090909</v>
      </c>
      <c r="M40" s="6">
        <f>I40*10000*SUM(税费参数!$B$9:$B$10)/税费参数!$B$11</f>
        <v>82.5</v>
      </c>
    </row>
    <row r="41" ht="21" customHeight="1" spans="1:13">
      <c r="A41" s="5" t="s">
        <v>13</v>
      </c>
      <c r="B41" s="6" t="s">
        <v>41</v>
      </c>
      <c r="C41" s="6" t="s">
        <v>152</v>
      </c>
      <c r="D41" s="6" t="s">
        <v>153</v>
      </c>
      <c r="E41" s="6" t="s">
        <v>245</v>
      </c>
      <c r="F41" s="6" t="s">
        <v>1609</v>
      </c>
      <c r="G41" s="6">
        <v>44.51</v>
      </c>
      <c r="H41" s="6">
        <v>44.14</v>
      </c>
      <c r="I41" s="6">
        <v>61</v>
      </c>
      <c r="J41" s="6">
        <v>2400</v>
      </c>
      <c r="K41" s="7">
        <f>(J41-M41)*税费参数!$B$12/(I41*10000*(1+SUM(税费参数!$B$6:$B$8)))</f>
        <v>0.0362898424165443</v>
      </c>
      <c r="L41" s="7">
        <f>J41*税费参数!$B$12/(I41*10000)</f>
        <v>0.039344262295082</v>
      </c>
      <c r="M41" s="6">
        <f>I41*10000*SUM(税费参数!$B$9:$B$10)/税费参数!$B$11</f>
        <v>114.375</v>
      </c>
    </row>
    <row r="42" ht="21" customHeight="1" spans="1:13">
      <c r="A42" s="5" t="s">
        <v>13</v>
      </c>
      <c r="B42" s="6" t="s">
        <v>41</v>
      </c>
      <c r="C42" s="6" t="s">
        <v>152</v>
      </c>
      <c r="D42" s="6" t="s">
        <v>153</v>
      </c>
      <c r="E42" s="6" t="s">
        <v>245</v>
      </c>
      <c r="F42" s="6" t="s">
        <v>1610</v>
      </c>
      <c r="G42" s="6">
        <v>44.51</v>
      </c>
      <c r="H42" s="6">
        <v>44.14</v>
      </c>
      <c r="I42" s="6">
        <v>61</v>
      </c>
      <c r="J42" s="6">
        <v>2100</v>
      </c>
      <c r="K42" s="7">
        <f>(J42-M42)*税费参数!$B$12/(I42*10000*(1+SUM(税费参数!$B$6:$B$8)))</f>
        <v>0.0315266145357838</v>
      </c>
      <c r="L42" s="7">
        <f>J42*税费参数!$B$12/(I42*10000)</f>
        <v>0.0344262295081967</v>
      </c>
      <c r="M42" s="6">
        <f>I42*10000*SUM(税费参数!$B$9:$B$10)/税费参数!$B$11</f>
        <v>114.375</v>
      </c>
    </row>
    <row r="43" ht="21" customHeight="1" spans="1:13">
      <c r="A43" s="5" t="s">
        <v>13</v>
      </c>
      <c r="B43" s="6" t="s">
        <v>41</v>
      </c>
      <c r="C43" s="6" t="s">
        <v>152</v>
      </c>
      <c r="D43" s="6" t="s">
        <v>153</v>
      </c>
      <c r="E43" s="6" t="s">
        <v>245</v>
      </c>
      <c r="F43" s="6" t="s">
        <v>1611</v>
      </c>
      <c r="G43" s="6">
        <v>44.51</v>
      </c>
      <c r="H43" s="6">
        <v>50.65</v>
      </c>
      <c r="I43" s="6">
        <v>61</v>
      </c>
      <c r="J43" s="6">
        <v>2200</v>
      </c>
      <c r="K43" s="7">
        <f>(J43-M43)*税费参数!$B$12/(I43*10000*(1+SUM(税费参数!$B$6:$B$8)))</f>
        <v>0.0331143571627039</v>
      </c>
      <c r="L43" s="7">
        <f>J43*税费参数!$B$12/(I43*10000)</f>
        <v>0.0360655737704918</v>
      </c>
      <c r="M43" s="6">
        <f>I43*10000*SUM(税费参数!$B$9:$B$10)/税费参数!$B$11</f>
        <v>114.375</v>
      </c>
    </row>
    <row r="44" ht="21" customHeight="1" spans="1:13">
      <c r="A44" s="5" t="s">
        <v>13</v>
      </c>
      <c r="B44" s="6" t="s">
        <v>41</v>
      </c>
      <c r="C44" s="6" t="s">
        <v>152</v>
      </c>
      <c r="D44" s="6" t="s">
        <v>153</v>
      </c>
      <c r="E44" s="6" t="s">
        <v>245</v>
      </c>
      <c r="F44" s="6" t="s">
        <v>1612</v>
      </c>
      <c r="G44" s="6">
        <v>44.51</v>
      </c>
      <c r="H44" s="6">
        <v>44.14</v>
      </c>
      <c r="I44" s="6">
        <v>61</v>
      </c>
      <c r="J44" s="6">
        <v>1900</v>
      </c>
      <c r="K44" s="7">
        <f>(J44-M44)*税费参数!$B$12/(I44*10000*(1+SUM(税费参数!$B$6:$B$8)))</f>
        <v>0.0283511292819434</v>
      </c>
      <c r="L44" s="7">
        <f>J44*税费参数!$B$12/(I44*10000)</f>
        <v>0.0311475409836066</v>
      </c>
      <c r="M44" s="6">
        <f>I44*10000*SUM(税费参数!$B$9:$B$10)/税费参数!$B$11</f>
        <v>114.375</v>
      </c>
    </row>
    <row r="45" ht="21" customHeight="1" spans="1:13">
      <c r="A45" s="5" t="s">
        <v>13</v>
      </c>
      <c r="B45" s="6" t="s">
        <v>41</v>
      </c>
      <c r="C45" s="6" t="s">
        <v>152</v>
      </c>
      <c r="D45" s="6" t="s">
        <v>153</v>
      </c>
      <c r="E45" s="6" t="s">
        <v>245</v>
      </c>
      <c r="F45" s="6" t="s">
        <v>1613</v>
      </c>
      <c r="G45" s="6">
        <v>44.51</v>
      </c>
      <c r="H45" s="6">
        <v>44.21</v>
      </c>
      <c r="I45" s="6">
        <v>61</v>
      </c>
      <c r="J45" s="6">
        <v>2200</v>
      </c>
      <c r="K45" s="7">
        <f>(J45-M45)*税费参数!$B$12/(I45*10000*(1+SUM(税费参数!$B$6:$B$8)))</f>
        <v>0.0331143571627039</v>
      </c>
      <c r="L45" s="7">
        <f>J45*税费参数!$B$12/(I45*10000)</f>
        <v>0.0360655737704918</v>
      </c>
      <c r="M45" s="6">
        <f>I45*10000*SUM(税费参数!$B$9:$B$10)/税费参数!$B$11</f>
        <v>114.375</v>
      </c>
    </row>
    <row r="46" ht="21" customHeight="1" spans="1:13">
      <c r="A46" s="5" t="s">
        <v>13</v>
      </c>
      <c r="B46" s="6" t="s">
        <v>41</v>
      </c>
      <c r="C46" s="6" t="s">
        <v>152</v>
      </c>
      <c r="D46" s="6" t="s">
        <v>153</v>
      </c>
      <c r="E46" s="6" t="s">
        <v>245</v>
      </c>
      <c r="F46" s="6" t="s">
        <v>1614</v>
      </c>
      <c r="G46" s="6">
        <v>44.51</v>
      </c>
      <c r="H46" s="6">
        <v>48.66</v>
      </c>
      <c r="I46" s="6">
        <v>61</v>
      </c>
      <c r="J46" s="6">
        <v>2100</v>
      </c>
      <c r="K46" s="7">
        <f>(J46-M46)*税费参数!$B$12/(I46*10000*(1+SUM(税费参数!$B$6:$B$8)))</f>
        <v>0.0315266145357838</v>
      </c>
      <c r="L46" s="7">
        <f>J46*税费参数!$B$12/(I46*10000)</f>
        <v>0.0344262295081967</v>
      </c>
      <c r="M46" s="6">
        <f>I46*10000*SUM(税费参数!$B$9:$B$10)/税费参数!$B$11</f>
        <v>114.375</v>
      </c>
    </row>
    <row r="47" ht="21" customHeight="1" spans="1:13">
      <c r="A47" s="5" t="s">
        <v>13</v>
      </c>
      <c r="B47" s="6" t="s">
        <v>41</v>
      </c>
      <c r="C47" s="6" t="s">
        <v>152</v>
      </c>
      <c r="D47" s="6" t="s">
        <v>153</v>
      </c>
      <c r="E47" s="6" t="s">
        <v>245</v>
      </c>
      <c r="F47" s="6" t="s">
        <v>1615</v>
      </c>
      <c r="G47" s="6">
        <v>44.51</v>
      </c>
      <c r="H47" s="6">
        <v>44.47</v>
      </c>
      <c r="I47" s="6">
        <v>61</v>
      </c>
      <c r="J47" s="6">
        <v>2130</v>
      </c>
      <c r="K47" s="7">
        <f>(J47-M47)*税费参数!$B$12/(I47*10000*(1+SUM(税费参数!$B$6:$B$8)))</f>
        <v>0.0320029373238598</v>
      </c>
      <c r="L47" s="7">
        <f>J47*税费参数!$B$12/(I47*10000)</f>
        <v>0.0349180327868852</v>
      </c>
      <c r="M47" s="6">
        <f>I47*10000*SUM(税费参数!$B$9:$B$10)/税费参数!$B$11</f>
        <v>114.375</v>
      </c>
    </row>
    <row r="48" ht="21" customHeight="1" spans="1:13">
      <c r="A48" s="5" t="s">
        <v>13</v>
      </c>
      <c r="B48" s="6" t="s">
        <v>41</v>
      </c>
      <c r="C48" s="6" t="s">
        <v>152</v>
      </c>
      <c r="D48" s="6" t="s">
        <v>153</v>
      </c>
      <c r="E48" s="6" t="s">
        <v>245</v>
      </c>
      <c r="F48" s="6" t="s">
        <v>1616</v>
      </c>
      <c r="G48" s="6">
        <v>44.51</v>
      </c>
      <c r="H48" s="6">
        <v>48.6</v>
      </c>
      <c r="I48" s="6">
        <v>61</v>
      </c>
      <c r="J48" s="6">
        <v>2000</v>
      </c>
      <c r="K48" s="7">
        <f>(J48-M48)*税费参数!$B$12/(I48*10000*(1+SUM(税费参数!$B$6:$B$8)))</f>
        <v>0.0299388719088636</v>
      </c>
      <c r="L48" s="7">
        <f>J48*税费参数!$B$12/(I48*10000)</f>
        <v>0.0327868852459016</v>
      </c>
      <c r="M48" s="6">
        <f>I48*10000*SUM(税费参数!$B$9:$B$10)/税费参数!$B$11</f>
        <v>114.375</v>
      </c>
    </row>
    <row r="49" ht="21" customHeight="1" spans="1:13">
      <c r="A49" s="5" t="s">
        <v>13</v>
      </c>
      <c r="B49" s="6" t="s">
        <v>41</v>
      </c>
      <c r="C49" s="6" t="s">
        <v>152</v>
      </c>
      <c r="D49" s="6" t="s">
        <v>153</v>
      </c>
      <c r="E49" s="6" t="s">
        <v>245</v>
      </c>
      <c r="F49" s="6" t="s">
        <v>1617</v>
      </c>
      <c r="G49" s="6">
        <v>44.51</v>
      </c>
      <c r="H49" s="6">
        <v>44.51</v>
      </c>
      <c r="I49" s="6">
        <v>61</v>
      </c>
      <c r="J49" s="6">
        <v>2300</v>
      </c>
      <c r="K49" s="7">
        <f>(J49-M49)*税费参数!$B$12/(I49*10000*(1+SUM(税费参数!$B$6:$B$8)))</f>
        <v>0.0347020997896241</v>
      </c>
      <c r="L49" s="7">
        <f>J49*税费参数!$B$12/(I49*10000)</f>
        <v>0.0377049180327869</v>
      </c>
      <c r="M49" s="6">
        <f>I49*10000*SUM(税费参数!$B$9:$B$10)/税费参数!$B$11</f>
        <v>114.375</v>
      </c>
    </row>
    <row r="50" ht="21" customHeight="1" spans="1:13">
      <c r="A50" s="5" t="s">
        <v>13</v>
      </c>
      <c r="B50" s="6" t="s">
        <v>41</v>
      </c>
      <c r="C50" s="6" t="s">
        <v>152</v>
      </c>
      <c r="D50" s="6" t="s">
        <v>153</v>
      </c>
      <c r="E50" s="6" t="s">
        <v>245</v>
      </c>
      <c r="F50" s="6" t="s">
        <v>1618</v>
      </c>
      <c r="G50" s="6">
        <v>44.51</v>
      </c>
      <c r="H50" s="6">
        <v>44.47</v>
      </c>
      <c r="I50" s="6">
        <v>61</v>
      </c>
      <c r="J50" s="6">
        <v>1800</v>
      </c>
      <c r="K50" s="7">
        <f>(J50-M50)*税费参数!$B$12/(I50*10000*(1+SUM(税费参数!$B$6:$B$8)))</f>
        <v>0.0267633866550232</v>
      </c>
      <c r="L50" s="7">
        <f>J50*税费参数!$B$12/(I50*10000)</f>
        <v>0.0295081967213115</v>
      </c>
      <c r="M50" s="6">
        <f>I50*10000*SUM(税费参数!$B$9:$B$10)/税费参数!$B$11</f>
        <v>114.375</v>
      </c>
    </row>
    <row r="51" ht="21" customHeight="1" spans="1:13">
      <c r="A51" s="5" t="s">
        <v>13</v>
      </c>
      <c r="B51" s="6" t="s">
        <v>41</v>
      </c>
      <c r="C51" s="6" t="s">
        <v>152</v>
      </c>
      <c r="D51" s="6" t="s">
        <v>153</v>
      </c>
      <c r="E51" s="6" t="s">
        <v>245</v>
      </c>
      <c r="F51" s="6" t="s">
        <v>1619</v>
      </c>
      <c r="G51" s="6">
        <v>44.51</v>
      </c>
      <c r="H51" s="6">
        <v>44.47</v>
      </c>
      <c r="I51" s="6">
        <v>61</v>
      </c>
      <c r="J51" s="6">
        <v>2300</v>
      </c>
      <c r="K51" s="7">
        <f>(J51-M51)*税费参数!$B$12/(I51*10000*(1+SUM(税费参数!$B$6:$B$8)))</f>
        <v>0.0347020997896241</v>
      </c>
      <c r="L51" s="7">
        <f>J51*税费参数!$B$12/(I51*10000)</f>
        <v>0.0377049180327869</v>
      </c>
      <c r="M51" s="6">
        <f>I51*10000*SUM(税费参数!$B$9:$B$10)/税费参数!$B$11</f>
        <v>114.375</v>
      </c>
    </row>
    <row r="52" ht="21" customHeight="1" spans="1:13">
      <c r="A52" s="5" t="s">
        <v>13</v>
      </c>
      <c r="B52" s="6" t="s">
        <v>41</v>
      </c>
      <c r="C52" s="6" t="s">
        <v>152</v>
      </c>
      <c r="D52" s="6" t="s">
        <v>153</v>
      </c>
      <c r="E52" s="6" t="s">
        <v>245</v>
      </c>
      <c r="F52" s="6" t="s">
        <v>1620</v>
      </c>
      <c r="G52" s="6">
        <v>44.51</v>
      </c>
      <c r="H52" s="6">
        <v>48.01</v>
      </c>
      <c r="I52" s="6">
        <v>61</v>
      </c>
      <c r="J52" s="6">
        <v>2000</v>
      </c>
      <c r="K52" s="7">
        <f>(J52-M52)*税费参数!$B$12/(I52*10000*(1+SUM(税费参数!$B$6:$B$8)))</f>
        <v>0.0299388719088636</v>
      </c>
      <c r="L52" s="7">
        <f>J52*税费参数!$B$12/(I52*10000)</f>
        <v>0.0327868852459016</v>
      </c>
      <c r="M52" s="6">
        <f>I52*10000*SUM(税费参数!$B$9:$B$10)/税费参数!$B$11</f>
        <v>114.375</v>
      </c>
    </row>
    <row r="53" ht="21" customHeight="1" spans="1:13">
      <c r="A53" s="5" t="s">
        <v>13</v>
      </c>
      <c r="B53" s="6" t="s">
        <v>41</v>
      </c>
      <c r="C53" s="6" t="s">
        <v>152</v>
      </c>
      <c r="D53" s="6" t="s">
        <v>153</v>
      </c>
      <c r="E53" s="6" t="s">
        <v>245</v>
      </c>
      <c r="F53" s="6" t="s">
        <v>1621</v>
      </c>
      <c r="G53" s="6">
        <v>44.51</v>
      </c>
      <c r="H53" s="6">
        <v>44.14</v>
      </c>
      <c r="I53" s="6">
        <v>61</v>
      </c>
      <c r="J53" s="6">
        <v>2300</v>
      </c>
      <c r="K53" s="7">
        <f>(J53-M53)*税费参数!$B$12/(I53*10000*(1+SUM(税费参数!$B$6:$B$8)))</f>
        <v>0.0347020997896241</v>
      </c>
      <c r="L53" s="7">
        <f>J53*税费参数!$B$12/(I53*10000)</f>
        <v>0.0377049180327869</v>
      </c>
      <c r="M53" s="6">
        <f>I53*10000*SUM(税费参数!$B$9:$B$10)/税费参数!$B$11</f>
        <v>114.375</v>
      </c>
    </row>
    <row r="54" ht="21" customHeight="1" spans="1:13">
      <c r="A54" s="5" t="s">
        <v>13</v>
      </c>
      <c r="B54" s="6" t="s">
        <v>41</v>
      </c>
      <c r="C54" s="6" t="s">
        <v>152</v>
      </c>
      <c r="D54" s="6" t="s">
        <v>153</v>
      </c>
      <c r="E54" s="6" t="s">
        <v>245</v>
      </c>
      <c r="F54" s="6" t="s">
        <v>1622</v>
      </c>
      <c r="G54" s="6">
        <v>44.51</v>
      </c>
      <c r="H54" s="6">
        <v>48.73</v>
      </c>
      <c r="I54" s="6">
        <v>61</v>
      </c>
      <c r="J54" s="6">
        <v>2300</v>
      </c>
      <c r="K54" s="7">
        <f>(J54-M54)*税费参数!$B$12/(I54*10000*(1+SUM(税费参数!$B$6:$B$8)))</f>
        <v>0.0347020997896241</v>
      </c>
      <c r="L54" s="7">
        <f>J54*税费参数!$B$12/(I54*10000)</f>
        <v>0.0377049180327869</v>
      </c>
      <c r="M54" s="6">
        <f>I54*10000*SUM(税费参数!$B$9:$B$10)/税费参数!$B$11</f>
        <v>114.375</v>
      </c>
    </row>
    <row r="55" ht="21" customHeight="1" spans="1:13">
      <c r="A55" s="5" t="s">
        <v>13</v>
      </c>
      <c r="B55" s="6" t="s">
        <v>41</v>
      </c>
      <c r="C55" s="6" t="s">
        <v>152</v>
      </c>
      <c r="D55" s="6" t="s">
        <v>153</v>
      </c>
      <c r="E55" s="6" t="s">
        <v>245</v>
      </c>
      <c r="F55" s="6" t="s">
        <v>1623</v>
      </c>
      <c r="G55" s="6">
        <v>44.51</v>
      </c>
      <c r="H55" s="6">
        <v>44.14</v>
      </c>
      <c r="I55" s="6">
        <v>61</v>
      </c>
      <c r="J55" s="6">
        <v>1988</v>
      </c>
      <c r="K55" s="7">
        <f>(J55-M55)*税费参数!$B$12/(I55*10000*(1+SUM(税费参数!$B$6:$B$8)))</f>
        <v>0.0297483427936332</v>
      </c>
      <c r="L55" s="7">
        <f>J55*税费参数!$B$12/(I55*10000)</f>
        <v>0.0325901639344262</v>
      </c>
      <c r="M55" s="6">
        <f>I55*10000*SUM(税费参数!$B$9:$B$10)/税费参数!$B$11</f>
        <v>114.375</v>
      </c>
    </row>
    <row r="56" ht="21" customHeight="1" spans="1:13">
      <c r="A56" s="5" t="s">
        <v>13</v>
      </c>
      <c r="B56" s="6" t="s">
        <v>41</v>
      </c>
      <c r="C56" s="6" t="s">
        <v>152</v>
      </c>
      <c r="D56" s="6" t="s">
        <v>153</v>
      </c>
      <c r="E56" s="6" t="s">
        <v>245</v>
      </c>
      <c r="F56" s="6" t="s">
        <v>1624</v>
      </c>
      <c r="G56" s="6">
        <v>44.51</v>
      </c>
      <c r="H56" s="6">
        <v>48.66</v>
      </c>
      <c r="I56" s="6">
        <v>61</v>
      </c>
      <c r="J56" s="6">
        <v>2200</v>
      </c>
      <c r="K56" s="7">
        <f>(J56-M56)*税费参数!$B$12/(I56*10000*(1+SUM(税费参数!$B$6:$B$8)))</f>
        <v>0.0331143571627039</v>
      </c>
      <c r="L56" s="7">
        <f>J56*税费参数!$B$12/(I56*10000)</f>
        <v>0.0360655737704918</v>
      </c>
      <c r="M56" s="6">
        <f>I56*10000*SUM(税费参数!$B$9:$B$10)/税费参数!$B$11</f>
        <v>114.375</v>
      </c>
    </row>
    <row r="57" ht="21" customHeight="1" spans="1:13">
      <c r="A57" s="5" t="s">
        <v>13</v>
      </c>
      <c r="B57" s="6" t="s">
        <v>41</v>
      </c>
      <c r="C57" s="6" t="s">
        <v>152</v>
      </c>
      <c r="D57" s="6" t="s">
        <v>153</v>
      </c>
      <c r="E57" s="6" t="s">
        <v>249</v>
      </c>
      <c r="F57" s="6" t="s">
        <v>1609</v>
      </c>
      <c r="G57" s="6">
        <v>48.73</v>
      </c>
      <c r="H57" s="6">
        <v>44.14</v>
      </c>
      <c r="I57" s="6">
        <v>70</v>
      </c>
      <c r="J57" s="6">
        <v>2400</v>
      </c>
      <c r="K57" s="7">
        <f>(J57-M57)*税费参数!$B$12/(I57*10000*(1+SUM(税费参数!$B$6:$B$8)))</f>
        <v>0.0313905223106192</v>
      </c>
      <c r="L57" s="7">
        <f>J57*税费参数!$B$12/(I57*10000)</f>
        <v>0.0342857142857143</v>
      </c>
      <c r="M57" s="6">
        <f>I57*10000*SUM(税费参数!$B$9:$B$10)/税费参数!$B$11</f>
        <v>131.25</v>
      </c>
    </row>
    <row r="58" ht="21" customHeight="1" spans="1:13">
      <c r="A58" s="5" t="s">
        <v>13</v>
      </c>
      <c r="B58" s="6" t="s">
        <v>41</v>
      </c>
      <c r="C58" s="6" t="s">
        <v>152</v>
      </c>
      <c r="D58" s="6" t="s">
        <v>153</v>
      </c>
      <c r="E58" s="6" t="s">
        <v>249</v>
      </c>
      <c r="F58" s="6" t="s">
        <v>1610</v>
      </c>
      <c r="G58" s="6">
        <v>48.73</v>
      </c>
      <c r="H58" s="6">
        <v>44.14</v>
      </c>
      <c r="I58" s="6">
        <v>70</v>
      </c>
      <c r="J58" s="6">
        <v>2100</v>
      </c>
      <c r="K58" s="7">
        <f>(J58-M58)*税费参数!$B$12/(I58*10000*(1+SUM(税费参数!$B$6:$B$8)))</f>
        <v>0.0272397094430993</v>
      </c>
      <c r="L58" s="7">
        <f>J58*税费参数!$B$12/(I58*10000)</f>
        <v>0.03</v>
      </c>
      <c r="M58" s="6">
        <f>I58*10000*SUM(税费参数!$B$9:$B$10)/税费参数!$B$11</f>
        <v>131.25</v>
      </c>
    </row>
    <row r="59" ht="21" customHeight="1" spans="1:13">
      <c r="A59" s="5" t="s">
        <v>13</v>
      </c>
      <c r="B59" s="6" t="s">
        <v>41</v>
      </c>
      <c r="C59" s="6" t="s">
        <v>152</v>
      </c>
      <c r="D59" s="6" t="s">
        <v>153</v>
      </c>
      <c r="E59" s="6" t="s">
        <v>249</v>
      </c>
      <c r="F59" s="6" t="s">
        <v>1611</v>
      </c>
      <c r="G59" s="6">
        <v>48.73</v>
      </c>
      <c r="H59" s="6">
        <v>50.65</v>
      </c>
      <c r="I59" s="6">
        <v>70</v>
      </c>
      <c r="J59" s="6">
        <v>2200</v>
      </c>
      <c r="K59" s="7">
        <f>(J59-M59)*税费参数!$B$12/(I59*10000*(1+SUM(税费参数!$B$6:$B$8)))</f>
        <v>0.0286233137322726</v>
      </c>
      <c r="L59" s="7">
        <f>J59*税费参数!$B$12/(I59*10000)</f>
        <v>0.0314285714285714</v>
      </c>
      <c r="M59" s="6">
        <f>I59*10000*SUM(税费参数!$B$9:$B$10)/税费参数!$B$11</f>
        <v>131.25</v>
      </c>
    </row>
    <row r="60" ht="21" customHeight="1" spans="1:13">
      <c r="A60" s="5" t="s">
        <v>13</v>
      </c>
      <c r="B60" s="6" t="s">
        <v>41</v>
      </c>
      <c r="C60" s="6" t="s">
        <v>152</v>
      </c>
      <c r="D60" s="6" t="s">
        <v>153</v>
      </c>
      <c r="E60" s="6" t="s">
        <v>249</v>
      </c>
      <c r="F60" s="6" t="s">
        <v>1612</v>
      </c>
      <c r="G60" s="6">
        <v>48.73</v>
      </c>
      <c r="H60" s="6">
        <v>44.14</v>
      </c>
      <c r="I60" s="6">
        <v>70</v>
      </c>
      <c r="J60" s="6">
        <v>1900</v>
      </c>
      <c r="K60" s="7">
        <f>(J60-M60)*税费参数!$B$12/(I60*10000*(1+SUM(税费参数!$B$6:$B$8)))</f>
        <v>0.0244725008647527</v>
      </c>
      <c r="L60" s="7">
        <f>J60*税费参数!$B$12/(I60*10000)</f>
        <v>0.0271428571428571</v>
      </c>
      <c r="M60" s="6">
        <f>I60*10000*SUM(税费参数!$B$9:$B$10)/税费参数!$B$11</f>
        <v>131.25</v>
      </c>
    </row>
    <row r="61" ht="21" customHeight="1" spans="1:13">
      <c r="A61" s="5" t="s">
        <v>13</v>
      </c>
      <c r="B61" s="6" t="s">
        <v>41</v>
      </c>
      <c r="C61" s="6" t="s">
        <v>152</v>
      </c>
      <c r="D61" s="6" t="s">
        <v>153</v>
      </c>
      <c r="E61" s="6" t="s">
        <v>249</v>
      </c>
      <c r="F61" s="6" t="s">
        <v>1613</v>
      </c>
      <c r="G61" s="6">
        <v>48.73</v>
      </c>
      <c r="H61" s="6">
        <v>44.21</v>
      </c>
      <c r="I61" s="6">
        <v>70</v>
      </c>
      <c r="J61" s="6">
        <v>2200</v>
      </c>
      <c r="K61" s="7">
        <f>(J61-M61)*税费参数!$B$12/(I61*10000*(1+SUM(税费参数!$B$6:$B$8)))</f>
        <v>0.0286233137322726</v>
      </c>
      <c r="L61" s="7">
        <f>J61*税费参数!$B$12/(I61*10000)</f>
        <v>0.0314285714285714</v>
      </c>
      <c r="M61" s="6">
        <f>I61*10000*SUM(税费参数!$B$9:$B$10)/税费参数!$B$11</f>
        <v>131.25</v>
      </c>
    </row>
    <row r="62" ht="21" customHeight="1" spans="1:13">
      <c r="A62" s="5" t="s">
        <v>13</v>
      </c>
      <c r="B62" s="6" t="s">
        <v>41</v>
      </c>
      <c r="C62" s="6" t="s">
        <v>152</v>
      </c>
      <c r="D62" s="6" t="s">
        <v>153</v>
      </c>
      <c r="E62" s="6" t="s">
        <v>249</v>
      </c>
      <c r="F62" s="6" t="s">
        <v>1614</v>
      </c>
      <c r="G62" s="6">
        <v>48.73</v>
      </c>
      <c r="H62" s="6">
        <v>48.66</v>
      </c>
      <c r="I62" s="6">
        <v>70</v>
      </c>
      <c r="J62" s="6">
        <v>2100</v>
      </c>
      <c r="K62" s="7">
        <f>(J62-M62)*税费参数!$B$12/(I62*10000*(1+SUM(税费参数!$B$6:$B$8)))</f>
        <v>0.0272397094430993</v>
      </c>
      <c r="L62" s="7">
        <f>J62*税费参数!$B$12/(I62*10000)</f>
        <v>0.03</v>
      </c>
      <c r="M62" s="6">
        <f>I62*10000*SUM(税费参数!$B$9:$B$10)/税费参数!$B$11</f>
        <v>131.25</v>
      </c>
    </row>
    <row r="63" ht="21" customHeight="1" spans="1:13">
      <c r="A63" s="5" t="s">
        <v>13</v>
      </c>
      <c r="B63" s="6" t="s">
        <v>41</v>
      </c>
      <c r="C63" s="6" t="s">
        <v>152</v>
      </c>
      <c r="D63" s="6" t="s">
        <v>153</v>
      </c>
      <c r="E63" s="6" t="s">
        <v>249</v>
      </c>
      <c r="F63" s="6" t="s">
        <v>1615</v>
      </c>
      <c r="G63" s="6">
        <v>48.73</v>
      </c>
      <c r="H63" s="6">
        <v>44.47</v>
      </c>
      <c r="I63" s="6">
        <v>70</v>
      </c>
      <c r="J63" s="6">
        <v>2130</v>
      </c>
      <c r="K63" s="7">
        <f>(J63-M63)*税费参数!$B$12/(I63*10000*(1+SUM(税费参数!$B$6:$B$8)))</f>
        <v>0.0276547907298513</v>
      </c>
      <c r="L63" s="7">
        <f>J63*税费参数!$B$12/(I63*10000)</f>
        <v>0.0304285714285714</v>
      </c>
      <c r="M63" s="6">
        <f>I63*10000*SUM(税费参数!$B$9:$B$10)/税费参数!$B$11</f>
        <v>131.25</v>
      </c>
    </row>
    <row r="64" ht="21" customHeight="1" spans="1:13">
      <c r="A64" s="5" t="s">
        <v>13</v>
      </c>
      <c r="B64" s="6" t="s">
        <v>41</v>
      </c>
      <c r="C64" s="6" t="s">
        <v>152</v>
      </c>
      <c r="D64" s="6" t="s">
        <v>153</v>
      </c>
      <c r="E64" s="6" t="s">
        <v>249</v>
      </c>
      <c r="F64" s="6" t="s">
        <v>1616</v>
      </c>
      <c r="G64" s="6">
        <v>48.73</v>
      </c>
      <c r="H64" s="6">
        <v>48.6</v>
      </c>
      <c r="I64" s="6">
        <v>70</v>
      </c>
      <c r="J64" s="6">
        <v>2000</v>
      </c>
      <c r="K64" s="7">
        <f>(J64-M64)*税费参数!$B$12/(I64*10000*(1+SUM(税费参数!$B$6:$B$8)))</f>
        <v>0.025856105153926</v>
      </c>
      <c r="L64" s="7">
        <f>J64*税费参数!$B$12/(I64*10000)</f>
        <v>0.0285714285714286</v>
      </c>
      <c r="M64" s="6">
        <f>I64*10000*SUM(税费参数!$B$9:$B$10)/税费参数!$B$11</f>
        <v>131.25</v>
      </c>
    </row>
    <row r="65" ht="21" customHeight="1" spans="1:13">
      <c r="A65" s="5" t="s">
        <v>13</v>
      </c>
      <c r="B65" s="6" t="s">
        <v>41</v>
      </c>
      <c r="C65" s="6" t="s">
        <v>152</v>
      </c>
      <c r="D65" s="6" t="s">
        <v>153</v>
      </c>
      <c r="E65" s="6" t="s">
        <v>249</v>
      </c>
      <c r="F65" s="6" t="s">
        <v>1617</v>
      </c>
      <c r="G65" s="6">
        <v>48.73</v>
      </c>
      <c r="H65" s="6">
        <v>44.51</v>
      </c>
      <c r="I65" s="6">
        <v>70</v>
      </c>
      <c r="J65" s="6">
        <v>2300</v>
      </c>
      <c r="K65" s="7">
        <f>(J65-M65)*税费参数!$B$12/(I65*10000*(1+SUM(税费参数!$B$6:$B$8)))</f>
        <v>0.0300069180214459</v>
      </c>
      <c r="L65" s="7">
        <f>J65*税费参数!$B$12/(I65*10000)</f>
        <v>0.0328571428571429</v>
      </c>
      <c r="M65" s="6">
        <f>I65*10000*SUM(税费参数!$B$9:$B$10)/税费参数!$B$11</f>
        <v>131.25</v>
      </c>
    </row>
    <row r="66" ht="21" customHeight="1" spans="1:13">
      <c r="A66" s="5" t="s">
        <v>13</v>
      </c>
      <c r="B66" s="6" t="s">
        <v>41</v>
      </c>
      <c r="C66" s="6" t="s">
        <v>152</v>
      </c>
      <c r="D66" s="6" t="s">
        <v>153</v>
      </c>
      <c r="E66" s="6" t="s">
        <v>249</v>
      </c>
      <c r="F66" s="6" t="s">
        <v>1618</v>
      </c>
      <c r="G66" s="6">
        <v>48.73</v>
      </c>
      <c r="H66" s="6">
        <v>44.47</v>
      </c>
      <c r="I66" s="6">
        <v>70</v>
      </c>
      <c r="J66" s="6">
        <v>1800</v>
      </c>
      <c r="K66" s="7">
        <f>(J66-M66)*税费参数!$B$12/(I66*10000*(1+SUM(税费参数!$B$6:$B$8)))</f>
        <v>0.0230888965755794</v>
      </c>
      <c r="L66" s="7">
        <f>J66*税费参数!$B$12/(I66*10000)</f>
        <v>0.0257142857142857</v>
      </c>
      <c r="M66" s="6">
        <f>I66*10000*SUM(税费参数!$B$9:$B$10)/税费参数!$B$11</f>
        <v>131.25</v>
      </c>
    </row>
    <row r="67" ht="21" customHeight="1" spans="1:13">
      <c r="A67" s="5" t="s">
        <v>13</v>
      </c>
      <c r="B67" s="6" t="s">
        <v>41</v>
      </c>
      <c r="C67" s="6" t="s">
        <v>152</v>
      </c>
      <c r="D67" s="6" t="s">
        <v>153</v>
      </c>
      <c r="E67" s="6" t="s">
        <v>249</v>
      </c>
      <c r="F67" s="6" t="s">
        <v>1619</v>
      </c>
      <c r="G67" s="6">
        <v>48.73</v>
      </c>
      <c r="H67" s="6">
        <v>44.47</v>
      </c>
      <c r="I67" s="6">
        <v>70</v>
      </c>
      <c r="J67" s="6">
        <v>2300</v>
      </c>
      <c r="K67" s="7">
        <f>(J67-M67)*税费参数!$B$12/(I67*10000*(1+SUM(税费参数!$B$6:$B$8)))</f>
        <v>0.0300069180214459</v>
      </c>
      <c r="L67" s="7">
        <f>J67*税费参数!$B$12/(I67*10000)</f>
        <v>0.0328571428571429</v>
      </c>
      <c r="M67" s="6">
        <f>I67*10000*SUM(税费参数!$B$9:$B$10)/税费参数!$B$11</f>
        <v>131.25</v>
      </c>
    </row>
    <row r="68" ht="21" customHeight="1" spans="1:13">
      <c r="A68" s="5" t="s">
        <v>13</v>
      </c>
      <c r="B68" s="6" t="s">
        <v>41</v>
      </c>
      <c r="C68" s="6" t="s">
        <v>152</v>
      </c>
      <c r="D68" s="6" t="s">
        <v>153</v>
      </c>
      <c r="E68" s="6" t="s">
        <v>249</v>
      </c>
      <c r="F68" s="6" t="s">
        <v>1620</v>
      </c>
      <c r="G68" s="6">
        <v>48.73</v>
      </c>
      <c r="H68" s="6">
        <v>48.01</v>
      </c>
      <c r="I68" s="6">
        <v>70</v>
      </c>
      <c r="J68" s="6">
        <v>2000</v>
      </c>
      <c r="K68" s="7">
        <f>(J68-M68)*税费参数!$B$12/(I68*10000*(1+SUM(税费参数!$B$6:$B$8)))</f>
        <v>0.025856105153926</v>
      </c>
      <c r="L68" s="7">
        <f>J68*税费参数!$B$12/(I68*10000)</f>
        <v>0.0285714285714286</v>
      </c>
      <c r="M68" s="6">
        <f>I68*10000*SUM(税费参数!$B$9:$B$10)/税费参数!$B$11</f>
        <v>131.25</v>
      </c>
    </row>
    <row r="69" ht="21" customHeight="1" spans="1:13">
      <c r="A69" s="5" t="s">
        <v>13</v>
      </c>
      <c r="B69" s="6" t="s">
        <v>41</v>
      </c>
      <c r="C69" s="6" t="s">
        <v>152</v>
      </c>
      <c r="D69" s="6" t="s">
        <v>153</v>
      </c>
      <c r="E69" s="6" t="s">
        <v>249</v>
      </c>
      <c r="F69" s="6" t="s">
        <v>1621</v>
      </c>
      <c r="G69" s="6">
        <v>48.73</v>
      </c>
      <c r="H69" s="6">
        <v>44.14</v>
      </c>
      <c r="I69" s="6">
        <v>70</v>
      </c>
      <c r="J69" s="6">
        <v>2300</v>
      </c>
      <c r="K69" s="7">
        <f>(J69-M69)*税费参数!$B$12/(I69*10000*(1+SUM(税费参数!$B$6:$B$8)))</f>
        <v>0.0300069180214459</v>
      </c>
      <c r="L69" s="7">
        <f>J69*税费参数!$B$12/(I69*10000)</f>
        <v>0.0328571428571429</v>
      </c>
      <c r="M69" s="6">
        <f>I69*10000*SUM(税费参数!$B$9:$B$10)/税费参数!$B$11</f>
        <v>131.25</v>
      </c>
    </row>
    <row r="70" ht="21" customHeight="1" spans="1:13">
      <c r="A70" s="5" t="s">
        <v>13</v>
      </c>
      <c r="B70" s="6" t="s">
        <v>41</v>
      </c>
      <c r="C70" s="6" t="s">
        <v>152</v>
      </c>
      <c r="D70" s="6" t="s">
        <v>153</v>
      </c>
      <c r="E70" s="6" t="s">
        <v>249</v>
      </c>
      <c r="F70" s="6" t="s">
        <v>1622</v>
      </c>
      <c r="G70" s="6">
        <v>48.73</v>
      </c>
      <c r="H70" s="6">
        <v>48.73</v>
      </c>
      <c r="I70" s="6">
        <v>70</v>
      </c>
      <c r="J70" s="6">
        <v>2300</v>
      </c>
      <c r="K70" s="7">
        <f>(J70-M70)*税费参数!$B$12/(I70*10000*(1+SUM(税费参数!$B$6:$B$8)))</f>
        <v>0.0300069180214459</v>
      </c>
      <c r="L70" s="7">
        <f>J70*税费参数!$B$12/(I70*10000)</f>
        <v>0.0328571428571429</v>
      </c>
      <c r="M70" s="6">
        <f>I70*10000*SUM(税费参数!$B$9:$B$10)/税费参数!$B$11</f>
        <v>131.25</v>
      </c>
    </row>
    <row r="71" ht="21" customHeight="1" spans="1:13">
      <c r="A71" s="5" t="s">
        <v>13</v>
      </c>
      <c r="B71" s="6" t="s">
        <v>41</v>
      </c>
      <c r="C71" s="6" t="s">
        <v>152</v>
      </c>
      <c r="D71" s="6" t="s">
        <v>153</v>
      </c>
      <c r="E71" s="6" t="s">
        <v>249</v>
      </c>
      <c r="F71" s="6" t="s">
        <v>1623</v>
      </c>
      <c r="G71" s="6">
        <v>48.73</v>
      </c>
      <c r="H71" s="6">
        <v>44.14</v>
      </c>
      <c r="I71" s="6">
        <v>70</v>
      </c>
      <c r="J71" s="6">
        <v>1988</v>
      </c>
      <c r="K71" s="7">
        <f>(J71-M71)*税费参数!$B$12/(I71*10000*(1+SUM(税费参数!$B$6:$B$8)))</f>
        <v>0.0256900726392252</v>
      </c>
      <c r="L71" s="7">
        <f>J71*税费参数!$B$12/(I71*10000)</f>
        <v>0.0284</v>
      </c>
      <c r="M71" s="6">
        <f>I71*10000*SUM(税费参数!$B$9:$B$10)/税费参数!$B$11</f>
        <v>131.25</v>
      </c>
    </row>
    <row r="72" ht="21" customHeight="1" spans="1:13">
      <c r="A72" s="5" t="s">
        <v>13</v>
      </c>
      <c r="B72" s="6" t="s">
        <v>41</v>
      </c>
      <c r="C72" s="6" t="s">
        <v>152</v>
      </c>
      <c r="D72" s="6" t="s">
        <v>153</v>
      </c>
      <c r="E72" s="6" t="s">
        <v>249</v>
      </c>
      <c r="F72" s="6" t="s">
        <v>1624</v>
      </c>
      <c r="G72" s="6">
        <v>48.73</v>
      </c>
      <c r="H72" s="6">
        <v>48.66</v>
      </c>
      <c r="I72" s="6">
        <v>70</v>
      </c>
      <c r="J72" s="6">
        <v>2200</v>
      </c>
      <c r="K72" s="7">
        <f>(J72-M72)*税费参数!$B$12/(I72*10000*(1+SUM(税费参数!$B$6:$B$8)))</f>
        <v>0.0286233137322726</v>
      </c>
      <c r="L72" s="7">
        <f>J72*税费参数!$B$12/(I72*10000)</f>
        <v>0.0314285714285714</v>
      </c>
      <c r="M72" s="6">
        <f>I72*10000*SUM(税费参数!$B$9:$B$10)/税费参数!$B$11</f>
        <v>131.25</v>
      </c>
    </row>
    <row r="73" ht="21" customHeight="1" spans="1:13">
      <c r="A73" s="5" t="s">
        <v>13</v>
      </c>
      <c r="B73" s="6" t="s">
        <v>41</v>
      </c>
      <c r="C73" s="6" t="s">
        <v>152</v>
      </c>
      <c r="D73" s="6" t="s">
        <v>153</v>
      </c>
      <c r="E73" s="6" t="s">
        <v>247</v>
      </c>
      <c r="F73" s="6" t="s">
        <v>1609</v>
      </c>
      <c r="G73" s="6">
        <v>44.14</v>
      </c>
      <c r="H73" s="6">
        <v>44.14</v>
      </c>
      <c r="I73" s="6">
        <v>62</v>
      </c>
      <c r="J73" s="6">
        <v>2400</v>
      </c>
      <c r="K73" s="7">
        <f>(J73-M73)*税费参数!$B$12/(I73*10000*(1+SUM(税费参数!$B$6:$B$8)))</f>
        <v>0.0356752323674139</v>
      </c>
      <c r="L73" s="7">
        <f>J73*税费参数!$B$12/(I73*10000)</f>
        <v>0.0387096774193548</v>
      </c>
      <c r="M73" s="6">
        <f>I73*10000*SUM(税费参数!$B$9:$B$10)/税费参数!$B$11</f>
        <v>116.25</v>
      </c>
    </row>
    <row r="74" ht="21" customHeight="1" spans="1:13">
      <c r="A74" s="5" t="s">
        <v>13</v>
      </c>
      <c r="B74" s="6" t="s">
        <v>41</v>
      </c>
      <c r="C74" s="6" t="s">
        <v>152</v>
      </c>
      <c r="D74" s="6" t="s">
        <v>153</v>
      </c>
      <c r="E74" s="6" t="s">
        <v>247</v>
      </c>
      <c r="F74" s="6" t="s">
        <v>1610</v>
      </c>
      <c r="G74" s="6">
        <v>44.14</v>
      </c>
      <c r="H74" s="6">
        <v>44.14</v>
      </c>
      <c r="I74" s="6">
        <v>62</v>
      </c>
      <c r="J74" s="6">
        <v>2100</v>
      </c>
      <c r="K74" s="7">
        <f>(J74-M74)*税费参数!$B$12/(I74*10000*(1+SUM(税费参数!$B$6:$B$8)))</f>
        <v>0.0309888307427947</v>
      </c>
      <c r="L74" s="7">
        <f>J74*税费参数!$B$12/(I74*10000)</f>
        <v>0.0338709677419355</v>
      </c>
      <c r="M74" s="6">
        <f>I74*10000*SUM(税费参数!$B$9:$B$10)/税费参数!$B$11</f>
        <v>116.25</v>
      </c>
    </row>
    <row r="75" ht="21" customHeight="1" spans="1:13">
      <c r="A75" s="5" t="s">
        <v>13</v>
      </c>
      <c r="B75" s="6" t="s">
        <v>41</v>
      </c>
      <c r="C75" s="6" t="s">
        <v>152</v>
      </c>
      <c r="D75" s="6" t="s">
        <v>153</v>
      </c>
      <c r="E75" s="6" t="s">
        <v>247</v>
      </c>
      <c r="F75" s="6" t="s">
        <v>1611</v>
      </c>
      <c r="G75" s="6">
        <v>44.14</v>
      </c>
      <c r="H75" s="6">
        <v>50.65</v>
      </c>
      <c r="I75" s="6">
        <v>62</v>
      </c>
      <c r="J75" s="6">
        <v>2200</v>
      </c>
      <c r="K75" s="7">
        <f>(J75-M75)*税费参数!$B$12/(I75*10000*(1+SUM(税费参数!$B$6:$B$8)))</f>
        <v>0.0325509646176677</v>
      </c>
      <c r="L75" s="7">
        <f>J75*税费参数!$B$12/(I75*10000)</f>
        <v>0.0354838709677419</v>
      </c>
      <c r="M75" s="6">
        <f>I75*10000*SUM(税费参数!$B$9:$B$10)/税费参数!$B$11</f>
        <v>116.25</v>
      </c>
    </row>
    <row r="76" ht="21" customHeight="1" spans="1:13">
      <c r="A76" s="5" t="s">
        <v>13</v>
      </c>
      <c r="B76" s="6" t="s">
        <v>41</v>
      </c>
      <c r="C76" s="6" t="s">
        <v>152</v>
      </c>
      <c r="D76" s="6" t="s">
        <v>153</v>
      </c>
      <c r="E76" s="6" t="s">
        <v>247</v>
      </c>
      <c r="F76" s="6" t="s">
        <v>1612</v>
      </c>
      <c r="G76" s="6">
        <v>44.14</v>
      </c>
      <c r="H76" s="6">
        <v>44.14</v>
      </c>
      <c r="I76" s="6">
        <v>62</v>
      </c>
      <c r="J76" s="6">
        <v>1900</v>
      </c>
      <c r="K76" s="7">
        <f>(J76-M76)*税费参数!$B$12/(I76*10000*(1+SUM(税费参数!$B$6:$B$8)))</f>
        <v>0.0278645629930485</v>
      </c>
      <c r="L76" s="7">
        <f>J76*税费参数!$B$12/(I76*10000)</f>
        <v>0.0306451612903226</v>
      </c>
      <c r="M76" s="6">
        <f>I76*10000*SUM(税费参数!$B$9:$B$10)/税费参数!$B$11</f>
        <v>116.25</v>
      </c>
    </row>
    <row r="77" ht="21" customHeight="1" spans="1:13">
      <c r="A77" s="5" t="s">
        <v>13</v>
      </c>
      <c r="B77" s="6" t="s">
        <v>41</v>
      </c>
      <c r="C77" s="6" t="s">
        <v>152</v>
      </c>
      <c r="D77" s="6" t="s">
        <v>153</v>
      </c>
      <c r="E77" s="6" t="s">
        <v>247</v>
      </c>
      <c r="F77" s="6" t="s">
        <v>1613</v>
      </c>
      <c r="G77" s="6">
        <v>44.14</v>
      </c>
      <c r="H77" s="6">
        <v>44.21</v>
      </c>
      <c r="I77" s="6">
        <v>62</v>
      </c>
      <c r="J77" s="6">
        <v>2200</v>
      </c>
      <c r="K77" s="7">
        <f>(J77-M77)*税费参数!$B$12/(I77*10000*(1+SUM(税费参数!$B$6:$B$8)))</f>
        <v>0.0325509646176677</v>
      </c>
      <c r="L77" s="7">
        <f>J77*税费参数!$B$12/(I77*10000)</f>
        <v>0.0354838709677419</v>
      </c>
      <c r="M77" s="6">
        <f>I77*10000*SUM(税费参数!$B$9:$B$10)/税费参数!$B$11</f>
        <v>116.25</v>
      </c>
    </row>
    <row r="78" ht="21" customHeight="1" spans="1:13">
      <c r="A78" s="5" t="s">
        <v>13</v>
      </c>
      <c r="B78" s="6" t="s">
        <v>41</v>
      </c>
      <c r="C78" s="6" t="s">
        <v>152</v>
      </c>
      <c r="D78" s="6" t="s">
        <v>153</v>
      </c>
      <c r="E78" s="6" t="s">
        <v>247</v>
      </c>
      <c r="F78" s="6" t="s">
        <v>1614</v>
      </c>
      <c r="G78" s="6">
        <v>44.14</v>
      </c>
      <c r="H78" s="6">
        <v>48.66</v>
      </c>
      <c r="I78" s="6">
        <v>62</v>
      </c>
      <c r="J78" s="6">
        <v>2100</v>
      </c>
      <c r="K78" s="7">
        <f>(J78-M78)*税费参数!$B$12/(I78*10000*(1+SUM(税费参数!$B$6:$B$8)))</f>
        <v>0.0309888307427947</v>
      </c>
      <c r="L78" s="7">
        <f>J78*税费参数!$B$12/(I78*10000)</f>
        <v>0.0338709677419355</v>
      </c>
      <c r="M78" s="6">
        <f>I78*10000*SUM(税费参数!$B$9:$B$10)/税费参数!$B$11</f>
        <v>116.25</v>
      </c>
    </row>
    <row r="79" ht="21" customHeight="1" spans="1:13">
      <c r="A79" s="5" t="s">
        <v>13</v>
      </c>
      <c r="B79" s="6" t="s">
        <v>41</v>
      </c>
      <c r="C79" s="6" t="s">
        <v>152</v>
      </c>
      <c r="D79" s="6" t="s">
        <v>153</v>
      </c>
      <c r="E79" s="6" t="s">
        <v>247</v>
      </c>
      <c r="F79" s="6" t="s">
        <v>1615</v>
      </c>
      <c r="G79" s="6">
        <v>44.14</v>
      </c>
      <c r="H79" s="6">
        <v>44.47</v>
      </c>
      <c r="I79" s="6">
        <v>62</v>
      </c>
      <c r="J79" s="6">
        <v>2130</v>
      </c>
      <c r="K79" s="7">
        <f>(J79-M79)*税费参数!$B$12/(I79*10000*(1+SUM(税费参数!$B$6:$B$8)))</f>
        <v>0.0314574709052566</v>
      </c>
      <c r="L79" s="7">
        <f>J79*税费参数!$B$12/(I79*10000)</f>
        <v>0.0343548387096774</v>
      </c>
      <c r="M79" s="6">
        <f>I79*10000*SUM(税费参数!$B$9:$B$10)/税费参数!$B$11</f>
        <v>116.25</v>
      </c>
    </row>
    <row r="80" ht="21" customHeight="1" spans="1:13">
      <c r="A80" s="5" t="s">
        <v>13</v>
      </c>
      <c r="B80" s="6" t="s">
        <v>41</v>
      </c>
      <c r="C80" s="6" t="s">
        <v>152</v>
      </c>
      <c r="D80" s="6" t="s">
        <v>153</v>
      </c>
      <c r="E80" s="6" t="s">
        <v>247</v>
      </c>
      <c r="F80" s="6" t="s">
        <v>1616</v>
      </c>
      <c r="G80" s="6">
        <v>44.14</v>
      </c>
      <c r="H80" s="6">
        <v>48.6</v>
      </c>
      <c r="I80" s="6">
        <v>62</v>
      </c>
      <c r="J80" s="6">
        <v>2000</v>
      </c>
      <c r="K80" s="7">
        <f>(J80-M80)*税费参数!$B$12/(I80*10000*(1+SUM(税费参数!$B$6:$B$8)))</f>
        <v>0.0294266968679216</v>
      </c>
      <c r="L80" s="7">
        <f>J80*税费参数!$B$12/(I80*10000)</f>
        <v>0.032258064516129</v>
      </c>
      <c r="M80" s="6">
        <f>I80*10000*SUM(税费参数!$B$9:$B$10)/税费参数!$B$11</f>
        <v>116.25</v>
      </c>
    </row>
    <row r="81" ht="21" customHeight="1" spans="1:13">
      <c r="A81" s="5" t="s">
        <v>13</v>
      </c>
      <c r="B81" s="6" t="s">
        <v>41</v>
      </c>
      <c r="C81" s="6" t="s">
        <v>152</v>
      </c>
      <c r="D81" s="6" t="s">
        <v>153</v>
      </c>
      <c r="E81" s="6" t="s">
        <v>247</v>
      </c>
      <c r="F81" s="6" t="s">
        <v>1617</v>
      </c>
      <c r="G81" s="6">
        <v>44.14</v>
      </c>
      <c r="H81" s="6">
        <v>44.51</v>
      </c>
      <c r="I81" s="6">
        <v>62</v>
      </c>
      <c r="J81" s="6">
        <v>2300</v>
      </c>
      <c r="K81" s="7">
        <f>(J81-M81)*税费参数!$B$12/(I81*10000*(1+SUM(税费参数!$B$6:$B$8)))</f>
        <v>0.0341130984925408</v>
      </c>
      <c r="L81" s="7">
        <f>J81*税费参数!$B$12/(I81*10000)</f>
        <v>0.0370967741935484</v>
      </c>
      <c r="M81" s="6">
        <f>I81*10000*SUM(税费参数!$B$9:$B$10)/税费参数!$B$11</f>
        <v>116.25</v>
      </c>
    </row>
    <row r="82" ht="21" customHeight="1" spans="1:13">
      <c r="A82" s="5" t="s">
        <v>13</v>
      </c>
      <c r="B82" s="6" t="s">
        <v>41</v>
      </c>
      <c r="C82" s="6" t="s">
        <v>152</v>
      </c>
      <c r="D82" s="6" t="s">
        <v>153</v>
      </c>
      <c r="E82" s="6" t="s">
        <v>247</v>
      </c>
      <c r="F82" s="6" t="s">
        <v>1618</v>
      </c>
      <c r="G82" s="6">
        <v>44.14</v>
      </c>
      <c r="H82" s="6">
        <v>44.47</v>
      </c>
      <c r="I82" s="6">
        <v>62</v>
      </c>
      <c r="J82" s="6">
        <v>1800</v>
      </c>
      <c r="K82" s="7">
        <f>(J82-M82)*税费参数!$B$12/(I82*10000*(1+SUM(税费参数!$B$6:$B$8)))</f>
        <v>0.0263024291181754</v>
      </c>
      <c r="L82" s="7">
        <f>J82*税费参数!$B$12/(I82*10000)</f>
        <v>0.0290322580645161</v>
      </c>
      <c r="M82" s="6">
        <f>I82*10000*SUM(税费参数!$B$9:$B$10)/税费参数!$B$11</f>
        <v>116.25</v>
      </c>
    </row>
    <row r="83" ht="21" customHeight="1" spans="1:13">
      <c r="A83" s="5" t="s">
        <v>13</v>
      </c>
      <c r="B83" s="6" t="s">
        <v>41</v>
      </c>
      <c r="C83" s="6" t="s">
        <v>152</v>
      </c>
      <c r="D83" s="6" t="s">
        <v>153</v>
      </c>
      <c r="E83" s="6" t="s">
        <v>247</v>
      </c>
      <c r="F83" s="6" t="s">
        <v>1619</v>
      </c>
      <c r="G83" s="6">
        <v>44.14</v>
      </c>
      <c r="H83" s="6">
        <v>44.47</v>
      </c>
      <c r="I83" s="6">
        <v>62</v>
      </c>
      <c r="J83" s="6">
        <v>2300</v>
      </c>
      <c r="K83" s="7">
        <f>(J83-M83)*税费参数!$B$12/(I83*10000*(1+SUM(税费参数!$B$6:$B$8)))</f>
        <v>0.0341130984925408</v>
      </c>
      <c r="L83" s="7">
        <f>J83*税费参数!$B$12/(I83*10000)</f>
        <v>0.0370967741935484</v>
      </c>
      <c r="M83" s="6">
        <f>I83*10000*SUM(税费参数!$B$9:$B$10)/税费参数!$B$11</f>
        <v>116.25</v>
      </c>
    </row>
    <row r="84" ht="21" customHeight="1" spans="1:13">
      <c r="A84" s="5" t="s">
        <v>13</v>
      </c>
      <c r="B84" s="6" t="s">
        <v>41</v>
      </c>
      <c r="C84" s="6" t="s">
        <v>152</v>
      </c>
      <c r="D84" s="6" t="s">
        <v>153</v>
      </c>
      <c r="E84" s="6" t="s">
        <v>247</v>
      </c>
      <c r="F84" s="6" t="s">
        <v>1620</v>
      </c>
      <c r="G84" s="6">
        <v>44.14</v>
      </c>
      <c r="H84" s="6">
        <v>48.01</v>
      </c>
      <c r="I84" s="6">
        <v>62</v>
      </c>
      <c r="J84" s="6">
        <v>2000</v>
      </c>
      <c r="K84" s="7">
        <f>(J84-M84)*税费参数!$B$12/(I84*10000*(1+SUM(税费参数!$B$6:$B$8)))</f>
        <v>0.0294266968679216</v>
      </c>
      <c r="L84" s="7">
        <f>J84*税费参数!$B$12/(I84*10000)</f>
        <v>0.032258064516129</v>
      </c>
      <c r="M84" s="6">
        <f>I84*10000*SUM(税费参数!$B$9:$B$10)/税费参数!$B$11</f>
        <v>116.25</v>
      </c>
    </row>
    <row r="85" ht="21" customHeight="1" spans="1:13">
      <c r="A85" s="5" t="s">
        <v>13</v>
      </c>
      <c r="B85" s="6" t="s">
        <v>41</v>
      </c>
      <c r="C85" s="6" t="s">
        <v>152</v>
      </c>
      <c r="D85" s="6" t="s">
        <v>153</v>
      </c>
      <c r="E85" s="6" t="s">
        <v>247</v>
      </c>
      <c r="F85" s="6" t="s">
        <v>1621</v>
      </c>
      <c r="G85" s="6">
        <v>44.14</v>
      </c>
      <c r="H85" s="6">
        <v>44.14</v>
      </c>
      <c r="I85" s="6">
        <v>62</v>
      </c>
      <c r="J85" s="6">
        <v>2300</v>
      </c>
      <c r="K85" s="7">
        <f>(J85-M85)*税费参数!$B$12/(I85*10000*(1+SUM(税费参数!$B$6:$B$8)))</f>
        <v>0.0341130984925408</v>
      </c>
      <c r="L85" s="7">
        <f>J85*税费参数!$B$12/(I85*10000)</f>
        <v>0.0370967741935484</v>
      </c>
      <c r="M85" s="6">
        <f>I85*10000*SUM(税费参数!$B$9:$B$10)/税费参数!$B$11</f>
        <v>116.25</v>
      </c>
    </row>
    <row r="86" ht="21" customHeight="1" spans="1:13">
      <c r="A86" s="5" t="s">
        <v>13</v>
      </c>
      <c r="B86" s="6" t="s">
        <v>41</v>
      </c>
      <c r="C86" s="6" t="s">
        <v>152</v>
      </c>
      <c r="D86" s="6" t="s">
        <v>153</v>
      </c>
      <c r="E86" s="6" t="s">
        <v>247</v>
      </c>
      <c r="F86" s="6" t="s">
        <v>1622</v>
      </c>
      <c r="G86" s="6">
        <v>44.14</v>
      </c>
      <c r="H86" s="6">
        <v>48.73</v>
      </c>
      <c r="I86" s="6">
        <v>62</v>
      </c>
      <c r="J86" s="6">
        <v>2300</v>
      </c>
      <c r="K86" s="7">
        <f>(J86-M86)*税费参数!$B$12/(I86*10000*(1+SUM(税费参数!$B$6:$B$8)))</f>
        <v>0.0341130984925408</v>
      </c>
      <c r="L86" s="7">
        <f>J86*税费参数!$B$12/(I86*10000)</f>
        <v>0.0370967741935484</v>
      </c>
      <c r="M86" s="6">
        <f>I86*10000*SUM(税费参数!$B$9:$B$10)/税费参数!$B$11</f>
        <v>116.25</v>
      </c>
    </row>
    <row r="87" ht="21" customHeight="1" spans="1:13">
      <c r="A87" s="5" t="s">
        <v>13</v>
      </c>
      <c r="B87" s="6" t="s">
        <v>41</v>
      </c>
      <c r="C87" s="6" t="s">
        <v>152</v>
      </c>
      <c r="D87" s="6" t="s">
        <v>153</v>
      </c>
      <c r="E87" s="6" t="s">
        <v>247</v>
      </c>
      <c r="F87" s="6" t="s">
        <v>1623</v>
      </c>
      <c r="G87" s="6">
        <v>44.14</v>
      </c>
      <c r="H87" s="6">
        <v>44.14</v>
      </c>
      <c r="I87" s="6">
        <v>62</v>
      </c>
      <c r="J87" s="6">
        <v>1988</v>
      </c>
      <c r="K87" s="7">
        <f>(J87-M87)*税费参数!$B$12/(I87*10000*(1+SUM(税费参数!$B$6:$B$8)))</f>
        <v>0.0292392408029368</v>
      </c>
      <c r="L87" s="7">
        <f>J87*税费参数!$B$12/(I87*10000)</f>
        <v>0.0320645161290323</v>
      </c>
      <c r="M87" s="6">
        <f>I87*10000*SUM(税费参数!$B$9:$B$10)/税费参数!$B$11</f>
        <v>116.25</v>
      </c>
    </row>
    <row r="88" ht="21" customHeight="1" spans="1:13">
      <c r="A88" s="5" t="s">
        <v>13</v>
      </c>
      <c r="B88" s="6" t="s">
        <v>41</v>
      </c>
      <c r="C88" s="6" t="s">
        <v>152</v>
      </c>
      <c r="D88" s="6" t="s">
        <v>153</v>
      </c>
      <c r="E88" s="6" t="s">
        <v>247</v>
      </c>
      <c r="F88" s="6" t="s">
        <v>1624</v>
      </c>
      <c r="G88" s="6">
        <v>44.14</v>
      </c>
      <c r="H88" s="6">
        <v>48.66</v>
      </c>
      <c r="I88" s="6">
        <v>62</v>
      </c>
      <c r="J88" s="6">
        <v>2200</v>
      </c>
      <c r="K88" s="7">
        <f>(J88-M88)*税费参数!$B$12/(I88*10000*(1+SUM(税费参数!$B$6:$B$8)))</f>
        <v>0.0325509646176677</v>
      </c>
      <c r="L88" s="7">
        <f>J88*税费参数!$B$12/(I88*10000)</f>
        <v>0.0354838709677419</v>
      </c>
      <c r="M88" s="6">
        <f>I88*10000*SUM(税费参数!$B$9:$B$10)/税费参数!$B$11</f>
        <v>116.25</v>
      </c>
    </row>
    <row r="89" ht="21" customHeight="1" spans="1:13">
      <c r="A89" s="5" t="s">
        <v>13</v>
      </c>
      <c r="B89" s="6" t="s">
        <v>41</v>
      </c>
      <c r="C89" s="6" t="s">
        <v>157</v>
      </c>
      <c r="D89" s="6" t="s">
        <v>155</v>
      </c>
      <c r="E89" s="6" t="s">
        <v>253</v>
      </c>
      <c r="F89" s="6" t="s">
        <v>1625</v>
      </c>
      <c r="G89" s="6">
        <v>62.96</v>
      </c>
      <c r="H89" s="6">
        <v>63.38</v>
      </c>
      <c r="I89" s="6">
        <v>105</v>
      </c>
      <c r="J89" s="6">
        <v>3200</v>
      </c>
      <c r="K89" s="7">
        <f>(J89-M89)*税费参数!$B$12/(I89*10000*(1+SUM(税费参数!$B$6:$B$8)))</f>
        <v>0.0277009108728237</v>
      </c>
      <c r="L89" s="7">
        <f>J89*税费参数!$B$12/(I89*10000)</f>
        <v>0.0304761904761905</v>
      </c>
      <c r="M89" s="6">
        <f>I89*10000*SUM(税费参数!$B$9:$B$10)/税费参数!$B$11</f>
        <v>196.875</v>
      </c>
    </row>
    <row r="90" ht="21" customHeight="1" spans="1:13">
      <c r="A90" s="5" t="s">
        <v>13</v>
      </c>
      <c r="B90" s="6" t="s">
        <v>41</v>
      </c>
      <c r="C90" s="6" t="s">
        <v>157</v>
      </c>
      <c r="D90" s="6" t="s">
        <v>155</v>
      </c>
      <c r="E90" s="6" t="s">
        <v>253</v>
      </c>
      <c r="F90" s="6" t="s">
        <v>1626</v>
      </c>
      <c r="G90" s="6">
        <v>62.96</v>
      </c>
      <c r="H90" s="6">
        <v>63.43</v>
      </c>
      <c r="I90" s="6">
        <v>105</v>
      </c>
      <c r="J90" s="6">
        <v>3000</v>
      </c>
      <c r="K90" s="7">
        <f>(J90-M90)*税费参数!$B$12/(I90*10000*(1+SUM(税费参数!$B$6:$B$8)))</f>
        <v>0.025856105153926</v>
      </c>
      <c r="L90" s="7">
        <f>J90*税费参数!$B$12/(I90*10000)</f>
        <v>0.0285714285714286</v>
      </c>
      <c r="M90" s="6">
        <f>I90*10000*SUM(税费参数!$B$9:$B$10)/税费参数!$B$11</f>
        <v>196.875</v>
      </c>
    </row>
    <row r="91" ht="21" customHeight="1" spans="1:13">
      <c r="A91" s="5" t="s">
        <v>13</v>
      </c>
      <c r="B91" s="6" t="s">
        <v>41</v>
      </c>
      <c r="C91" s="6" t="s">
        <v>157</v>
      </c>
      <c r="D91" s="6" t="s">
        <v>155</v>
      </c>
      <c r="E91" s="6" t="s">
        <v>251</v>
      </c>
      <c r="F91" s="6" t="s">
        <v>1625</v>
      </c>
      <c r="G91" s="6">
        <v>63.43</v>
      </c>
      <c r="H91" s="6">
        <v>63.38</v>
      </c>
      <c r="I91" s="6">
        <v>109</v>
      </c>
      <c r="J91" s="6">
        <v>3200</v>
      </c>
      <c r="K91" s="7">
        <f>(J91-M91)*税费参数!$B$12/(I91*10000*(1+SUM(税费参数!$B$6:$B$8)))</f>
        <v>0.0266177221938379</v>
      </c>
      <c r="L91" s="7">
        <f>J91*税费参数!$B$12/(I91*10000)</f>
        <v>0.0293577981651376</v>
      </c>
      <c r="M91" s="6">
        <f>I91*10000*SUM(税费参数!$B$9:$B$10)/税费参数!$B$11</f>
        <v>204.375</v>
      </c>
    </row>
    <row r="92" ht="21" customHeight="1" spans="1:13">
      <c r="A92" s="5" t="s">
        <v>13</v>
      </c>
      <c r="B92" s="6" t="s">
        <v>41</v>
      </c>
      <c r="C92" s="6" t="s">
        <v>157</v>
      </c>
      <c r="D92" s="6" t="s">
        <v>155</v>
      </c>
      <c r="E92" s="6" t="s">
        <v>251</v>
      </c>
      <c r="F92" s="6" t="s">
        <v>1626</v>
      </c>
      <c r="G92" s="6">
        <v>63.43</v>
      </c>
      <c r="H92" s="6">
        <v>63.43</v>
      </c>
      <c r="I92" s="6">
        <v>109</v>
      </c>
      <c r="J92" s="6">
        <v>3000</v>
      </c>
      <c r="K92" s="7">
        <f>(J92-M92)*税费参数!$B$12/(I92*10000*(1+SUM(税费参数!$B$6:$B$8)))</f>
        <v>0.0248406157673768</v>
      </c>
      <c r="L92" s="7">
        <f>J92*税费参数!$B$12/(I92*10000)</f>
        <v>0.0275229357798165</v>
      </c>
      <c r="M92" s="6">
        <f>I92*10000*SUM(税费参数!$B$9:$B$10)/税费参数!$B$11</f>
        <v>204.375</v>
      </c>
    </row>
    <row r="93" ht="21" customHeight="1" spans="1:13">
      <c r="A93" s="5" t="s">
        <v>13</v>
      </c>
      <c r="B93" s="6" t="s">
        <v>44</v>
      </c>
      <c r="C93" s="6" t="s">
        <v>152</v>
      </c>
      <c r="D93" s="6" t="s">
        <v>153</v>
      </c>
      <c r="E93" s="6" t="s">
        <v>263</v>
      </c>
      <c r="F93" s="6" t="s">
        <v>1627</v>
      </c>
      <c r="G93" s="6">
        <v>50.09</v>
      </c>
      <c r="H93" s="6">
        <v>48.24</v>
      </c>
      <c r="I93" s="6">
        <v>78</v>
      </c>
      <c r="J93" s="6">
        <v>2400</v>
      </c>
      <c r="K93" s="7">
        <f>(J93-M93)*税费参数!$B$12/(I93*10000*(1+SUM(税费参数!$B$6:$B$8)))</f>
        <v>0.0279847271372695</v>
      </c>
      <c r="L93" s="7">
        <f>J93*税费参数!$B$12/(I93*10000)</f>
        <v>0.0307692307692308</v>
      </c>
      <c r="M93" s="6">
        <f>I93*10000*SUM(税费参数!$B$9:$B$10)/税费参数!$B$11</f>
        <v>146.25</v>
      </c>
    </row>
    <row r="94" ht="21" customHeight="1" spans="1:13">
      <c r="A94" s="5" t="s">
        <v>13</v>
      </c>
      <c r="B94" s="6" t="s">
        <v>44</v>
      </c>
      <c r="C94" s="6" t="s">
        <v>152</v>
      </c>
      <c r="D94" s="6" t="s">
        <v>153</v>
      </c>
      <c r="E94" s="6" t="s">
        <v>263</v>
      </c>
      <c r="F94" s="6" t="s">
        <v>1628</v>
      </c>
      <c r="G94" s="6">
        <v>50.09</v>
      </c>
      <c r="H94" s="6">
        <v>50.12</v>
      </c>
      <c r="I94" s="6">
        <v>78</v>
      </c>
      <c r="J94" s="6">
        <v>2291</v>
      </c>
      <c r="K94" s="7">
        <f>(J94-M94)*税费参数!$B$12/(I94*10000*(1+SUM(税费参数!$B$6:$B$8)))</f>
        <v>0.0266312783261936</v>
      </c>
      <c r="L94" s="7">
        <f>J94*税费参数!$B$12/(I94*10000)</f>
        <v>0.0293717948717949</v>
      </c>
      <c r="M94" s="6">
        <f>I94*10000*SUM(税费参数!$B$9:$B$10)/税费参数!$B$11</f>
        <v>146.25</v>
      </c>
    </row>
    <row r="95" ht="21" customHeight="1" spans="1:13">
      <c r="A95" s="5" t="s">
        <v>13</v>
      </c>
      <c r="B95" s="6" t="s">
        <v>44</v>
      </c>
      <c r="C95" s="6" t="s">
        <v>152</v>
      </c>
      <c r="D95" s="6" t="s">
        <v>153</v>
      </c>
      <c r="E95" s="6" t="s">
        <v>263</v>
      </c>
      <c r="F95" s="6" t="s">
        <v>1629</v>
      </c>
      <c r="G95" s="6">
        <v>50.09</v>
      </c>
      <c r="H95" s="6">
        <v>49.06</v>
      </c>
      <c r="I95" s="6">
        <v>78</v>
      </c>
      <c r="J95" s="6">
        <v>2000</v>
      </c>
      <c r="K95" s="7">
        <f>(J95-M95)*税费参数!$B$12/(I95*10000*(1+SUM(税费参数!$B$6:$B$8)))</f>
        <v>0.0230179425094679</v>
      </c>
      <c r="L95" s="7">
        <f>J95*税费参数!$B$12/(I95*10000)</f>
        <v>0.0256410256410256</v>
      </c>
      <c r="M95" s="6">
        <f>I95*10000*SUM(税费参数!$B$9:$B$10)/税费参数!$B$11</f>
        <v>146.25</v>
      </c>
    </row>
    <row r="96" ht="21" customHeight="1" spans="1:13">
      <c r="A96" s="5" t="s">
        <v>13</v>
      </c>
      <c r="B96" s="6" t="s">
        <v>44</v>
      </c>
      <c r="C96" s="6" t="s">
        <v>152</v>
      </c>
      <c r="D96" s="6" t="s">
        <v>153</v>
      </c>
      <c r="E96" s="6" t="s">
        <v>263</v>
      </c>
      <c r="F96" s="6" t="s">
        <v>1630</v>
      </c>
      <c r="G96" s="6">
        <v>50.09</v>
      </c>
      <c r="H96" s="6">
        <v>48.35</v>
      </c>
      <c r="I96" s="6">
        <v>78</v>
      </c>
      <c r="J96" s="6">
        <v>2200</v>
      </c>
      <c r="K96" s="7">
        <f>(J96-M96)*税费参数!$B$12/(I96*10000*(1+SUM(税费参数!$B$6:$B$8)))</f>
        <v>0.0255013348233687</v>
      </c>
      <c r="L96" s="7">
        <f>J96*税费参数!$B$12/(I96*10000)</f>
        <v>0.0282051282051282</v>
      </c>
      <c r="M96" s="6">
        <f>I96*10000*SUM(税费参数!$B$9:$B$10)/税费参数!$B$11</f>
        <v>146.25</v>
      </c>
    </row>
    <row r="97" ht="21" customHeight="1" spans="1:13">
      <c r="A97" s="5" t="s">
        <v>13</v>
      </c>
      <c r="B97" s="6" t="s">
        <v>44</v>
      </c>
      <c r="C97" s="6" t="s">
        <v>152</v>
      </c>
      <c r="D97" s="6" t="s">
        <v>153</v>
      </c>
      <c r="E97" s="6" t="s">
        <v>263</v>
      </c>
      <c r="F97" s="6" t="s">
        <v>1631</v>
      </c>
      <c r="G97" s="6">
        <v>50.09</v>
      </c>
      <c r="H97" s="6">
        <v>48.24</v>
      </c>
      <c r="I97" s="6">
        <v>78</v>
      </c>
      <c r="J97" s="6">
        <v>2500</v>
      </c>
      <c r="K97" s="7">
        <f>(J97-M97)*税费参数!$B$12/(I97*10000*(1+SUM(税费参数!$B$6:$B$8)))</f>
        <v>0.0292264232942199</v>
      </c>
      <c r="L97" s="7">
        <f>J97*税费参数!$B$12/(I97*10000)</f>
        <v>0.032051282051282</v>
      </c>
      <c r="M97" s="6">
        <f>I97*10000*SUM(税费参数!$B$9:$B$10)/税费参数!$B$11</f>
        <v>146.25</v>
      </c>
    </row>
    <row r="98" ht="21" customHeight="1" spans="1:13">
      <c r="A98" s="5" t="s">
        <v>13</v>
      </c>
      <c r="B98" s="6" t="s">
        <v>44</v>
      </c>
      <c r="C98" s="6" t="s">
        <v>152</v>
      </c>
      <c r="D98" s="6" t="s">
        <v>153</v>
      </c>
      <c r="E98" s="6" t="s">
        <v>263</v>
      </c>
      <c r="F98" s="6" t="s">
        <v>1632</v>
      </c>
      <c r="G98" s="6">
        <v>50.09</v>
      </c>
      <c r="H98" s="6">
        <v>49.06</v>
      </c>
      <c r="I98" s="6">
        <v>78</v>
      </c>
      <c r="J98" s="6">
        <v>1900</v>
      </c>
      <c r="K98" s="7">
        <f>(J98-M98)*税费参数!$B$12/(I98*10000*(1+SUM(税费参数!$B$6:$B$8)))</f>
        <v>0.0217762463525175</v>
      </c>
      <c r="L98" s="7">
        <f>J98*税费参数!$B$12/(I98*10000)</f>
        <v>0.0243589743589744</v>
      </c>
      <c r="M98" s="6">
        <f>I98*10000*SUM(税费参数!$B$9:$B$10)/税费参数!$B$11</f>
        <v>146.25</v>
      </c>
    </row>
    <row r="99" ht="21" customHeight="1" spans="1:13">
      <c r="A99" s="5" t="s">
        <v>13</v>
      </c>
      <c r="B99" s="6" t="s">
        <v>44</v>
      </c>
      <c r="C99" s="6" t="s">
        <v>152</v>
      </c>
      <c r="D99" s="6" t="s">
        <v>153</v>
      </c>
      <c r="E99" s="6" t="s">
        <v>263</v>
      </c>
      <c r="F99" s="6" t="s">
        <v>1633</v>
      </c>
      <c r="G99" s="6">
        <v>50.09</v>
      </c>
      <c r="H99" s="6">
        <v>48.24</v>
      </c>
      <c r="I99" s="6">
        <v>78</v>
      </c>
      <c r="J99" s="6">
        <v>2400</v>
      </c>
      <c r="K99" s="7">
        <f>(J99-M99)*税费参数!$B$12/(I99*10000*(1+SUM(税费参数!$B$6:$B$8)))</f>
        <v>0.0279847271372695</v>
      </c>
      <c r="L99" s="7">
        <f>J99*税费参数!$B$12/(I99*10000)</f>
        <v>0.0307692307692308</v>
      </c>
      <c r="M99" s="6">
        <f>I99*10000*SUM(税费参数!$B$9:$B$10)/税费参数!$B$11</f>
        <v>146.25</v>
      </c>
    </row>
    <row r="100" ht="21" customHeight="1" spans="1:13">
      <c r="A100" s="5" t="s">
        <v>13</v>
      </c>
      <c r="B100" s="6" t="s">
        <v>44</v>
      </c>
      <c r="C100" s="6" t="s">
        <v>152</v>
      </c>
      <c r="D100" s="6" t="s">
        <v>153</v>
      </c>
      <c r="E100" s="6" t="s">
        <v>263</v>
      </c>
      <c r="F100" s="6" t="s">
        <v>1634</v>
      </c>
      <c r="G100" s="6">
        <v>50.09</v>
      </c>
      <c r="H100" s="6">
        <v>50.12</v>
      </c>
      <c r="I100" s="6">
        <v>78</v>
      </c>
      <c r="J100" s="6">
        <v>2500</v>
      </c>
      <c r="K100" s="7">
        <f>(J100-M100)*税费参数!$B$12/(I100*10000*(1+SUM(税费参数!$B$6:$B$8)))</f>
        <v>0.0292264232942199</v>
      </c>
      <c r="L100" s="7">
        <f>J100*税费参数!$B$12/(I100*10000)</f>
        <v>0.032051282051282</v>
      </c>
      <c r="M100" s="6">
        <f>I100*10000*SUM(税费参数!$B$9:$B$10)/税费参数!$B$11</f>
        <v>146.25</v>
      </c>
    </row>
    <row r="101" ht="21" customHeight="1" spans="1:13">
      <c r="A101" s="5" t="s">
        <v>13</v>
      </c>
      <c r="B101" s="6" t="s">
        <v>44</v>
      </c>
      <c r="C101" s="6" t="s">
        <v>152</v>
      </c>
      <c r="D101" s="6" t="s">
        <v>153</v>
      </c>
      <c r="E101" s="6" t="s">
        <v>261</v>
      </c>
      <c r="F101" s="6" t="s">
        <v>1627</v>
      </c>
      <c r="G101" s="6">
        <v>50.09</v>
      </c>
      <c r="H101" s="6">
        <v>48.24</v>
      </c>
      <c r="I101" s="6">
        <v>85</v>
      </c>
      <c r="J101" s="6">
        <v>2400</v>
      </c>
      <c r="K101" s="7">
        <f>(J101-M101)*税费参数!$B$12/(I101*10000*(1+SUM(税费参数!$B$6:$B$8)))</f>
        <v>0.0255305512035323</v>
      </c>
      <c r="L101" s="7">
        <f>J101*税费参数!$B$12/(I101*10000)</f>
        <v>0.0282352941176471</v>
      </c>
      <c r="M101" s="6">
        <f>I101*10000*SUM(税费参数!$B$9:$B$10)/税费参数!$B$11</f>
        <v>159.375</v>
      </c>
    </row>
    <row r="102" ht="21" customHeight="1" spans="1:13">
      <c r="A102" s="5" t="s">
        <v>13</v>
      </c>
      <c r="B102" s="6" t="s">
        <v>44</v>
      </c>
      <c r="C102" s="6" t="s">
        <v>152</v>
      </c>
      <c r="D102" s="6" t="s">
        <v>153</v>
      </c>
      <c r="E102" s="6" t="s">
        <v>261</v>
      </c>
      <c r="F102" s="6" t="s">
        <v>1628</v>
      </c>
      <c r="G102" s="6">
        <v>50.09</v>
      </c>
      <c r="H102" s="6">
        <v>50.12</v>
      </c>
      <c r="I102" s="6">
        <v>85</v>
      </c>
      <c r="J102" s="6">
        <v>2291</v>
      </c>
      <c r="K102" s="7">
        <f>(J102-M102)*税费参数!$B$12/(I102*10000*(1+SUM(税费参数!$B$6:$B$8)))</f>
        <v>0.0242885628827802</v>
      </c>
      <c r="L102" s="7">
        <f>J102*税费参数!$B$12/(I102*10000)</f>
        <v>0.0269529411764706</v>
      </c>
      <c r="M102" s="6">
        <f>I102*10000*SUM(税费参数!$B$9:$B$10)/税费参数!$B$11</f>
        <v>159.375</v>
      </c>
    </row>
    <row r="103" ht="21" customHeight="1" spans="1:13">
      <c r="A103" s="5" t="s">
        <v>13</v>
      </c>
      <c r="B103" s="6" t="s">
        <v>44</v>
      </c>
      <c r="C103" s="6" t="s">
        <v>152</v>
      </c>
      <c r="D103" s="6" t="s">
        <v>153</v>
      </c>
      <c r="E103" s="6" t="s">
        <v>261</v>
      </c>
      <c r="F103" s="6" t="s">
        <v>1629</v>
      </c>
      <c r="G103" s="6">
        <v>50.09</v>
      </c>
      <c r="H103" s="6">
        <v>49.06</v>
      </c>
      <c r="I103" s="6">
        <v>85</v>
      </c>
      <c r="J103" s="6">
        <v>2000</v>
      </c>
      <c r="K103" s="7">
        <f>(J103-M103)*税费参数!$B$12/(I103*10000*(1+SUM(税费参数!$B$6:$B$8)))</f>
        <v>0.0209727958980202</v>
      </c>
      <c r="L103" s="7">
        <f>J103*税费参数!$B$12/(I103*10000)</f>
        <v>0.0235294117647059</v>
      </c>
      <c r="M103" s="6">
        <f>I103*10000*SUM(税费参数!$B$9:$B$10)/税费参数!$B$11</f>
        <v>159.375</v>
      </c>
    </row>
    <row r="104" ht="21" customHeight="1" spans="1:13">
      <c r="A104" s="5" t="s">
        <v>13</v>
      </c>
      <c r="B104" s="6" t="s">
        <v>44</v>
      </c>
      <c r="C104" s="6" t="s">
        <v>152</v>
      </c>
      <c r="D104" s="6" t="s">
        <v>153</v>
      </c>
      <c r="E104" s="6" t="s">
        <v>261</v>
      </c>
      <c r="F104" s="6" t="s">
        <v>1630</v>
      </c>
      <c r="G104" s="6">
        <v>50.09</v>
      </c>
      <c r="H104" s="6">
        <v>48.35</v>
      </c>
      <c r="I104" s="6">
        <v>85</v>
      </c>
      <c r="J104" s="6">
        <v>2200</v>
      </c>
      <c r="K104" s="7">
        <f>(J104-M104)*税费参数!$B$12/(I104*10000*(1+SUM(税费参数!$B$6:$B$8)))</f>
        <v>0.0232516735507762</v>
      </c>
      <c r="L104" s="7">
        <f>J104*税费参数!$B$12/(I104*10000)</f>
        <v>0.0258823529411765</v>
      </c>
      <c r="M104" s="6">
        <f>I104*10000*SUM(税费参数!$B$9:$B$10)/税费参数!$B$11</f>
        <v>159.375</v>
      </c>
    </row>
    <row r="105" ht="21" customHeight="1" spans="1:13">
      <c r="A105" s="5" t="s">
        <v>13</v>
      </c>
      <c r="B105" s="6" t="s">
        <v>44</v>
      </c>
      <c r="C105" s="6" t="s">
        <v>152</v>
      </c>
      <c r="D105" s="6" t="s">
        <v>153</v>
      </c>
      <c r="E105" s="6" t="s">
        <v>261</v>
      </c>
      <c r="F105" s="6" t="s">
        <v>1631</v>
      </c>
      <c r="G105" s="6">
        <v>50.09</v>
      </c>
      <c r="H105" s="6">
        <v>48.24</v>
      </c>
      <c r="I105" s="6">
        <v>85</v>
      </c>
      <c r="J105" s="6">
        <v>2500</v>
      </c>
      <c r="K105" s="7">
        <f>(J105-M105)*税费参数!$B$12/(I105*10000*(1+SUM(税费参数!$B$6:$B$8)))</f>
        <v>0.0266699900299103</v>
      </c>
      <c r="L105" s="7">
        <f>J105*税费参数!$B$12/(I105*10000)</f>
        <v>0.0294117647058824</v>
      </c>
      <c r="M105" s="6">
        <f>I105*10000*SUM(税费参数!$B$9:$B$10)/税费参数!$B$11</f>
        <v>159.375</v>
      </c>
    </row>
    <row r="106" ht="21" customHeight="1" spans="1:13">
      <c r="A106" s="5" t="s">
        <v>13</v>
      </c>
      <c r="B106" s="6" t="s">
        <v>44</v>
      </c>
      <c r="C106" s="6" t="s">
        <v>152</v>
      </c>
      <c r="D106" s="6" t="s">
        <v>153</v>
      </c>
      <c r="E106" s="6" t="s">
        <v>261</v>
      </c>
      <c r="F106" s="6" t="s">
        <v>1632</v>
      </c>
      <c r="G106" s="6">
        <v>50.09</v>
      </c>
      <c r="H106" s="6">
        <v>49.06</v>
      </c>
      <c r="I106" s="6">
        <v>85</v>
      </c>
      <c r="J106" s="6">
        <v>1900</v>
      </c>
      <c r="K106" s="7">
        <f>(J106-M106)*税费参数!$B$12/(I106*10000*(1+SUM(税费参数!$B$6:$B$8)))</f>
        <v>0.0198333570716422</v>
      </c>
      <c r="L106" s="7">
        <f>J106*税费参数!$B$12/(I106*10000)</f>
        <v>0.0223529411764706</v>
      </c>
      <c r="M106" s="6">
        <f>I106*10000*SUM(税费参数!$B$9:$B$10)/税费参数!$B$11</f>
        <v>159.375</v>
      </c>
    </row>
    <row r="107" ht="21" customHeight="1" spans="1:13">
      <c r="A107" s="5" t="s">
        <v>13</v>
      </c>
      <c r="B107" s="6" t="s">
        <v>44</v>
      </c>
      <c r="C107" s="6" t="s">
        <v>152</v>
      </c>
      <c r="D107" s="6" t="s">
        <v>153</v>
      </c>
      <c r="E107" s="6" t="s">
        <v>261</v>
      </c>
      <c r="F107" s="6" t="s">
        <v>1633</v>
      </c>
      <c r="G107" s="6">
        <v>50.09</v>
      </c>
      <c r="H107" s="6">
        <v>48.24</v>
      </c>
      <c r="I107" s="6">
        <v>85</v>
      </c>
      <c r="J107" s="6">
        <v>2400</v>
      </c>
      <c r="K107" s="7">
        <f>(J107-M107)*税费参数!$B$12/(I107*10000*(1+SUM(税费参数!$B$6:$B$8)))</f>
        <v>0.0255305512035323</v>
      </c>
      <c r="L107" s="7">
        <f>J107*税费参数!$B$12/(I107*10000)</f>
        <v>0.0282352941176471</v>
      </c>
      <c r="M107" s="6">
        <f>I107*10000*SUM(税费参数!$B$9:$B$10)/税费参数!$B$11</f>
        <v>159.375</v>
      </c>
    </row>
    <row r="108" ht="21" customHeight="1" spans="1:13">
      <c r="A108" s="5" t="s">
        <v>13</v>
      </c>
      <c r="B108" s="6" t="s">
        <v>44</v>
      </c>
      <c r="C108" s="6" t="s">
        <v>152</v>
      </c>
      <c r="D108" s="6" t="s">
        <v>153</v>
      </c>
      <c r="E108" s="6" t="s">
        <v>261</v>
      </c>
      <c r="F108" s="6" t="s">
        <v>1634</v>
      </c>
      <c r="G108" s="6">
        <v>50.09</v>
      </c>
      <c r="H108" s="6">
        <v>50.12</v>
      </c>
      <c r="I108" s="6">
        <v>85</v>
      </c>
      <c r="J108" s="6">
        <v>2500</v>
      </c>
      <c r="K108" s="7">
        <f>(J108-M108)*税费参数!$B$12/(I108*10000*(1+SUM(税费参数!$B$6:$B$8)))</f>
        <v>0.0266699900299103</v>
      </c>
      <c r="L108" s="7">
        <f>J108*税费参数!$B$12/(I108*10000)</f>
        <v>0.0294117647058824</v>
      </c>
      <c r="M108" s="6">
        <f>I108*10000*SUM(税费参数!$B$9:$B$10)/税费参数!$B$11</f>
        <v>159.375</v>
      </c>
    </row>
    <row r="109" ht="21" customHeight="1" spans="1:13">
      <c r="A109" s="5" t="s">
        <v>15</v>
      </c>
      <c r="B109" s="6" t="s">
        <v>56</v>
      </c>
      <c r="C109" s="6" t="s">
        <v>159</v>
      </c>
      <c r="D109" s="6" t="s">
        <v>153</v>
      </c>
      <c r="E109" s="6" t="s">
        <v>273</v>
      </c>
      <c r="F109" s="6" t="s">
        <v>1635</v>
      </c>
      <c r="G109" s="6">
        <v>36.81</v>
      </c>
      <c r="H109" s="6">
        <v>36.84</v>
      </c>
      <c r="I109" s="6">
        <v>81</v>
      </c>
      <c r="J109" s="6">
        <v>2000</v>
      </c>
      <c r="K109" s="7">
        <f>(J109-M109)*税费参数!$B$12/(I109*10000*(1+SUM(税费参数!$B$6:$B$8)))</f>
        <v>0.0220981675783936</v>
      </c>
      <c r="L109" s="7">
        <f>J109*税费参数!$B$12/(I109*10000)</f>
        <v>0.0246913580246914</v>
      </c>
      <c r="M109" s="6">
        <f>I109*10000*SUM(税费参数!$B$9:$B$10)/税费参数!$B$11</f>
        <v>151.875</v>
      </c>
    </row>
    <row r="110" ht="21" customHeight="1" spans="1:13">
      <c r="A110" s="5" t="s">
        <v>15</v>
      </c>
      <c r="B110" s="6" t="s">
        <v>56</v>
      </c>
      <c r="C110" s="6" t="s">
        <v>159</v>
      </c>
      <c r="D110" s="6" t="s">
        <v>153</v>
      </c>
      <c r="E110" s="6" t="s">
        <v>273</v>
      </c>
      <c r="F110" s="6" t="s">
        <v>1636</v>
      </c>
      <c r="G110" s="6">
        <v>36.81</v>
      </c>
      <c r="H110" s="6">
        <v>36.84</v>
      </c>
      <c r="I110" s="6">
        <v>81</v>
      </c>
      <c r="J110" s="6">
        <v>2000</v>
      </c>
      <c r="K110" s="7">
        <f>(J110-M110)*税费参数!$B$12/(I110*10000*(1+SUM(税费参数!$B$6:$B$8)))</f>
        <v>0.0220981675783936</v>
      </c>
      <c r="L110" s="7">
        <f>J110*税费参数!$B$12/(I110*10000)</f>
        <v>0.0246913580246914</v>
      </c>
      <c r="M110" s="6">
        <f>I110*10000*SUM(税费参数!$B$9:$B$10)/税费参数!$B$11</f>
        <v>151.875</v>
      </c>
    </row>
    <row r="111" ht="21" customHeight="1" spans="1:13">
      <c r="A111" s="5" t="s">
        <v>15</v>
      </c>
      <c r="B111" s="6" t="s">
        <v>56</v>
      </c>
      <c r="C111" s="6" t="s">
        <v>159</v>
      </c>
      <c r="D111" s="6" t="s">
        <v>153</v>
      </c>
      <c r="E111" s="6" t="s">
        <v>275</v>
      </c>
      <c r="F111" s="6" t="s">
        <v>1635</v>
      </c>
      <c r="G111" s="6">
        <v>36.84</v>
      </c>
      <c r="H111" s="6">
        <v>36.84</v>
      </c>
      <c r="I111" s="6">
        <v>78</v>
      </c>
      <c r="J111" s="6">
        <v>2000</v>
      </c>
      <c r="K111" s="7">
        <f>(J111-M111)*税费参数!$B$12/(I111*10000*(1+SUM(税费参数!$B$6:$B$8)))</f>
        <v>0.0230179425094679</v>
      </c>
      <c r="L111" s="7">
        <f>J111*税费参数!$B$12/(I111*10000)</f>
        <v>0.0256410256410256</v>
      </c>
      <c r="M111" s="6">
        <f>I111*10000*SUM(税费参数!$B$9:$B$10)/税费参数!$B$11</f>
        <v>146.25</v>
      </c>
    </row>
    <row r="112" ht="21" customHeight="1" spans="1:13">
      <c r="A112" s="5" t="s">
        <v>15</v>
      </c>
      <c r="B112" s="6" t="s">
        <v>56</v>
      </c>
      <c r="C112" s="6" t="s">
        <v>159</v>
      </c>
      <c r="D112" s="6" t="s">
        <v>153</v>
      </c>
      <c r="E112" s="6" t="s">
        <v>275</v>
      </c>
      <c r="F112" s="6" t="s">
        <v>1636</v>
      </c>
      <c r="G112" s="6">
        <v>36.84</v>
      </c>
      <c r="H112" s="6">
        <v>36.84</v>
      </c>
      <c r="I112" s="6">
        <v>78</v>
      </c>
      <c r="J112" s="6">
        <v>2000</v>
      </c>
      <c r="K112" s="7">
        <f>(J112-M112)*税费参数!$B$12/(I112*10000*(1+SUM(税费参数!$B$6:$B$8)))</f>
        <v>0.0230179425094679</v>
      </c>
      <c r="L112" s="7">
        <f>J112*税费参数!$B$12/(I112*10000)</f>
        <v>0.0256410256410256</v>
      </c>
      <c r="M112" s="6">
        <f>I112*10000*SUM(税费参数!$B$9:$B$10)/税费参数!$B$11</f>
        <v>146.25</v>
      </c>
    </row>
    <row r="113" ht="21" customHeight="1" spans="1:13">
      <c r="A113" s="5" t="s">
        <v>15</v>
      </c>
      <c r="B113" s="6" t="s">
        <v>56</v>
      </c>
      <c r="C113" s="6" t="s">
        <v>152</v>
      </c>
      <c r="D113" s="6" t="s">
        <v>153</v>
      </c>
      <c r="E113" s="6" t="s">
        <v>269</v>
      </c>
      <c r="F113" s="6" t="s">
        <v>1637</v>
      </c>
      <c r="G113" s="6">
        <v>48.75</v>
      </c>
      <c r="H113" s="6">
        <v>48</v>
      </c>
      <c r="I113" s="6">
        <v>80</v>
      </c>
      <c r="J113" s="6">
        <v>2100</v>
      </c>
      <c r="K113" s="7">
        <f>(J113-M113)*税费参数!$B$12/(I113*10000*(1+SUM(税费参数!$B$6:$B$8)))</f>
        <v>0.0236077481840194</v>
      </c>
      <c r="L113" s="7">
        <f>J113*税费参数!$B$12/(I113*10000)</f>
        <v>0.02625</v>
      </c>
      <c r="M113" s="6">
        <f>I113*10000*SUM(税费参数!$B$9:$B$10)/税费参数!$B$11</f>
        <v>150</v>
      </c>
    </row>
    <row r="114" ht="21" customHeight="1" spans="1:13">
      <c r="A114" s="5" t="s">
        <v>15</v>
      </c>
      <c r="B114" s="6" t="s">
        <v>56</v>
      </c>
      <c r="C114" s="6" t="s">
        <v>152</v>
      </c>
      <c r="D114" s="6" t="s">
        <v>153</v>
      </c>
      <c r="E114" s="6" t="s">
        <v>269</v>
      </c>
      <c r="F114" s="6" t="s">
        <v>1638</v>
      </c>
      <c r="G114" s="6">
        <v>48.75</v>
      </c>
      <c r="H114" s="6">
        <v>43</v>
      </c>
      <c r="I114" s="6">
        <v>80</v>
      </c>
      <c r="J114" s="6">
        <v>2500</v>
      </c>
      <c r="K114" s="7">
        <f>(J114-M114)*税费参数!$B$12/(I114*10000*(1+SUM(税费参数!$B$6:$B$8)))</f>
        <v>0.0284503631961259</v>
      </c>
      <c r="L114" s="7">
        <f>J114*税费参数!$B$12/(I114*10000)</f>
        <v>0.03125</v>
      </c>
      <c r="M114" s="6">
        <f>I114*10000*SUM(税费参数!$B$9:$B$10)/税费参数!$B$11</f>
        <v>150</v>
      </c>
    </row>
    <row r="115" ht="21" customHeight="1" spans="1:13">
      <c r="A115" s="5" t="s">
        <v>15</v>
      </c>
      <c r="B115" s="6" t="s">
        <v>56</v>
      </c>
      <c r="C115" s="6" t="s">
        <v>152</v>
      </c>
      <c r="D115" s="6" t="s">
        <v>153</v>
      </c>
      <c r="E115" s="6" t="s">
        <v>267</v>
      </c>
      <c r="F115" s="6" t="s">
        <v>1637</v>
      </c>
      <c r="G115" s="6">
        <v>42.99</v>
      </c>
      <c r="H115" s="6">
        <v>48</v>
      </c>
      <c r="I115" s="6">
        <v>75</v>
      </c>
      <c r="J115" s="6">
        <v>2100</v>
      </c>
      <c r="K115" s="7">
        <f>(J115-M115)*税费参数!$B$12/(I115*10000*(1+SUM(税费参数!$B$6:$B$8)))</f>
        <v>0.0253026634382567</v>
      </c>
      <c r="L115" s="7">
        <f>J115*税费参数!$B$12/(I115*10000)</f>
        <v>0.028</v>
      </c>
      <c r="M115" s="6">
        <f>I115*10000*SUM(税费参数!$B$9:$B$10)/税费参数!$B$11</f>
        <v>140.625</v>
      </c>
    </row>
    <row r="116" ht="21" customHeight="1" spans="1:13">
      <c r="A116" s="5" t="s">
        <v>15</v>
      </c>
      <c r="B116" s="6" t="s">
        <v>56</v>
      </c>
      <c r="C116" s="6" t="s">
        <v>152</v>
      </c>
      <c r="D116" s="6" t="s">
        <v>153</v>
      </c>
      <c r="E116" s="6" t="s">
        <v>267</v>
      </c>
      <c r="F116" s="6" t="s">
        <v>1638</v>
      </c>
      <c r="G116" s="6">
        <v>42.99</v>
      </c>
      <c r="H116" s="6">
        <v>43</v>
      </c>
      <c r="I116" s="6">
        <v>75</v>
      </c>
      <c r="J116" s="6">
        <v>2500</v>
      </c>
      <c r="K116" s="7">
        <f>(J116-M116)*税费参数!$B$12/(I116*10000*(1+SUM(税费参数!$B$6:$B$8)))</f>
        <v>0.0304681194511703</v>
      </c>
      <c r="L116" s="7">
        <f>J116*税费参数!$B$12/(I116*10000)</f>
        <v>0.0333333333333333</v>
      </c>
      <c r="M116" s="6">
        <f>I116*10000*SUM(税费参数!$B$9:$B$10)/税费参数!$B$11</f>
        <v>140.625</v>
      </c>
    </row>
    <row r="117" ht="21" customHeight="1" spans="1:13">
      <c r="A117" s="5" t="s">
        <v>15</v>
      </c>
      <c r="B117" s="6" t="s">
        <v>60</v>
      </c>
      <c r="C117" s="6" t="s">
        <v>152</v>
      </c>
      <c r="D117" s="6" t="s">
        <v>153</v>
      </c>
      <c r="E117" s="6" t="s">
        <v>281</v>
      </c>
      <c r="F117" s="6" t="s">
        <v>1639</v>
      </c>
      <c r="G117" s="6">
        <v>59.66</v>
      </c>
      <c r="H117" s="6">
        <v>59.66</v>
      </c>
      <c r="I117" s="6">
        <v>109</v>
      </c>
      <c r="J117" s="6">
        <v>2400</v>
      </c>
      <c r="K117" s="7">
        <f>(J117-M117)*税费参数!$B$12/(I117*10000*(1+SUM(税费参数!$B$6:$B$8)))</f>
        <v>0.0195092964879934</v>
      </c>
      <c r="L117" s="7">
        <f>J117*税费参数!$B$12/(I117*10000)</f>
        <v>0.0220183486238532</v>
      </c>
      <c r="M117" s="6">
        <f>I117*10000*SUM(税费参数!$B$9:$B$10)/税费参数!$B$11</f>
        <v>204.375</v>
      </c>
    </row>
    <row r="118" ht="21" customHeight="1" spans="1:13">
      <c r="A118" s="5" t="s">
        <v>15</v>
      </c>
      <c r="B118" s="6" t="s">
        <v>60</v>
      </c>
      <c r="C118" s="6" t="s">
        <v>152</v>
      </c>
      <c r="D118" s="6" t="s">
        <v>153</v>
      </c>
      <c r="E118" s="6" t="s">
        <v>281</v>
      </c>
      <c r="F118" s="6" t="s">
        <v>1640</v>
      </c>
      <c r="G118" s="6">
        <v>59.66</v>
      </c>
      <c r="H118" s="6">
        <v>59.66</v>
      </c>
      <c r="I118" s="6">
        <v>109</v>
      </c>
      <c r="J118" s="6">
        <v>2600</v>
      </c>
      <c r="K118" s="7">
        <f>(J118-M118)*税费参数!$B$12/(I118*10000*(1+SUM(税费参数!$B$6:$B$8)))</f>
        <v>0.0212864029144545</v>
      </c>
      <c r="L118" s="7">
        <f>J118*税费参数!$B$12/(I118*10000)</f>
        <v>0.0238532110091743</v>
      </c>
      <c r="M118" s="6">
        <f>I118*10000*SUM(税费参数!$B$9:$B$10)/税费参数!$B$11</f>
        <v>204.375</v>
      </c>
    </row>
    <row r="119" ht="21" customHeight="1" spans="1:13">
      <c r="A119" s="5" t="s">
        <v>15</v>
      </c>
      <c r="B119" s="6" t="s">
        <v>63</v>
      </c>
      <c r="C119" s="6" t="s">
        <v>157</v>
      </c>
      <c r="D119" s="6" t="s">
        <v>153</v>
      </c>
      <c r="E119" s="6" t="s">
        <v>285</v>
      </c>
      <c r="F119" s="6" t="s">
        <v>1641</v>
      </c>
      <c r="G119" s="6">
        <v>65.51</v>
      </c>
      <c r="H119" s="6">
        <v>65.51</v>
      </c>
      <c r="I119" s="6">
        <v>86</v>
      </c>
      <c r="J119" s="6">
        <v>1940</v>
      </c>
      <c r="K119" s="7">
        <f>(J119-M119)*税费参数!$B$12/(I119*10000*(1+SUM(税费参数!$B$6:$B$8)))</f>
        <v>0.0200320964018244</v>
      </c>
      <c r="L119" s="7">
        <f>J119*税费参数!$B$12/(I119*10000)</f>
        <v>0.0225581395348837</v>
      </c>
      <c r="M119" s="6">
        <f>I119*10000*SUM(税费参数!$B$9:$B$10)/税费参数!$B$11</f>
        <v>161.25</v>
      </c>
    </row>
    <row r="120" ht="21" customHeight="1" spans="1:13">
      <c r="A120" s="5" t="s">
        <v>15</v>
      </c>
      <c r="B120" s="6" t="s">
        <v>63</v>
      </c>
      <c r="C120" s="6" t="s">
        <v>157</v>
      </c>
      <c r="D120" s="6" t="s">
        <v>153</v>
      </c>
      <c r="E120" s="6" t="s">
        <v>287</v>
      </c>
      <c r="F120" s="6" t="s">
        <v>1641</v>
      </c>
      <c r="G120" s="6">
        <v>60.6</v>
      </c>
      <c r="H120" s="6">
        <v>65.51</v>
      </c>
      <c r="I120" s="6">
        <v>88</v>
      </c>
      <c r="J120" s="6">
        <v>1940</v>
      </c>
      <c r="K120" s="7">
        <f>(J120-M120)*税费参数!$B$12/(I120*10000*(1+SUM(税费参数!$B$6:$B$8)))</f>
        <v>0.0195355491965661</v>
      </c>
      <c r="L120" s="7">
        <f>J120*税费参数!$B$12/(I120*10000)</f>
        <v>0.0220454545454545</v>
      </c>
      <c r="M120" s="6">
        <f>I120*10000*SUM(税费参数!$B$9:$B$10)/税费参数!$B$11</f>
        <v>165</v>
      </c>
    </row>
    <row r="121" ht="21" customHeight="1" spans="1:13">
      <c r="A121" s="5" t="s">
        <v>15</v>
      </c>
      <c r="B121" s="6" t="s">
        <v>63</v>
      </c>
      <c r="C121" s="6" t="s">
        <v>157</v>
      </c>
      <c r="D121" s="6" t="s">
        <v>153</v>
      </c>
      <c r="E121" s="6" t="s">
        <v>289</v>
      </c>
      <c r="F121" s="6" t="s">
        <v>1641</v>
      </c>
      <c r="G121" s="6">
        <v>70.66</v>
      </c>
      <c r="H121" s="6">
        <v>65.51</v>
      </c>
      <c r="I121" s="6">
        <v>108</v>
      </c>
      <c r="J121" s="6">
        <v>1940</v>
      </c>
      <c r="K121" s="7">
        <f>(J121-M121)*税费参数!$B$12/(I121*10000*(1+SUM(税费参数!$B$6:$B$8)))</f>
        <v>0.0155815621917317</v>
      </c>
      <c r="L121" s="7">
        <f>J121*税费参数!$B$12/(I121*10000)</f>
        <v>0.017962962962963</v>
      </c>
      <c r="M121" s="6">
        <f>I121*10000*SUM(税费参数!$B$9:$B$10)/税费参数!$B$11</f>
        <v>202.5</v>
      </c>
    </row>
    <row r="122" ht="21" customHeight="1" spans="1:13">
      <c r="A122" s="5" t="s">
        <v>15</v>
      </c>
      <c r="B122" s="6" t="s">
        <v>58</v>
      </c>
      <c r="C122" s="6" t="s">
        <v>152</v>
      </c>
      <c r="D122" s="6" t="s">
        <v>160</v>
      </c>
      <c r="E122" s="6" t="s">
        <v>303</v>
      </c>
      <c r="F122" s="6" t="s">
        <v>1642</v>
      </c>
      <c r="G122" s="6">
        <v>46.81</v>
      </c>
      <c r="H122" s="6">
        <v>46.89</v>
      </c>
      <c r="I122" s="6">
        <v>86</v>
      </c>
      <c r="J122" s="6">
        <v>2600</v>
      </c>
      <c r="K122" s="7">
        <f>(J122-M122)*税费参数!$B$12/(I122*10000*(1+SUM(税费参数!$B$6:$B$8)))</f>
        <v>0.0274649473506391</v>
      </c>
      <c r="L122" s="7">
        <f>J122*税费参数!$B$12/(I122*10000)</f>
        <v>0.0302325581395349</v>
      </c>
      <c r="M122" s="6">
        <f>I122*10000*SUM(税费参数!$B$9:$B$10)/税费参数!$B$11</f>
        <v>161.25</v>
      </c>
    </row>
    <row r="123" ht="21" customHeight="1" spans="1:13">
      <c r="A123" s="5" t="s">
        <v>15</v>
      </c>
      <c r="B123" s="6" t="s">
        <v>58</v>
      </c>
      <c r="C123" s="6" t="s">
        <v>152</v>
      </c>
      <c r="D123" s="6" t="s">
        <v>160</v>
      </c>
      <c r="E123" s="6" t="s">
        <v>303</v>
      </c>
      <c r="F123" s="6" t="s">
        <v>1643</v>
      </c>
      <c r="G123" s="6">
        <v>46.81</v>
      </c>
      <c r="H123" s="6">
        <v>46.76</v>
      </c>
      <c r="I123" s="6">
        <v>86</v>
      </c>
      <c r="J123" s="6">
        <v>2900</v>
      </c>
      <c r="K123" s="7">
        <f>(J123-M123)*税费参数!$B$12/(I123*10000*(1+SUM(税费参数!$B$6:$B$8)))</f>
        <v>0.0308435159637367</v>
      </c>
      <c r="L123" s="7">
        <f>J123*税费参数!$B$12/(I123*10000)</f>
        <v>0.0337209302325581</v>
      </c>
      <c r="M123" s="6">
        <f>I123*10000*SUM(税费参数!$B$9:$B$10)/税费参数!$B$11</f>
        <v>161.25</v>
      </c>
    </row>
    <row r="124" ht="21" customHeight="1" spans="1:13">
      <c r="A124" s="5" t="s">
        <v>15</v>
      </c>
      <c r="B124" s="6" t="s">
        <v>58</v>
      </c>
      <c r="C124" s="6" t="s">
        <v>152</v>
      </c>
      <c r="D124" s="6" t="s">
        <v>160</v>
      </c>
      <c r="E124" s="6" t="s">
        <v>303</v>
      </c>
      <c r="F124" s="6" t="s">
        <v>1644</v>
      </c>
      <c r="G124" s="6">
        <v>46.81</v>
      </c>
      <c r="H124" s="6">
        <v>46.57</v>
      </c>
      <c r="I124" s="6">
        <v>86</v>
      </c>
      <c r="J124" s="6">
        <v>3000</v>
      </c>
      <c r="K124" s="7">
        <f>(J124-M124)*税费参数!$B$12/(I124*10000*(1+SUM(税费参数!$B$6:$B$8)))</f>
        <v>0.0319697055014359</v>
      </c>
      <c r="L124" s="7">
        <f>J124*税费参数!$B$12/(I124*10000)</f>
        <v>0.0348837209302326</v>
      </c>
      <c r="M124" s="6">
        <f>I124*10000*SUM(税费参数!$B$9:$B$10)/税费参数!$B$11</f>
        <v>161.25</v>
      </c>
    </row>
    <row r="125" ht="21" customHeight="1" spans="1:13">
      <c r="A125" s="5" t="s">
        <v>15</v>
      </c>
      <c r="B125" s="6" t="s">
        <v>58</v>
      </c>
      <c r="C125" s="6" t="s">
        <v>152</v>
      </c>
      <c r="D125" s="6" t="s">
        <v>160</v>
      </c>
      <c r="E125" s="6" t="s">
        <v>303</v>
      </c>
      <c r="F125" s="6" t="s">
        <v>1645</v>
      </c>
      <c r="G125" s="6">
        <v>46.81</v>
      </c>
      <c r="H125" s="6">
        <v>46.76</v>
      </c>
      <c r="I125" s="6">
        <v>86</v>
      </c>
      <c r="J125" s="6">
        <v>2600</v>
      </c>
      <c r="K125" s="7">
        <f>(J125-M125)*税费参数!$B$12/(I125*10000*(1+SUM(税费参数!$B$6:$B$8)))</f>
        <v>0.0274649473506391</v>
      </c>
      <c r="L125" s="7">
        <f>J125*税费参数!$B$12/(I125*10000)</f>
        <v>0.0302325581395349</v>
      </c>
      <c r="M125" s="6">
        <f>I125*10000*SUM(税费参数!$B$9:$B$10)/税费参数!$B$11</f>
        <v>161.25</v>
      </c>
    </row>
    <row r="126" ht="21" customHeight="1" spans="1:13">
      <c r="A126" s="5" t="s">
        <v>15</v>
      </c>
      <c r="B126" s="6" t="s">
        <v>58</v>
      </c>
      <c r="C126" s="6" t="s">
        <v>152</v>
      </c>
      <c r="D126" s="6" t="s">
        <v>160</v>
      </c>
      <c r="E126" s="6" t="s">
        <v>303</v>
      </c>
      <c r="F126" s="6" t="s">
        <v>1646</v>
      </c>
      <c r="G126" s="6">
        <v>46.81</v>
      </c>
      <c r="H126" s="6">
        <v>46.89</v>
      </c>
      <c r="I126" s="6">
        <v>86</v>
      </c>
      <c r="J126" s="6">
        <v>2600</v>
      </c>
      <c r="K126" s="7">
        <f>(J126-M126)*税费参数!$B$12/(I126*10000*(1+SUM(税费参数!$B$6:$B$8)))</f>
        <v>0.0274649473506391</v>
      </c>
      <c r="L126" s="7">
        <f>J126*税费参数!$B$12/(I126*10000)</f>
        <v>0.0302325581395349</v>
      </c>
      <c r="M126" s="6">
        <f>I126*10000*SUM(税费参数!$B$9:$B$10)/税费参数!$B$11</f>
        <v>161.25</v>
      </c>
    </row>
    <row r="127" ht="21" customHeight="1" spans="1:13">
      <c r="A127" s="5" t="s">
        <v>15</v>
      </c>
      <c r="B127" s="6" t="s">
        <v>58</v>
      </c>
      <c r="C127" s="6" t="s">
        <v>152</v>
      </c>
      <c r="D127" s="6" t="s">
        <v>160</v>
      </c>
      <c r="E127" s="6" t="s">
        <v>303</v>
      </c>
      <c r="F127" s="6" t="s">
        <v>1647</v>
      </c>
      <c r="G127" s="6">
        <v>46.81</v>
      </c>
      <c r="H127" s="6">
        <v>46.89</v>
      </c>
      <c r="I127" s="6">
        <v>86</v>
      </c>
      <c r="J127" s="6">
        <v>2500</v>
      </c>
      <c r="K127" s="7">
        <f>(J127-M127)*税费参数!$B$12/(I127*10000*(1+SUM(税费参数!$B$6:$B$8)))</f>
        <v>0.0263387578129399</v>
      </c>
      <c r="L127" s="7">
        <f>J127*税费参数!$B$12/(I127*10000)</f>
        <v>0.0290697674418605</v>
      </c>
      <c r="M127" s="6">
        <f>I127*10000*SUM(税费参数!$B$9:$B$10)/税费参数!$B$11</f>
        <v>161.25</v>
      </c>
    </row>
    <row r="128" ht="21" customHeight="1" spans="1:13">
      <c r="A128" s="5" t="s">
        <v>15</v>
      </c>
      <c r="B128" s="6" t="s">
        <v>58</v>
      </c>
      <c r="C128" s="6" t="s">
        <v>152</v>
      </c>
      <c r="D128" s="6" t="s">
        <v>160</v>
      </c>
      <c r="E128" s="6" t="s">
        <v>309</v>
      </c>
      <c r="F128" s="6" t="s">
        <v>1642</v>
      </c>
      <c r="G128" s="6">
        <v>46.15</v>
      </c>
      <c r="H128" s="6">
        <v>46.89</v>
      </c>
      <c r="I128" s="6">
        <v>93</v>
      </c>
      <c r="J128" s="6">
        <v>2600</v>
      </c>
      <c r="K128" s="7">
        <f>(J128-M128)*税费参数!$B$12/(I128*10000*(1+SUM(税费参数!$B$6:$B$8)))</f>
        <v>0.0252610065349267</v>
      </c>
      <c r="L128" s="7">
        <f>J128*税费参数!$B$12/(I128*10000)</f>
        <v>0.0279569892473118</v>
      </c>
      <c r="M128" s="6">
        <f>I128*10000*SUM(税费参数!$B$9:$B$10)/税费参数!$B$11</f>
        <v>174.375</v>
      </c>
    </row>
    <row r="129" ht="21" customHeight="1" spans="1:13">
      <c r="A129" s="5" t="s">
        <v>15</v>
      </c>
      <c r="B129" s="6" t="s">
        <v>58</v>
      </c>
      <c r="C129" s="6" t="s">
        <v>152</v>
      </c>
      <c r="D129" s="6" t="s">
        <v>160</v>
      </c>
      <c r="E129" s="6" t="s">
        <v>309</v>
      </c>
      <c r="F129" s="6" t="s">
        <v>1643</v>
      </c>
      <c r="G129" s="6">
        <v>46.15</v>
      </c>
      <c r="H129" s="6">
        <v>46.76</v>
      </c>
      <c r="I129" s="6">
        <v>93</v>
      </c>
      <c r="J129" s="6">
        <v>2900</v>
      </c>
      <c r="K129" s="7">
        <f>(J129-M129)*税费参数!$B$12/(I129*10000*(1+SUM(税费参数!$B$6:$B$8)))</f>
        <v>0.0283852742846729</v>
      </c>
      <c r="L129" s="7">
        <f>J129*税费参数!$B$12/(I129*10000)</f>
        <v>0.0311827956989247</v>
      </c>
      <c r="M129" s="6">
        <f>I129*10000*SUM(税费参数!$B$9:$B$10)/税费参数!$B$11</f>
        <v>174.375</v>
      </c>
    </row>
    <row r="130" ht="21" customHeight="1" spans="1:13">
      <c r="A130" s="5" t="s">
        <v>15</v>
      </c>
      <c r="B130" s="6" t="s">
        <v>58</v>
      </c>
      <c r="C130" s="6" t="s">
        <v>152</v>
      </c>
      <c r="D130" s="6" t="s">
        <v>160</v>
      </c>
      <c r="E130" s="6" t="s">
        <v>309</v>
      </c>
      <c r="F130" s="6" t="s">
        <v>1644</v>
      </c>
      <c r="G130" s="6">
        <v>46.15</v>
      </c>
      <c r="H130" s="6">
        <v>46.57</v>
      </c>
      <c r="I130" s="6">
        <v>93</v>
      </c>
      <c r="J130" s="6">
        <v>3000</v>
      </c>
      <c r="K130" s="7">
        <f>(J130-M130)*税费参数!$B$12/(I130*10000*(1+SUM(税费参数!$B$6:$B$8)))</f>
        <v>0.0294266968679216</v>
      </c>
      <c r="L130" s="7">
        <f>J130*税费参数!$B$12/(I130*10000)</f>
        <v>0.032258064516129</v>
      </c>
      <c r="M130" s="6">
        <f>I130*10000*SUM(税费参数!$B$9:$B$10)/税费参数!$B$11</f>
        <v>174.375</v>
      </c>
    </row>
    <row r="131" ht="21" customHeight="1" spans="1:13">
      <c r="A131" s="5" t="s">
        <v>15</v>
      </c>
      <c r="B131" s="6" t="s">
        <v>58</v>
      </c>
      <c r="C131" s="6" t="s">
        <v>152</v>
      </c>
      <c r="D131" s="6" t="s">
        <v>160</v>
      </c>
      <c r="E131" s="6" t="s">
        <v>309</v>
      </c>
      <c r="F131" s="6" t="s">
        <v>1645</v>
      </c>
      <c r="G131" s="6">
        <v>46.15</v>
      </c>
      <c r="H131" s="6">
        <v>46.76</v>
      </c>
      <c r="I131" s="6">
        <v>93</v>
      </c>
      <c r="J131" s="6">
        <v>2600</v>
      </c>
      <c r="K131" s="7">
        <f>(J131-M131)*税费参数!$B$12/(I131*10000*(1+SUM(税费参数!$B$6:$B$8)))</f>
        <v>0.0252610065349267</v>
      </c>
      <c r="L131" s="7">
        <f>J131*税费参数!$B$12/(I131*10000)</f>
        <v>0.0279569892473118</v>
      </c>
      <c r="M131" s="6">
        <f>I131*10000*SUM(税费参数!$B$9:$B$10)/税费参数!$B$11</f>
        <v>174.375</v>
      </c>
    </row>
    <row r="132" ht="21" customHeight="1" spans="1:13">
      <c r="A132" s="5" t="s">
        <v>15</v>
      </c>
      <c r="B132" s="6" t="s">
        <v>58</v>
      </c>
      <c r="C132" s="6" t="s">
        <v>152</v>
      </c>
      <c r="D132" s="6" t="s">
        <v>160</v>
      </c>
      <c r="E132" s="6" t="s">
        <v>309</v>
      </c>
      <c r="F132" s="6" t="s">
        <v>1646</v>
      </c>
      <c r="G132" s="6">
        <v>46.15</v>
      </c>
      <c r="H132" s="6">
        <v>46.89</v>
      </c>
      <c r="I132" s="6">
        <v>93</v>
      </c>
      <c r="J132" s="6">
        <v>2600</v>
      </c>
      <c r="K132" s="7">
        <f>(J132-M132)*税费参数!$B$12/(I132*10000*(1+SUM(税费参数!$B$6:$B$8)))</f>
        <v>0.0252610065349267</v>
      </c>
      <c r="L132" s="7">
        <f>J132*税费参数!$B$12/(I132*10000)</f>
        <v>0.0279569892473118</v>
      </c>
      <c r="M132" s="6">
        <f>I132*10000*SUM(税费参数!$B$9:$B$10)/税费参数!$B$11</f>
        <v>174.375</v>
      </c>
    </row>
    <row r="133" ht="21" customHeight="1" spans="1:13">
      <c r="A133" s="5" t="s">
        <v>15</v>
      </c>
      <c r="B133" s="6" t="s">
        <v>58</v>
      </c>
      <c r="C133" s="6" t="s">
        <v>152</v>
      </c>
      <c r="D133" s="6" t="s">
        <v>160</v>
      </c>
      <c r="E133" s="6" t="s">
        <v>309</v>
      </c>
      <c r="F133" s="6" t="s">
        <v>1647</v>
      </c>
      <c r="G133" s="6">
        <v>46.15</v>
      </c>
      <c r="H133" s="6">
        <v>46.89</v>
      </c>
      <c r="I133" s="6">
        <v>93</v>
      </c>
      <c r="J133" s="6">
        <v>2500</v>
      </c>
      <c r="K133" s="7">
        <f>(J133-M133)*税费参数!$B$12/(I133*10000*(1+SUM(税费参数!$B$6:$B$8)))</f>
        <v>0.024219583951678</v>
      </c>
      <c r="L133" s="7">
        <f>J133*税费参数!$B$12/(I133*10000)</f>
        <v>0.0268817204301075</v>
      </c>
      <c r="M133" s="6">
        <f>I133*10000*SUM(税费参数!$B$9:$B$10)/税费参数!$B$11</f>
        <v>174.375</v>
      </c>
    </row>
    <row r="134" ht="21" customHeight="1" spans="1:13">
      <c r="A134" s="5" t="s">
        <v>15</v>
      </c>
      <c r="B134" s="6" t="s">
        <v>58</v>
      </c>
      <c r="C134" s="6" t="s">
        <v>152</v>
      </c>
      <c r="D134" s="6" t="s">
        <v>160</v>
      </c>
      <c r="E134" s="6" t="s">
        <v>311</v>
      </c>
      <c r="F134" s="6" t="s">
        <v>1642</v>
      </c>
      <c r="G134" s="6">
        <v>47.03</v>
      </c>
      <c r="H134" s="6">
        <v>46.89</v>
      </c>
      <c r="I134" s="6">
        <v>94.5</v>
      </c>
      <c r="J134" s="6">
        <v>2600</v>
      </c>
      <c r="K134" s="7">
        <f>(J134-M134)*税费参数!$B$12/(I134*10000*(1+SUM(税费参数!$B$6:$B$8)))</f>
        <v>0.0248312130878717</v>
      </c>
      <c r="L134" s="7">
        <f>J134*税费参数!$B$12/(I134*10000)</f>
        <v>0.0275132275132275</v>
      </c>
      <c r="M134" s="6">
        <f>I134*10000*SUM(税费参数!$B$9:$B$10)/税费参数!$B$11</f>
        <v>177.1875</v>
      </c>
    </row>
    <row r="135" ht="21" customHeight="1" spans="1:13">
      <c r="A135" s="5" t="s">
        <v>15</v>
      </c>
      <c r="B135" s="6" t="s">
        <v>58</v>
      </c>
      <c r="C135" s="6" t="s">
        <v>152</v>
      </c>
      <c r="D135" s="6" t="s">
        <v>160</v>
      </c>
      <c r="E135" s="6" t="s">
        <v>311</v>
      </c>
      <c r="F135" s="6" t="s">
        <v>1643</v>
      </c>
      <c r="G135" s="6">
        <v>47.03</v>
      </c>
      <c r="H135" s="6">
        <v>46.76</v>
      </c>
      <c r="I135" s="6">
        <v>94.5</v>
      </c>
      <c r="J135" s="6">
        <v>2900</v>
      </c>
      <c r="K135" s="7">
        <f>(J135-M135)*税费参数!$B$12/(I135*10000*(1+SUM(税费参数!$B$6:$B$8)))</f>
        <v>0.0279058892860346</v>
      </c>
      <c r="L135" s="7">
        <f>J135*税费参数!$B$12/(I135*10000)</f>
        <v>0.0306878306878307</v>
      </c>
      <c r="M135" s="6">
        <f>I135*10000*SUM(税费参数!$B$9:$B$10)/税费参数!$B$11</f>
        <v>177.1875</v>
      </c>
    </row>
    <row r="136" ht="21" customHeight="1" spans="1:13">
      <c r="A136" s="5" t="s">
        <v>15</v>
      </c>
      <c r="B136" s="6" t="s">
        <v>58</v>
      </c>
      <c r="C136" s="6" t="s">
        <v>152</v>
      </c>
      <c r="D136" s="6" t="s">
        <v>160</v>
      </c>
      <c r="E136" s="6" t="s">
        <v>311</v>
      </c>
      <c r="F136" s="6" t="s">
        <v>1644</v>
      </c>
      <c r="G136" s="6">
        <v>47.03</v>
      </c>
      <c r="H136" s="6">
        <v>46.57</v>
      </c>
      <c r="I136" s="6">
        <v>94.5</v>
      </c>
      <c r="J136" s="6">
        <v>3000</v>
      </c>
      <c r="K136" s="7">
        <f>(J136-M136)*税费参数!$B$12/(I136*10000*(1+SUM(税费参数!$B$6:$B$8)))</f>
        <v>0.0289307813520889</v>
      </c>
      <c r="L136" s="7">
        <f>J136*税费参数!$B$12/(I136*10000)</f>
        <v>0.0317460317460317</v>
      </c>
      <c r="M136" s="6">
        <f>I136*10000*SUM(税费参数!$B$9:$B$10)/税费参数!$B$11</f>
        <v>177.1875</v>
      </c>
    </row>
    <row r="137" ht="21" customHeight="1" spans="1:13">
      <c r="A137" s="5" t="s">
        <v>15</v>
      </c>
      <c r="B137" s="6" t="s">
        <v>58</v>
      </c>
      <c r="C137" s="6" t="s">
        <v>152</v>
      </c>
      <c r="D137" s="6" t="s">
        <v>160</v>
      </c>
      <c r="E137" s="6" t="s">
        <v>311</v>
      </c>
      <c r="F137" s="6" t="s">
        <v>1645</v>
      </c>
      <c r="G137" s="6">
        <v>47.03</v>
      </c>
      <c r="H137" s="6">
        <v>46.76</v>
      </c>
      <c r="I137" s="6">
        <v>94.5</v>
      </c>
      <c r="J137" s="6">
        <v>2600</v>
      </c>
      <c r="K137" s="7">
        <f>(J137-M137)*税费参数!$B$12/(I137*10000*(1+SUM(税费参数!$B$6:$B$8)))</f>
        <v>0.0248312130878717</v>
      </c>
      <c r="L137" s="7">
        <f>J137*税费参数!$B$12/(I137*10000)</f>
        <v>0.0275132275132275</v>
      </c>
      <c r="M137" s="6">
        <f>I137*10000*SUM(税费参数!$B$9:$B$10)/税费参数!$B$11</f>
        <v>177.1875</v>
      </c>
    </row>
    <row r="138" ht="21" customHeight="1" spans="1:13">
      <c r="A138" s="5" t="s">
        <v>15</v>
      </c>
      <c r="B138" s="6" t="s">
        <v>58</v>
      </c>
      <c r="C138" s="6" t="s">
        <v>152</v>
      </c>
      <c r="D138" s="6" t="s">
        <v>160</v>
      </c>
      <c r="E138" s="6" t="s">
        <v>311</v>
      </c>
      <c r="F138" s="6" t="s">
        <v>1646</v>
      </c>
      <c r="G138" s="6">
        <v>47.03</v>
      </c>
      <c r="H138" s="6">
        <v>46.89</v>
      </c>
      <c r="I138" s="6">
        <v>94.5</v>
      </c>
      <c r="J138" s="6">
        <v>2600</v>
      </c>
      <c r="K138" s="7">
        <f>(J138-M138)*税费参数!$B$12/(I138*10000*(1+SUM(税费参数!$B$6:$B$8)))</f>
        <v>0.0248312130878717</v>
      </c>
      <c r="L138" s="7">
        <f>J138*税费参数!$B$12/(I138*10000)</f>
        <v>0.0275132275132275</v>
      </c>
      <c r="M138" s="6">
        <f>I138*10000*SUM(税费参数!$B$9:$B$10)/税费参数!$B$11</f>
        <v>177.1875</v>
      </c>
    </row>
    <row r="139" ht="21" customHeight="1" spans="1:13">
      <c r="A139" s="5" t="s">
        <v>15</v>
      </c>
      <c r="B139" s="6" t="s">
        <v>58</v>
      </c>
      <c r="C139" s="6" t="s">
        <v>152</v>
      </c>
      <c r="D139" s="6" t="s">
        <v>160</v>
      </c>
      <c r="E139" s="6" t="s">
        <v>311</v>
      </c>
      <c r="F139" s="6" t="s">
        <v>1647</v>
      </c>
      <c r="G139" s="6">
        <v>47.03</v>
      </c>
      <c r="H139" s="6">
        <v>46.89</v>
      </c>
      <c r="I139" s="6">
        <v>94.5</v>
      </c>
      <c r="J139" s="6">
        <v>2500</v>
      </c>
      <c r="K139" s="7">
        <f>(J139-M139)*税费参数!$B$12/(I139*10000*(1+SUM(税费参数!$B$6:$B$8)))</f>
        <v>0.0238063210218174</v>
      </c>
      <c r="L139" s="7">
        <f>J139*税费参数!$B$12/(I139*10000)</f>
        <v>0.0264550264550265</v>
      </c>
      <c r="M139" s="6">
        <f>I139*10000*SUM(税费参数!$B$9:$B$10)/税费参数!$B$11</f>
        <v>177.1875</v>
      </c>
    </row>
    <row r="140" ht="21" customHeight="1" spans="1:13">
      <c r="A140" s="5" t="s">
        <v>15</v>
      </c>
      <c r="B140" s="6" t="s">
        <v>58</v>
      </c>
      <c r="C140" s="6" t="s">
        <v>152</v>
      </c>
      <c r="D140" s="6" t="s">
        <v>160</v>
      </c>
      <c r="E140" s="6" t="s">
        <v>295</v>
      </c>
      <c r="F140" s="6" t="s">
        <v>1642</v>
      </c>
      <c r="G140" s="6">
        <v>47.06</v>
      </c>
      <c r="H140" s="6">
        <v>46.89</v>
      </c>
      <c r="I140" s="6">
        <v>116</v>
      </c>
      <c r="J140" s="6">
        <v>2600</v>
      </c>
      <c r="K140" s="7">
        <f>(J140-M140)*税费参数!$B$12/(I140*10000*(1+SUM(税费参数!$B$6:$B$8)))</f>
        <v>0.0198922935626618</v>
      </c>
      <c r="L140" s="7">
        <f>J140*税费参数!$B$12/(I140*10000)</f>
        <v>0.0224137931034483</v>
      </c>
      <c r="M140" s="6">
        <f>I140*10000*SUM(税费参数!$B$9:$B$10)/税费参数!$B$11</f>
        <v>217.5</v>
      </c>
    </row>
    <row r="141" ht="21" customHeight="1" spans="1:13">
      <c r="A141" s="5" t="s">
        <v>15</v>
      </c>
      <c r="B141" s="6" t="s">
        <v>58</v>
      </c>
      <c r="C141" s="6" t="s">
        <v>152</v>
      </c>
      <c r="D141" s="6" t="s">
        <v>160</v>
      </c>
      <c r="E141" s="6" t="s">
        <v>295</v>
      </c>
      <c r="F141" s="6" t="s">
        <v>1643</v>
      </c>
      <c r="G141" s="6">
        <v>47.06</v>
      </c>
      <c r="H141" s="6">
        <v>46.76</v>
      </c>
      <c r="I141" s="6">
        <v>116</v>
      </c>
      <c r="J141" s="6">
        <v>2900</v>
      </c>
      <c r="K141" s="7">
        <f>(J141-M141)*税费参数!$B$12/(I141*10000*(1+SUM(税费参数!$B$6:$B$8)))</f>
        <v>0.0223970944309927</v>
      </c>
      <c r="L141" s="7">
        <f>J141*税费参数!$B$12/(I141*10000)</f>
        <v>0.025</v>
      </c>
      <c r="M141" s="6">
        <f>I141*10000*SUM(税费参数!$B$9:$B$10)/税费参数!$B$11</f>
        <v>217.5</v>
      </c>
    </row>
    <row r="142" ht="21" customHeight="1" spans="1:13">
      <c r="A142" s="5" t="s">
        <v>15</v>
      </c>
      <c r="B142" s="6" t="s">
        <v>58</v>
      </c>
      <c r="C142" s="6" t="s">
        <v>152</v>
      </c>
      <c r="D142" s="6" t="s">
        <v>160</v>
      </c>
      <c r="E142" s="6" t="s">
        <v>295</v>
      </c>
      <c r="F142" s="6" t="s">
        <v>1644</v>
      </c>
      <c r="G142" s="6">
        <v>47.06</v>
      </c>
      <c r="H142" s="6">
        <v>46.57</v>
      </c>
      <c r="I142" s="6">
        <v>116</v>
      </c>
      <c r="J142" s="6">
        <v>3000</v>
      </c>
      <c r="K142" s="7">
        <f>(J142-M142)*税费参数!$B$12/(I142*10000*(1+SUM(税费参数!$B$6:$B$8)))</f>
        <v>0.0232320280537697</v>
      </c>
      <c r="L142" s="7">
        <f>J142*税费参数!$B$12/(I142*10000)</f>
        <v>0.0258620689655172</v>
      </c>
      <c r="M142" s="6">
        <f>I142*10000*SUM(税费参数!$B$9:$B$10)/税费参数!$B$11</f>
        <v>217.5</v>
      </c>
    </row>
    <row r="143" ht="21" customHeight="1" spans="1:13">
      <c r="A143" s="5" t="s">
        <v>15</v>
      </c>
      <c r="B143" s="6" t="s">
        <v>58</v>
      </c>
      <c r="C143" s="6" t="s">
        <v>152</v>
      </c>
      <c r="D143" s="6" t="s">
        <v>160</v>
      </c>
      <c r="E143" s="6" t="s">
        <v>295</v>
      </c>
      <c r="F143" s="6" t="s">
        <v>1645</v>
      </c>
      <c r="G143" s="6">
        <v>47.06</v>
      </c>
      <c r="H143" s="6">
        <v>46.76</v>
      </c>
      <c r="I143" s="6">
        <v>116</v>
      </c>
      <c r="J143" s="6">
        <v>2600</v>
      </c>
      <c r="K143" s="7">
        <f>(J143-M143)*税费参数!$B$12/(I143*10000*(1+SUM(税费参数!$B$6:$B$8)))</f>
        <v>0.0198922935626618</v>
      </c>
      <c r="L143" s="7">
        <f>J143*税费参数!$B$12/(I143*10000)</f>
        <v>0.0224137931034483</v>
      </c>
      <c r="M143" s="6">
        <f>I143*10000*SUM(税费参数!$B$9:$B$10)/税费参数!$B$11</f>
        <v>217.5</v>
      </c>
    </row>
    <row r="144" ht="21" customHeight="1" spans="1:13">
      <c r="A144" s="5" t="s">
        <v>15</v>
      </c>
      <c r="B144" s="6" t="s">
        <v>58</v>
      </c>
      <c r="C144" s="6" t="s">
        <v>152</v>
      </c>
      <c r="D144" s="6" t="s">
        <v>160</v>
      </c>
      <c r="E144" s="6" t="s">
        <v>295</v>
      </c>
      <c r="F144" s="6" t="s">
        <v>1646</v>
      </c>
      <c r="G144" s="6">
        <v>47.06</v>
      </c>
      <c r="H144" s="6">
        <v>46.89</v>
      </c>
      <c r="I144" s="6">
        <v>116</v>
      </c>
      <c r="J144" s="6">
        <v>2600</v>
      </c>
      <c r="K144" s="7">
        <f>(J144-M144)*税费参数!$B$12/(I144*10000*(1+SUM(税费参数!$B$6:$B$8)))</f>
        <v>0.0198922935626618</v>
      </c>
      <c r="L144" s="7">
        <f>J144*税费参数!$B$12/(I144*10000)</f>
        <v>0.0224137931034483</v>
      </c>
      <c r="M144" s="6">
        <f>I144*10000*SUM(税费参数!$B$9:$B$10)/税费参数!$B$11</f>
        <v>217.5</v>
      </c>
    </row>
    <row r="145" ht="21" customHeight="1" spans="1:13">
      <c r="A145" s="5" t="s">
        <v>15</v>
      </c>
      <c r="B145" s="6" t="s">
        <v>58</v>
      </c>
      <c r="C145" s="6" t="s">
        <v>152</v>
      </c>
      <c r="D145" s="6" t="s">
        <v>160</v>
      </c>
      <c r="E145" s="6" t="s">
        <v>295</v>
      </c>
      <c r="F145" s="6" t="s">
        <v>1647</v>
      </c>
      <c r="G145" s="6">
        <v>47.06</v>
      </c>
      <c r="H145" s="6">
        <v>46.89</v>
      </c>
      <c r="I145" s="6">
        <v>116</v>
      </c>
      <c r="J145" s="6">
        <v>2500</v>
      </c>
      <c r="K145" s="7">
        <f>(J145-M145)*税费参数!$B$12/(I145*10000*(1+SUM(税费参数!$B$6:$B$8)))</f>
        <v>0.0190573599398848</v>
      </c>
      <c r="L145" s="7">
        <f>J145*税费参数!$B$12/(I145*10000)</f>
        <v>0.021551724137931</v>
      </c>
      <c r="M145" s="6">
        <f>I145*10000*SUM(税费参数!$B$9:$B$10)/税费参数!$B$11</f>
        <v>217.5</v>
      </c>
    </row>
    <row r="146" ht="21" customHeight="1" spans="1:13">
      <c r="A146" s="5" t="s">
        <v>15</v>
      </c>
      <c r="B146" s="6" t="s">
        <v>58</v>
      </c>
      <c r="C146" s="6" t="s">
        <v>152</v>
      </c>
      <c r="D146" s="6" t="s">
        <v>160</v>
      </c>
      <c r="E146" s="6" t="s">
        <v>297</v>
      </c>
      <c r="F146" s="6" t="s">
        <v>1642</v>
      </c>
      <c r="G146" s="6">
        <v>46.76</v>
      </c>
      <c r="H146" s="6">
        <v>46.89</v>
      </c>
      <c r="I146" s="6">
        <v>108</v>
      </c>
      <c r="J146" s="6">
        <v>2600</v>
      </c>
      <c r="K146" s="7">
        <f>(J146-M146)*税费参数!$B$12/(I146*10000*(1+SUM(税费参数!$B$6:$B$8)))</f>
        <v>0.0215003138731952</v>
      </c>
      <c r="L146" s="7">
        <f>J146*税费参数!$B$12/(I146*10000)</f>
        <v>0.0240740740740741</v>
      </c>
      <c r="M146" s="6">
        <f>I146*10000*SUM(税费参数!$B$9:$B$10)/税费参数!$B$11</f>
        <v>202.5</v>
      </c>
    </row>
    <row r="147" ht="21" customHeight="1" spans="1:13">
      <c r="A147" s="5" t="s">
        <v>15</v>
      </c>
      <c r="B147" s="6" t="s">
        <v>58</v>
      </c>
      <c r="C147" s="6" t="s">
        <v>152</v>
      </c>
      <c r="D147" s="6" t="s">
        <v>160</v>
      </c>
      <c r="E147" s="6" t="s">
        <v>297</v>
      </c>
      <c r="F147" s="6" t="s">
        <v>1643</v>
      </c>
      <c r="G147" s="6">
        <v>46.76</v>
      </c>
      <c r="H147" s="6">
        <v>46.76</v>
      </c>
      <c r="I147" s="6">
        <v>108</v>
      </c>
      <c r="J147" s="6">
        <v>2900</v>
      </c>
      <c r="K147" s="7">
        <f>(J147-M147)*税费参数!$B$12/(I147*10000*(1+SUM(税费参数!$B$6:$B$8)))</f>
        <v>0.0241906555465877</v>
      </c>
      <c r="L147" s="7">
        <f>J147*税费参数!$B$12/(I147*10000)</f>
        <v>0.0268518518518519</v>
      </c>
      <c r="M147" s="6">
        <f>I147*10000*SUM(税费参数!$B$9:$B$10)/税费参数!$B$11</f>
        <v>202.5</v>
      </c>
    </row>
    <row r="148" ht="21" customHeight="1" spans="1:13">
      <c r="A148" s="5" t="s">
        <v>15</v>
      </c>
      <c r="B148" s="6" t="s">
        <v>58</v>
      </c>
      <c r="C148" s="6" t="s">
        <v>152</v>
      </c>
      <c r="D148" s="6" t="s">
        <v>160</v>
      </c>
      <c r="E148" s="6" t="s">
        <v>297</v>
      </c>
      <c r="F148" s="6" t="s">
        <v>1644</v>
      </c>
      <c r="G148" s="6">
        <v>46.76</v>
      </c>
      <c r="H148" s="6">
        <v>46.57</v>
      </c>
      <c r="I148" s="6">
        <v>108</v>
      </c>
      <c r="J148" s="6">
        <v>3000</v>
      </c>
      <c r="K148" s="7">
        <f>(J148-M148)*税费参数!$B$12/(I148*10000*(1+SUM(税费参数!$B$6:$B$8)))</f>
        <v>0.0250874361043853</v>
      </c>
      <c r="L148" s="7">
        <f>J148*税费参数!$B$12/(I148*10000)</f>
        <v>0.0277777777777778</v>
      </c>
      <c r="M148" s="6">
        <f>I148*10000*SUM(税费参数!$B$9:$B$10)/税费参数!$B$11</f>
        <v>202.5</v>
      </c>
    </row>
    <row r="149" ht="21" customHeight="1" spans="1:13">
      <c r="A149" s="5" t="s">
        <v>15</v>
      </c>
      <c r="B149" s="6" t="s">
        <v>58</v>
      </c>
      <c r="C149" s="6" t="s">
        <v>152</v>
      </c>
      <c r="D149" s="6" t="s">
        <v>160</v>
      </c>
      <c r="E149" s="6" t="s">
        <v>297</v>
      </c>
      <c r="F149" s="6" t="s">
        <v>1645</v>
      </c>
      <c r="G149" s="6">
        <v>46.76</v>
      </c>
      <c r="H149" s="6">
        <v>46.76</v>
      </c>
      <c r="I149" s="6">
        <v>108</v>
      </c>
      <c r="J149" s="6">
        <v>2600</v>
      </c>
      <c r="K149" s="7">
        <f>(J149-M149)*税费参数!$B$12/(I149*10000*(1+SUM(税费参数!$B$6:$B$8)))</f>
        <v>0.0215003138731952</v>
      </c>
      <c r="L149" s="7">
        <f>J149*税费参数!$B$12/(I149*10000)</f>
        <v>0.0240740740740741</v>
      </c>
      <c r="M149" s="6">
        <f>I149*10000*SUM(税费参数!$B$9:$B$10)/税费参数!$B$11</f>
        <v>202.5</v>
      </c>
    </row>
    <row r="150" ht="21" customHeight="1" spans="1:13">
      <c r="A150" s="5" t="s">
        <v>15</v>
      </c>
      <c r="B150" s="6" t="s">
        <v>58</v>
      </c>
      <c r="C150" s="6" t="s">
        <v>152</v>
      </c>
      <c r="D150" s="6" t="s">
        <v>160</v>
      </c>
      <c r="E150" s="6" t="s">
        <v>297</v>
      </c>
      <c r="F150" s="6" t="s">
        <v>1646</v>
      </c>
      <c r="G150" s="6">
        <v>46.76</v>
      </c>
      <c r="H150" s="6">
        <v>46.89</v>
      </c>
      <c r="I150" s="6">
        <v>108</v>
      </c>
      <c r="J150" s="6">
        <v>2600</v>
      </c>
      <c r="K150" s="7">
        <f>(J150-M150)*税费参数!$B$12/(I150*10000*(1+SUM(税费参数!$B$6:$B$8)))</f>
        <v>0.0215003138731952</v>
      </c>
      <c r="L150" s="7">
        <f>J150*税费参数!$B$12/(I150*10000)</f>
        <v>0.0240740740740741</v>
      </c>
      <c r="M150" s="6">
        <f>I150*10000*SUM(税费参数!$B$9:$B$10)/税费参数!$B$11</f>
        <v>202.5</v>
      </c>
    </row>
    <row r="151" ht="21" customHeight="1" spans="1:13">
      <c r="A151" s="5" t="s">
        <v>15</v>
      </c>
      <c r="B151" s="6" t="s">
        <v>58</v>
      </c>
      <c r="C151" s="6" t="s">
        <v>152</v>
      </c>
      <c r="D151" s="6" t="s">
        <v>160</v>
      </c>
      <c r="E151" s="6" t="s">
        <v>297</v>
      </c>
      <c r="F151" s="6" t="s">
        <v>1647</v>
      </c>
      <c r="G151" s="6">
        <v>46.76</v>
      </c>
      <c r="H151" s="6">
        <v>46.89</v>
      </c>
      <c r="I151" s="6">
        <v>108</v>
      </c>
      <c r="J151" s="6">
        <v>2500</v>
      </c>
      <c r="K151" s="7">
        <f>(J151-M151)*税费参数!$B$12/(I151*10000*(1+SUM(税费参数!$B$6:$B$8)))</f>
        <v>0.0206035333153977</v>
      </c>
      <c r="L151" s="7">
        <f>J151*税费参数!$B$12/(I151*10000)</f>
        <v>0.0231481481481481</v>
      </c>
      <c r="M151" s="6">
        <f>I151*10000*SUM(税费参数!$B$9:$B$10)/税费参数!$B$11</f>
        <v>202.5</v>
      </c>
    </row>
    <row r="152" ht="21" customHeight="1" spans="1:13">
      <c r="A152" s="5" t="s">
        <v>15</v>
      </c>
      <c r="B152" s="6" t="s">
        <v>58</v>
      </c>
      <c r="C152" s="6" t="s">
        <v>152</v>
      </c>
      <c r="D152" s="6" t="s">
        <v>160</v>
      </c>
      <c r="E152" s="6" t="s">
        <v>299</v>
      </c>
      <c r="F152" s="6" t="s">
        <v>1642</v>
      </c>
      <c r="G152" s="6">
        <v>46.76</v>
      </c>
      <c r="H152" s="6">
        <v>46.89</v>
      </c>
      <c r="I152" s="6">
        <v>100</v>
      </c>
      <c r="J152" s="6">
        <v>2600</v>
      </c>
      <c r="K152" s="7">
        <f>(J152-M152)*税费参数!$B$12/(I152*10000*(1+SUM(税费参数!$B$6:$B$8)))</f>
        <v>0.023365617433414</v>
      </c>
      <c r="L152" s="7">
        <f>J152*税费参数!$B$12/(I152*10000)</f>
        <v>0.026</v>
      </c>
      <c r="M152" s="6">
        <f>I152*10000*SUM(税费参数!$B$9:$B$10)/税费参数!$B$11</f>
        <v>187.5</v>
      </c>
    </row>
    <row r="153" ht="21" customHeight="1" spans="1:13">
      <c r="A153" s="5" t="s">
        <v>15</v>
      </c>
      <c r="B153" s="6" t="s">
        <v>58</v>
      </c>
      <c r="C153" s="6" t="s">
        <v>152</v>
      </c>
      <c r="D153" s="6" t="s">
        <v>160</v>
      </c>
      <c r="E153" s="6" t="s">
        <v>299</v>
      </c>
      <c r="F153" s="6" t="s">
        <v>1643</v>
      </c>
      <c r="G153" s="6">
        <v>46.76</v>
      </c>
      <c r="H153" s="6">
        <v>46.76</v>
      </c>
      <c r="I153" s="6">
        <v>100</v>
      </c>
      <c r="J153" s="6">
        <v>2900</v>
      </c>
      <c r="K153" s="7">
        <f>(J153-M153)*税费参数!$B$12/(I153*10000*(1+SUM(税费参数!$B$6:$B$8)))</f>
        <v>0.026271186440678</v>
      </c>
      <c r="L153" s="7">
        <f>J153*税费参数!$B$12/(I153*10000)</f>
        <v>0.029</v>
      </c>
      <c r="M153" s="6">
        <f>I153*10000*SUM(税费参数!$B$9:$B$10)/税费参数!$B$11</f>
        <v>187.5</v>
      </c>
    </row>
    <row r="154" ht="21" customHeight="1" spans="1:13">
      <c r="A154" s="5" t="s">
        <v>15</v>
      </c>
      <c r="B154" s="6" t="s">
        <v>58</v>
      </c>
      <c r="C154" s="6" t="s">
        <v>152</v>
      </c>
      <c r="D154" s="6" t="s">
        <v>160</v>
      </c>
      <c r="E154" s="6" t="s">
        <v>299</v>
      </c>
      <c r="F154" s="6" t="s">
        <v>1644</v>
      </c>
      <c r="G154" s="6">
        <v>46.76</v>
      </c>
      <c r="H154" s="6">
        <v>46.57</v>
      </c>
      <c r="I154" s="6">
        <v>100</v>
      </c>
      <c r="J154" s="6">
        <v>3000</v>
      </c>
      <c r="K154" s="7">
        <f>(J154-M154)*税费参数!$B$12/(I154*10000*(1+SUM(税费参数!$B$6:$B$8)))</f>
        <v>0.0272397094430993</v>
      </c>
      <c r="L154" s="7">
        <f>J154*税费参数!$B$12/(I154*10000)</f>
        <v>0.03</v>
      </c>
      <c r="M154" s="6">
        <f>I154*10000*SUM(税费参数!$B$9:$B$10)/税费参数!$B$11</f>
        <v>187.5</v>
      </c>
    </row>
    <row r="155" ht="21" customHeight="1" spans="1:13">
      <c r="A155" s="5" t="s">
        <v>15</v>
      </c>
      <c r="B155" s="6" t="s">
        <v>58</v>
      </c>
      <c r="C155" s="6" t="s">
        <v>152</v>
      </c>
      <c r="D155" s="6" t="s">
        <v>160</v>
      </c>
      <c r="E155" s="6" t="s">
        <v>299</v>
      </c>
      <c r="F155" s="6" t="s">
        <v>1645</v>
      </c>
      <c r="G155" s="6">
        <v>46.76</v>
      </c>
      <c r="H155" s="6">
        <v>46.76</v>
      </c>
      <c r="I155" s="6">
        <v>100</v>
      </c>
      <c r="J155" s="6">
        <v>2600</v>
      </c>
      <c r="K155" s="7">
        <f>(J155-M155)*税费参数!$B$12/(I155*10000*(1+SUM(税费参数!$B$6:$B$8)))</f>
        <v>0.023365617433414</v>
      </c>
      <c r="L155" s="7">
        <f>J155*税费参数!$B$12/(I155*10000)</f>
        <v>0.026</v>
      </c>
      <c r="M155" s="6">
        <f>I155*10000*SUM(税费参数!$B$9:$B$10)/税费参数!$B$11</f>
        <v>187.5</v>
      </c>
    </row>
    <row r="156" ht="21" customHeight="1" spans="1:13">
      <c r="A156" s="5" t="s">
        <v>15</v>
      </c>
      <c r="B156" s="6" t="s">
        <v>58</v>
      </c>
      <c r="C156" s="6" t="s">
        <v>152</v>
      </c>
      <c r="D156" s="6" t="s">
        <v>160</v>
      </c>
      <c r="E156" s="6" t="s">
        <v>299</v>
      </c>
      <c r="F156" s="6" t="s">
        <v>1646</v>
      </c>
      <c r="G156" s="6">
        <v>46.76</v>
      </c>
      <c r="H156" s="6">
        <v>46.89</v>
      </c>
      <c r="I156" s="6">
        <v>100</v>
      </c>
      <c r="J156" s="6">
        <v>2600</v>
      </c>
      <c r="K156" s="7">
        <f>(J156-M156)*税费参数!$B$12/(I156*10000*(1+SUM(税费参数!$B$6:$B$8)))</f>
        <v>0.023365617433414</v>
      </c>
      <c r="L156" s="7">
        <f>J156*税费参数!$B$12/(I156*10000)</f>
        <v>0.026</v>
      </c>
      <c r="M156" s="6">
        <f>I156*10000*SUM(税费参数!$B$9:$B$10)/税费参数!$B$11</f>
        <v>187.5</v>
      </c>
    </row>
    <row r="157" ht="21" customHeight="1" spans="1:13">
      <c r="A157" s="5" t="s">
        <v>15</v>
      </c>
      <c r="B157" s="6" t="s">
        <v>58</v>
      </c>
      <c r="C157" s="6" t="s">
        <v>152</v>
      </c>
      <c r="D157" s="6" t="s">
        <v>160</v>
      </c>
      <c r="E157" s="6" t="s">
        <v>299</v>
      </c>
      <c r="F157" s="6" t="s">
        <v>1647</v>
      </c>
      <c r="G157" s="6">
        <v>46.76</v>
      </c>
      <c r="H157" s="6">
        <v>46.89</v>
      </c>
      <c r="I157" s="6">
        <v>100</v>
      </c>
      <c r="J157" s="6">
        <v>2500</v>
      </c>
      <c r="K157" s="7">
        <f>(J157-M157)*税费参数!$B$12/(I157*10000*(1+SUM(税费参数!$B$6:$B$8)))</f>
        <v>0.0223970944309927</v>
      </c>
      <c r="L157" s="7">
        <f>J157*税费参数!$B$12/(I157*10000)</f>
        <v>0.025</v>
      </c>
      <c r="M157" s="6">
        <f>I157*10000*SUM(税费参数!$B$9:$B$10)/税费参数!$B$11</f>
        <v>187.5</v>
      </c>
    </row>
    <row r="158" ht="21" customHeight="1" spans="1:13">
      <c r="A158" s="5" t="s">
        <v>15</v>
      </c>
      <c r="B158" s="6" t="s">
        <v>58</v>
      </c>
      <c r="C158" s="6" t="s">
        <v>152</v>
      </c>
      <c r="D158" s="6" t="s">
        <v>160</v>
      </c>
      <c r="E158" s="6" t="s">
        <v>317</v>
      </c>
      <c r="F158" s="6" t="s">
        <v>1642</v>
      </c>
      <c r="G158" s="6">
        <v>46.84</v>
      </c>
      <c r="H158" s="6">
        <v>46.89</v>
      </c>
      <c r="I158" s="6">
        <v>105</v>
      </c>
      <c r="J158" s="6">
        <v>2600</v>
      </c>
      <c r="K158" s="7">
        <f>(J158-M158)*税费参数!$B$12/(I158*10000*(1+SUM(税费参数!$B$6:$B$8)))</f>
        <v>0.0221664937161305</v>
      </c>
      <c r="L158" s="7">
        <f>J158*税费参数!$B$12/(I158*10000)</f>
        <v>0.0247619047619048</v>
      </c>
      <c r="M158" s="6">
        <f>I158*10000*SUM(税费参数!$B$9:$B$10)/税费参数!$B$11</f>
        <v>196.875</v>
      </c>
    </row>
    <row r="159" ht="21" customHeight="1" spans="1:13">
      <c r="A159" s="5" t="s">
        <v>15</v>
      </c>
      <c r="B159" s="6" t="s">
        <v>58</v>
      </c>
      <c r="C159" s="6" t="s">
        <v>152</v>
      </c>
      <c r="D159" s="6" t="s">
        <v>160</v>
      </c>
      <c r="E159" s="6" t="s">
        <v>317</v>
      </c>
      <c r="F159" s="6" t="s">
        <v>1643</v>
      </c>
      <c r="G159" s="6">
        <v>46.84</v>
      </c>
      <c r="H159" s="6">
        <v>46.76</v>
      </c>
      <c r="I159" s="6">
        <v>105</v>
      </c>
      <c r="J159" s="6">
        <v>2900</v>
      </c>
      <c r="K159" s="7">
        <f>(J159-M159)*税费参数!$B$12/(I159*10000*(1+SUM(税费参数!$B$6:$B$8)))</f>
        <v>0.0249337022944771</v>
      </c>
      <c r="L159" s="7">
        <f>J159*税费参数!$B$12/(I159*10000)</f>
        <v>0.0276190476190476</v>
      </c>
      <c r="M159" s="6">
        <f>I159*10000*SUM(税费参数!$B$9:$B$10)/税费参数!$B$11</f>
        <v>196.875</v>
      </c>
    </row>
    <row r="160" ht="21" customHeight="1" spans="1:13">
      <c r="A160" s="5" t="s">
        <v>15</v>
      </c>
      <c r="B160" s="6" t="s">
        <v>58</v>
      </c>
      <c r="C160" s="6" t="s">
        <v>152</v>
      </c>
      <c r="D160" s="6" t="s">
        <v>160</v>
      </c>
      <c r="E160" s="6" t="s">
        <v>317</v>
      </c>
      <c r="F160" s="6" t="s">
        <v>1644</v>
      </c>
      <c r="G160" s="6">
        <v>46.84</v>
      </c>
      <c r="H160" s="6">
        <v>46.57</v>
      </c>
      <c r="I160" s="6">
        <v>105</v>
      </c>
      <c r="J160" s="6">
        <v>3000</v>
      </c>
      <c r="K160" s="7">
        <f>(J160-M160)*税费参数!$B$12/(I160*10000*(1+SUM(税费参数!$B$6:$B$8)))</f>
        <v>0.025856105153926</v>
      </c>
      <c r="L160" s="7">
        <f>J160*税费参数!$B$12/(I160*10000)</f>
        <v>0.0285714285714286</v>
      </c>
      <c r="M160" s="6">
        <f>I160*10000*SUM(税费参数!$B$9:$B$10)/税费参数!$B$11</f>
        <v>196.875</v>
      </c>
    </row>
    <row r="161" ht="21" customHeight="1" spans="1:13">
      <c r="A161" s="5" t="s">
        <v>15</v>
      </c>
      <c r="B161" s="6" t="s">
        <v>58</v>
      </c>
      <c r="C161" s="6" t="s">
        <v>152</v>
      </c>
      <c r="D161" s="6" t="s">
        <v>160</v>
      </c>
      <c r="E161" s="6" t="s">
        <v>317</v>
      </c>
      <c r="F161" s="6" t="s">
        <v>1645</v>
      </c>
      <c r="G161" s="6">
        <v>46.84</v>
      </c>
      <c r="H161" s="6">
        <v>46.76</v>
      </c>
      <c r="I161" s="6">
        <v>105</v>
      </c>
      <c r="J161" s="6">
        <v>2600</v>
      </c>
      <c r="K161" s="7">
        <f>(J161-M161)*税费参数!$B$12/(I161*10000*(1+SUM(税费参数!$B$6:$B$8)))</f>
        <v>0.0221664937161305</v>
      </c>
      <c r="L161" s="7">
        <f>J161*税费参数!$B$12/(I161*10000)</f>
        <v>0.0247619047619048</v>
      </c>
      <c r="M161" s="6">
        <f>I161*10000*SUM(税费参数!$B$9:$B$10)/税费参数!$B$11</f>
        <v>196.875</v>
      </c>
    </row>
    <row r="162" ht="21" customHeight="1" spans="1:13">
      <c r="A162" s="5" t="s">
        <v>15</v>
      </c>
      <c r="B162" s="6" t="s">
        <v>58</v>
      </c>
      <c r="C162" s="6" t="s">
        <v>152</v>
      </c>
      <c r="D162" s="6" t="s">
        <v>160</v>
      </c>
      <c r="E162" s="6" t="s">
        <v>317</v>
      </c>
      <c r="F162" s="6" t="s">
        <v>1646</v>
      </c>
      <c r="G162" s="6">
        <v>46.84</v>
      </c>
      <c r="H162" s="6">
        <v>46.89</v>
      </c>
      <c r="I162" s="6">
        <v>105</v>
      </c>
      <c r="J162" s="6">
        <v>2600</v>
      </c>
      <c r="K162" s="7">
        <f>(J162-M162)*税费参数!$B$12/(I162*10000*(1+SUM(税费参数!$B$6:$B$8)))</f>
        <v>0.0221664937161305</v>
      </c>
      <c r="L162" s="7">
        <f>J162*税费参数!$B$12/(I162*10000)</f>
        <v>0.0247619047619048</v>
      </c>
      <c r="M162" s="6">
        <f>I162*10000*SUM(税费参数!$B$9:$B$10)/税费参数!$B$11</f>
        <v>196.875</v>
      </c>
    </row>
    <row r="163" ht="21" customHeight="1" spans="1:13">
      <c r="A163" s="5" t="s">
        <v>15</v>
      </c>
      <c r="B163" s="6" t="s">
        <v>58</v>
      </c>
      <c r="C163" s="6" t="s">
        <v>152</v>
      </c>
      <c r="D163" s="6" t="s">
        <v>160</v>
      </c>
      <c r="E163" s="6" t="s">
        <v>317</v>
      </c>
      <c r="F163" s="6" t="s">
        <v>1647</v>
      </c>
      <c r="G163" s="6">
        <v>46.84</v>
      </c>
      <c r="H163" s="6">
        <v>46.89</v>
      </c>
      <c r="I163" s="6">
        <v>105</v>
      </c>
      <c r="J163" s="6">
        <v>2500</v>
      </c>
      <c r="K163" s="7">
        <f>(J163-M163)*税费参数!$B$12/(I163*10000*(1+SUM(税费参数!$B$6:$B$8)))</f>
        <v>0.0212440908566817</v>
      </c>
      <c r="L163" s="7">
        <f>J163*税费参数!$B$12/(I163*10000)</f>
        <v>0.0238095238095238</v>
      </c>
      <c r="M163" s="6">
        <f>I163*10000*SUM(税费参数!$B$9:$B$10)/税费参数!$B$11</f>
        <v>196.875</v>
      </c>
    </row>
    <row r="164" ht="21" customHeight="1" spans="1:13">
      <c r="A164" s="5" t="s">
        <v>15</v>
      </c>
      <c r="B164" s="6" t="s">
        <v>58</v>
      </c>
      <c r="C164" s="6" t="s">
        <v>152</v>
      </c>
      <c r="D164" s="6" t="s">
        <v>160</v>
      </c>
      <c r="E164" s="6" t="s">
        <v>305</v>
      </c>
      <c r="F164" s="6" t="s">
        <v>1642</v>
      </c>
      <c r="G164" s="6">
        <v>46.83</v>
      </c>
      <c r="H164" s="6">
        <v>46.89</v>
      </c>
      <c r="I164" s="6">
        <v>103</v>
      </c>
      <c r="J164" s="6">
        <v>2600</v>
      </c>
      <c r="K164" s="7">
        <f>(J164-M164)*税费参数!$B$12/(I164*10000*(1+SUM(税费参数!$B$6:$B$8)))</f>
        <v>0.0226321728296387</v>
      </c>
      <c r="L164" s="7">
        <f>J164*税费参数!$B$12/(I164*10000)</f>
        <v>0.0252427184466019</v>
      </c>
      <c r="M164" s="6">
        <f>I164*10000*SUM(税费参数!$B$9:$B$10)/税费参数!$B$11</f>
        <v>193.125</v>
      </c>
    </row>
    <row r="165" ht="21" customHeight="1" spans="1:13">
      <c r="A165" s="5" t="s">
        <v>15</v>
      </c>
      <c r="B165" s="6" t="s">
        <v>58</v>
      </c>
      <c r="C165" s="6" t="s">
        <v>152</v>
      </c>
      <c r="D165" s="6" t="s">
        <v>160</v>
      </c>
      <c r="E165" s="6" t="s">
        <v>305</v>
      </c>
      <c r="F165" s="6" t="s">
        <v>1643</v>
      </c>
      <c r="G165" s="6">
        <v>46.83</v>
      </c>
      <c r="H165" s="6">
        <v>46.76</v>
      </c>
      <c r="I165" s="6">
        <v>103</v>
      </c>
      <c r="J165" s="6">
        <v>2900</v>
      </c>
      <c r="K165" s="7">
        <f>(J165-M165)*税费参数!$B$12/(I165*10000*(1+SUM(税费参数!$B$6:$B$8)))</f>
        <v>0.0254531136133901</v>
      </c>
      <c r="L165" s="7">
        <f>J165*税费参数!$B$12/(I165*10000)</f>
        <v>0.0281553398058252</v>
      </c>
      <c r="M165" s="6">
        <f>I165*10000*SUM(税费参数!$B$9:$B$10)/税费参数!$B$11</f>
        <v>193.125</v>
      </c>
    </row>
    <row r="166" ht="21" customHeight="1" spans="1:13">
      <c r="A166" s="5" t="s">
        <v>15</v>
      </c>
      <c r="B166" s="6" t="s">
        <v>58</v>
      </c>
      <c r="C166" s="6" t="s">
        <v>152</v>
      </c>
      <c r="D166" s="6" t="s">
        <v>160</v>
      </c>
      <c r="E166" s="6" t="s">
        <v>305</v>
      </c>
      <c r="F166" s="6" t="s">
        <v>1644</v>
      </c>
      <c r="G166" s="6">
        <v>46.83</v>
      </c>
      <c r="H166" s="6">
        <v>46.57</v>
      </c>
      <c r="I166" s="6">
        <v>103</v>
      </c>
      <c r="J166" s="6">
        <v>3000</v>
      </c>
      <c r="K166" s="7">
        <f>(J166-M166)*税费参数!$B$12/(I166*10000*(1+SUM(税费参数!$B$6:$B$8)))</f>
        <v>0.0263934272079739</v>
      </c>
      <c r="L166" s="7">
        <f>J166*税费参数!$B$12/(I166*10000)</f>
        <v>0.029126213592233</v>
      </c>
      <c r="M166" s="6">
        <f>I166*10000*SUM(税费参数!$B$9:$B$10)/税费参数!$B$11</f>
        <v>193.125</v>
      </c>
    </row>
    <row r="167" ht="21" customHeight="1" spans="1:13">
      <c r="A167" s="5" t="s">
        <v>15</v>
      </c>
      <c r="B167" s="6" t="s">
        <v>58</v>
      </c>
      <c r="C167" s="6" t="s">
        <v>152</v>
      </c>
      <c r="D167" s="6" t="s">
        <v>160</v>
      </c>
      <c r="E167" s="6" t="s">
        <v>305</v>
      </c>
      <c r="F167" s="6" t="s">
        <v>1645</v>
      </c>
      <c r="G167" s="6">
        <v>46.83</v>
      </c>
      <c r="H167" s="6">
        <v>46.76</v>
      </c>
      <c r="I167" s="6">
        <v>103</v>
      </c>
      <c r="J167" s="6">
        <v>2600</v>
      </c>
      <c r="K167" s="7">
        <f>(J167-M167)*税费参数!$B$12/(I167*10000*(1+SUM(税费参数!$B$6:$B$8)))</f>
        <v>0.0226321728296387</v>
      </c>
      <c r="L167" s="7">
        <f>J167*税费参数!$B$12/(I167*10000)</f>
        <v>0.0252427184466019</v>
      </c>
      <c r="M167" s="6">
        <f>I167*10000*SUM(税费参数!$B$9:$B$10)/税费参数!$B$11</f>
        <v>193.125</v>
      </c>
    </row>
    <row r="168" ht="21" customHeight="1" spans="1:13">
      <c r="A168" s="5" t="s">
        <v>15</v>
      </c>
      <c r="B168" s="6" t="s">
        <v>58</v>
      </c>
      <c r="C168" s="6" t="s">
        <v>152</v>
      </c>
      <c r="D168" s="6" t="s">
        <v>160</v>
      </c>
      <c r="E168" s="6" t="s">
        <v>305</v>
      </c>
      <c r="F168" s="6" t="s">
        <v>1646</v>
      </c>
      <c r="G168" s="6">
        <v>46.83</v>
      </c>
      <c r="H168" s="6">
        <v>46.89</v>
      </c>
      <c r="I168" s="6">
        <v>103</v>
      </c>
      <c r="J168" s="6">
        <v>2600</v>
      </c>
      <c r="K168" s="7">
        <f>(J168-M168)*税费参数!$B$12/(I168*10000*(1+SUM(税费参数!$B$6:$B$8)))</f>
        <v>0.0226321728296387</v>
      </c>
      <c r="L168" s="7">
        <f>J168*税费参数!$B$12/(I168*10000)</f>
        <v>0.0252427184466019</v>
      </c>
      <c r="M168" s="6">
        <f>I168*10000*SUM(税费参数!$B$9:$B$10)/税费参数!$B$11</f>
        <v>193.125</v>
      </c>
    </row>
    <row r="169" ht="21" customHeight="1" spans="1:13">
      <c r="A169" s="5" t="s">
        <v>15</v>
      </c>
      <c r="B169" s="6" t="s">
        <v>58</v>
      </c>
      <c r="C169" s="6" t="s">
        <v>152</v>
      </c>
      <c r="D169" s="6" t="s">
        <v>160</v>
      </c>
      <c r="E169" s="6" t="s">
        <v>305</v>
      </c>
      <c r="F169" s="6" t="s">
        <v>1647</v>
      </c>
      <c r="G169" s="6">
        <v>46.83</v>
      </c>
      <c r="H169" s="6">
        <v>46.89</v>
      </c>
      <c r="I169" s="6">
        <v>103</v>
      </c>
      <c r="J169" s="6">
        <v>2500</v>
      </c>
      <c r="K169" s="7">
        <f>(J169-M169)*税费参数!$B$12/(I169*10000*(1+SUM(税费参数!$B$6:$B$8)))</f>
        <v>0.0216918592350549</v>
      </c>
      <c r="L169" s="7">
        <f>J169*税费参数!$B$12/(I169*10000)</f>
        <v>0.0242718446601942</v>
      </c>
      <c r="M169" s="6">
        <f>I169*10000*SUM(税费参数!$B$9:$B$10)/税费参数!$B$11</f>
        <v>193.125</v>
      </c>
    </row>
    <row r="170" ht="21" customHeight="1" spans="1:13">
      <c r="A170" s="5" t="s">
        <v>15</v>
      </c>
      <c r="B170" s="6" t="s">
        <v>58</v>
      </c>
      <c r="C170" s="6" t="s">
        <v>152</v>
      </c>
      <c r="D170" s="6" t="s">
        <v>160</v>
      </c>
      <c r="E170" s="6" t="s">
        <v>313</v>
      </c>
      <c r="F170" s="6" t="s">
        <v>1642</v>
      </c>
      <c r="G170" s="6">
        <v>47.48</v>
      </c>
      <c r="H170" s="6">
        <v>46.89</v>
      </c>
      <c r="I170" s="6">
        <v>110</v>
      </c>
      <c r="J170" s="6">
        <v>2600</v>
      </c>
      <c r="K170" s="7">
        <f>(J170-M170)*税费参数!$B$12/(I170*10000*(1+SUM(税费参数!$B$6:$B$8)))</f>
        <v>0.0210763812458728</v>
      </c>
      <c r="L170" s="7">
        <f>J170*税费参数!$B$12/(I170*10000)</f>
        <v>0.0236363636363636</v>
      </c>
      <c r="M170" s="6">
        <f>I170*10000*SUM(税费参数!$B$9:$B$10)/税费参数!$B$11</f>
        <v>206.25</v>
      </c>
    </row>
    <row r="171" ht="21" customHeight="1" spans="1:13">
      <c r="A171" s="5" t="s">
        <v>15</v>
      </c>
      <c r="B171" s="6" t="s">
        <v>58</v>
      </c>
      <c r="C171" s="6" t="s">
        <v>152</v>
      </c>
      <c r="D171" s="6" t="s">
        <v>160</v>
      </c>
      <c r="E171" s="6" t="s">
        <v>313</v>
      </c>
      <c r="F171" s="6" t="s">
        <v>1643</v>
      </c>
      <c r="G171" s="6">
        <v>47.48</v>
      </c>
      <c r="H171" s="6">
        <v>46.76</v>
      </c>
      <c r="I171" s="6">
        <v>110</v>
      </c>
      <c r="J171" s="6">
        <v>2900</v>
      </c>
      <c r="K171" s="7">
        <f>(J171-M171)*税费参数!$B$12/(I171*10000*(1+SUM(税费参数!$B$6:$B$8)))</f>
        <v>0.0237178076161127</v>
      </c>
      <c r="L171" s="7">
        <f>J171*税费参数!$B$12/(I171*10000)</f>
        <v>0.0263636363636364</v>
      </c>
      <c r="M171" s="6">
        <f>I171*10000*SUM(税费参数!$B$9:$B$10)/税费参数!$B$11</f>
        <v>206.25</v>
      </c>
    </row>
    <row r="172" ht="21" customHeight="1" spans="1:13">
      <c r="A172" s="5" t="s">
        <v>15</v>
      </c>
      <c r="B172" s="6" t="s">
        <v>58</v>
      </c>
      <c r="C172" s="6" t="s">
        <v>152</v>
      </c>
      <c r="D172" s="6" t="s">
        <v>160</v>
      </c>
      <c r="E172" s="6" t="s">
        <v>313</v>
      </c>
      <c r="F172" s="6" t="s">
        <v>1644</v>
      </c>
      <c r="G172" s="6">
        <v>47.48</v>
      </c>
      <c r="H172" s="6">
        <v>46.57</v>
      </c>
      <c r="I172" s="6">
        <v>110</v>
      </c>
      <c r="J172" s="6">
        <v>3000</v>
      </c>
      <c r="K172" s="7">
        <f>(J172-M172)*税费参数!$B$12/(I172*10000*(1+SUM(税费参数!$B$6:$B$8)))</f>
        <v>0.0245982830728593</v>
      </c>
      <c r="L172" s="7">
        <f>J172*税费参数!$B$12/(I172*10000)</f>
        <v>0.0272727272727273</v>
      </c>
      <c r="M172" s="6">
        <f>I172*10000*SUM(税费参数!$B$9:$B$10)/税费参数!$B$11</f>
        <v>206.25</v>
      </c>
    </row>
    <row r="173" ht="21" customHeight="1" spans="1:13">
      <c r="A173" s="5" t="s">
        <v>15</v>
      </c>
      <c r="B173" s="6" t="s">
        <v>58</v>
      </c>
      <c r="C173" s="6" t="s">
        <v>152</v>
      </c>
      <c r="D173" s="6" t="s">
        <v>160</v>
      </c>
      <c r="E173" s="6" t="s">
        <v>313</v>
      </c>
      <c r="F173" s="6" t="s">
        <v>1645</v>
      </c>
      <c r="G173" s="6">
        <v>47.48</v>
      </c>
      <c r="H173" s="6">
        <v>46.76</v>
      </c>
      <c r="I173" s="6">
        <v>110</v>
      </c>
      <c r="J173" s="6">
        <v>2600</v>
      </c>
      <c r="K173" s="7">
        <f>(J173-M173)*税费参数!$B$12/(I173*10000*(1+SUM(税费参数!$B$6:$B$8)))</f>
        <v>0.0210763812458728</v>
      </c>
      <c r="L173" s="7">
        <f>J173*税费参数!$B$12/(I173*10000)</f>
        <v>0.0236363636363636</v>
      </c>
      <c r="M173" s="6">
        <f>I173*10000*SUM(税费参数!$B$9:$B$10)/税费参数!$B$11</f>
        <v>206.25</v>
      </c>
    </row>
    <row r="174" ht="21" customHeight="1" spans="1:13">
      <c r="A174" s="5" t="s">
        <v>15</v>
      </c>
      <c r="B174" s="6" t="s">
        <v>58</v>
      </c>
      <c r="C174" s="6" t="s">
        <v>152</v>
      </c>
      <c r="D174" s="6" t="s">
        <v>160</v>
      </c>
      <c r="E174" s="6" t="s">
        <v>313</v>
      </c>
      <c r="F174" s="6" t="s">
        <v>1646</v>
      </c>
      <c r="G174" s="6">
        <v>47.48</v>
      </c>
      <c r="H174" s="6">
        <v>46.89</v>
      </c>
      <c r="I174" s="6">
        <v>110</v>
      </c>
      <c r="J174" s="6">
        <v>2600</v>
      </c>
      <c r="K174" s="7">
        <f>(J174-M174)*税费参数!$B$12/(I174*10000*(1+SUM(税费参数!$B$6:$B$8)))</f>
        <v>0.0210763812458728</v>
      </c>
      <c r="L174" s="7">
        <f>J174*税费参数!$B$12/(I174*10000)</f>
        <v>0.0236363636363636</v>
      </c>
      <c r="M174" s="6">
        <f>I174*10000*SUM(税费参数!$B$9:$B$10)/税费参数!$B$11</f>
        <v>206.25</v>
      </c>
    </row>
    <row r="175" ht="21" customHeight="1" spans="1:13">
      <c r="A175" s="5" t="s">
        <v>15</v>
      </c>
      <c r="B175" s="6" t="s">
        <v>58</v>
      </c>
      <c r="C175" s="6" t="s">
        <v>152</v>
      </c>
      <c r="D175" s="6" t="s">
        <v>160</v>
      </c>
      <c r="E175" s="6" t="s">
        <v>313</v>
      </c>
      <c r="F175" s="6" t="s">
        <v>1647</v>
      </c>
      <c r="G175" s="6">
        <v>47.48</v>
      </c>
      <c r="H175" s="6">
        <v>46.89</v>
      </c>
      <c r="I175" s="6">
        <v>110</v>
      </c>
      <c r="J175" s="6">
        <v>2500</v>
      </c>
      <c r="K175" s="7">
        <f>(J175-M175)*税费参数!$B$12/(I175*10000*(1+SUM(税费参数!$B$6:$B$8)))</f>
        <v>0.0201959057891261</v>
      </c>
      <c r="L175" s="7">
        <f>J175*税费参数!$B$12/(I175*10000)</f>
        <v>0.0227272727272727</v>
      </c>
      <c r="M175" s="6">
        <f>I175*10000*SUM(税费参数!$B$9:$B$10)/税费参数!$B$11</f>
        <v>206.25</v>
      </c>
    </row>
    <row r="176" ht="21" customHeight="1" spans="1:13">
      <c r="A176" s="5" t="s">
        <v>15</v>
      </c>
      <c r="B176" s="6" t="s">
        <v>58</v>
      </c>
      <c r="C176" s="6" t="s">
        <v>152</v>
      </c>
      <c r="D176" s="6" t="s">
        <v>160</v>
      </c>
      <c r="E176" s="6" t="s">
        <v>319</v>
      </c>
      <c r="F176" s="6" t="s">
        <v>1642</v>
      </c>
      <c r="G176" s="6">
        <v>46.89</v>
      </c>
      <c r="H176" s="6">
        <v>46.89</v>
      </c>
      <c r="I176" s="6">
        <v>105</v>
      </c>
      <c r="J176" s="6">
        <v>2600</v>
      </c>
      <c r="K176" s="7">
        <f>(J176-M176)*税费参数!$B$12/(I176*10000*(1+SUM(税费参数!$B$6:$B$8)))</f>
        <v>0.0221664937161305</v>
      </c>
      <c r="L176" s="7">
        <f>J176*税费参数!$B$12/(I176*10000)</f>
        <v>0.0247619047619048</v>
      </c>
      <c r="M176" s="6">
        <f>I176*10000*SUM(税费参数!$B$9:$B$10)/税费参数!$B$11</f>
        <v>196.875</v>
      </c>
    </row>
    <row r="177" ht="21" customHeight="1" spans="1:13">
      <c r="A177" s="5" t="s">
        <v>15</v>
      </c>
      <c r="B177" s="6" t="s">
        <v>58</v>
      </c>
      <c r="C177" s="6" t="s">
        <v>152</v>
      </c>
      <c r="D177" s="6" t="s">
        <v>160</v>
      </c>
      <c r="E177" s="6" t="s">
        <v>319</v>
      </c>
      <c r="F177" s="6" t="s">
        <v>1643</v>
      </c>
      <c r="G177" s="6">
        <v>46.89</v>
      </c>
      <c r="H177" s="6">
        <v>46.76</v>
      </c>
      <c r="I177" s="6">
        <v>105</v>
      </c>
      <c r="J177" s="6">
        <v>2900</v>
      </c>
      <c r="K177" s="7">
        <f>(J177-M177)*税费参数!$B$12/(I177*10000*(1+SUM(税费参数!$B$6:$B$8)))</f>
        <v>0.0249337022944771</v>
      </c>
      <c r="L177" s="7">
        <f>J177*税费参数!$B$12/(I177*10000)</f>
        <v>0.0276190476190476</v>
      </c>
      <c r="M177" s="6">
        <f>I177*10000*SUM(税费参数!$B$9:$B$10)/税费参数!$B$11</f>
        <v>196.875</v>
      </c>
    </row>
    <row r="178" ht="21" customHeight="1" spans="1:13">
      <c r="A178" s="5" t="s">
        <v>15</v>
      </c>
      <c r="B178" s="6" t="s">
        <v>58</v>
      </c>
      <c r="C178" s="6" t="s">
        <v>152</v>
      </c>
      <c r="D178" s="6" t="s">
        <v>160</v>
      </c>
      <c r="E178" s="6" t="s">
        <v>319</v>
      </c>
      <c r="F178" s="6" t="s">
        <v>1644</v>
      </c>
      <c r="G178" s="6">
        <v>46.89</v>
      </c>
      <c r="H178" s="6">
        <v>46.57</v>
      </c>
      <c r="I178" s="6">
        <v>105</v>
      </c>
      <c r="J178" s="6">
        <v>3000</v>
      </c>
      <c r="K178" s="7">
        <f>(J178-M178)*税费参数!$B$12/(I178*10000*(1+SUM(税费参数!$B$6:$B$8)))</f>
        <v>0.025856105153926</v>
      </c>
      <c r="L178" s="7">
        <f>J178*税费参数!$B$12/(I178*10000)</f>
        <v>0.0285714285714286</v>
      </c>
      <c r="M178" s="6">
        <f>I178*10000*SUM(税费参数!$B$9:$B$10)/税费参数!$B$11</f>
        <v>196.875</v>
      </c>
    </row>
    <row r="179" ht="21" customHeight="1" spans="1:13">
      <c r="A179" s="5" t="s">
        <v>15</v>
      </c>
      <c r="B179" s="6" t="s">
        <v>58</v>
      </c>
      <c r="C179" s="6" t="s">
        <v>152</v>
      </c>
      <c r="D179" s="6" t="s">
        <v>160</v>
      </c>
      <c r="E179" s="6" t="s">
        <v>319</v>
      </c>
      <c r="F179" s="6" t="s">
        <v>1645</v>
      </c>
      <c r="G179" s="6">
        <v>46.89</v>
      </c>
      <c r="H179" s="6">
        <v>46.76</v>
      </c>
      <c r="I179" s="6">
        <v>105</v>
      </c>
      <c r="J179" s="6">
        <v>2600</v>
      </c>
      <c r="K179" s="7">
        <f>(J179-M179)*税费参数!$B$12/(I179*10000*(1+SUM(税费参数!$B$6:$B$8)))</f>
        <v>0.0221664937161305</v>
      </c>
      <c r="L179" s="7">
        <f>J179*税费参数!$B$12/(I179*10000)</f>
        <v>0.0247619047619048</v>
      </c>
      <c r="M179" s="6">
        <f>I179*10000*SUM(税费参数!$B$9:$B$10)/税费参数!$B$11</f>
        <v>196.875</v>
      </c>
    </row>
    <row r="180" ht="21" customHeight="1" spans="1:13">
      <c r="A180" s="5" t="s">
        <v>15</v>
      </c>
      <c r="B180" s="6" t="s">
        <v>58</v>
      </c>
      <c r="C180" s="6" t="s">
        <v>152</v>
      </c>
      <c r="D180" s="6" t="s">
        <v>160</v>
      </c>
      <c r="E180" s="6" t="s">
        <v>319</v>
      </c>
      <c r="F180" s="6" t="s">
        <v>1646</v>
      </c>
      <c r="G180" s="6">
        <v>46.89</v>
      </c>
      <c r="H180" s="6">
        <v>46.89</v>
      </c>
      <c r="I180" s="6">
        <v>105</v>
      </c>
      <c r="J180" s="6">
        <v>2600</v>
      </c>
      <c r="K180" s="7">
        <f>(J180-M180)*税费参数!$B$12/(I180*10000*(1+SUM(税费参数!$B$6:$B$8)))</f>
        <v>0.0221664937161305</v>
      </c>
      <c r="L180" s="7">
        <f>J180*税费参数!$B$12/(I180*10000)</f>
        <v>0.0247619047619048</v>
      </c>
      <c r="M180" s="6">
        <f>I180*10000*SUM(税费参数!$B$9:$B$10)/税费参数!$B$11</f>
        <v>196.875</v>
      </c>
    </row>
    <row r="181" ht="21" customHeight="1" spans="1:13">
      <c r="A181" s="5" t="s">
        <v>15</v>
      </c>
      <c r="B181" s="6" t="s">
        <v>58</v>
      </c>
      <c r="C181" s="6" t="s">
        <v>152</v>
      </c>
      <c r="D181" s="6" t="s">
        <v>160</v>
      </c>
      <c r="E181" s="6" t="s">
        <v>319</v>
      </c>
      <c r="F181" s="6" t="s">
        <v>1647</v>
      </c>
      <c r="G181" s="6">
        <v>46.89</v>
      </c>
      <c r="H181" s="6">
        <v>46.89</v>
      </c>
      <c r="I181" s="6">
        <v>105</v>
      </c>
      <c r="J181" s="6">
        <v>2500</v>
      </c>
      <c r="K181" s="7">
        <f>(J181-M181)*税费参数!$B$12/(I181*10000*(1+SUM(税费参数!$B$6:$B$8)))</f>
        <v>0.0212440908566817</v>
      </c>
      <c r="L181" s="7">
        <f>J181*税费参数!$B$12/(I181*10000)</f>
        <v>0.0238095238095238</v>
      </c>
      <c r="M181" s="6">
        <f>I181*10000*SUM(税费参数!$B$9:$B$10)/税费参数!$B$11</f>
        <v>196.875</v>
      </c>
    </row>
    <row r="182" ht="21" customHeight="1" spans="1:13">
      <c r="A182" s="5" t="s">
        <v>15</v>
      </c>
      <c r="B182" s="6" t="s">
        <v>58</v>
      </c>
      <c r="C182" s="6" t="s">
        <v>152</v>
      </c>
      <c r="D182" s="6" t="s">
        <v>160</v>
      </c>
      <c r="E182" s="6" t="s">
        <v>307</v>
      </c>
      <c r="F182" s="6" t="s">
        <v>1642</v>
      </c>
      <c r="G182" s="6">
        <v>46.76</v>
      </c>
      <c r="H182" s="6">
        <v>46.89</v>
      </c>
      <c r="I182" s="6">
        <v>115</v>
      </c>
      <c r="J182" s="6">
        <v>2600</v>
      </c>
      <c r="K182" s="7">
        <f>(J182-M182)*税费参数!$B$12/(I182*10000*(1+SUM(税费参数!$B$6:$B$8)))</f>
        <v>0.0200810611643331</v>
      </c>
      <c r="L182" s="7">
        <f>J182*税费参数!$B$12/(I182*10000)</f>
        <v>0.0226086956521739</v>
      </c>
      <c r="M182" s="6">
        <f>I182*10000*SUM(税费参数!$B$9:$B$10)/税费参数!$B$11</f>
        <v>215.625</v>
      </c>
    </row>
    <row r="183" ht="21" customHeight="1" spans="1:13">
      <c r="A183" s="5" t="s">
        <v>15</v>
      </c>
      <c r="B183" s="6" t="s">
        <v>58</v>
      </c>
      <c r="C183" s="6" t="s">
        <v>152</v>
      </c>
      <c r="D183" s="6" t="s">
        <v>160</v>
      </c>
      <c r="E183" s="6" t="s">
        <v>307</v>
      </c>
      <c r="F183" s="6" t="s">
        <v>1643</v>
      </c>
      <c r="G183" s="6">
        <v>46.76</v>
      </c>
      <c r="H183" s="6">
        <v>46.76</v>
      </c>
      <c r="I183" s="6">
        <v>115</v>
      </c>
      <c r="J183" s="6">
        <v>2900</v>
      </c>
      <c r="K183" s="7">
        <f>(J183-M183)*税费参数!$B$12/(I183*10000*(1+SUM(税费参数!$B$6:$B$8)))</f>
        <v>0.02260764290978</v>
      </c>
      <c r="L183" s="7">
        <f>J183*税费参数!$B$12/(I183*10000)</f>
        <v>0.0252173913043478</v>
      </c>
      <c r="M183" s="6">
        <f>I183*10000*SUM(税费参数!$B$9:$B$10)/税费参数!$B$11</f>
        <v>215.625</v>
      </c>
    </row>
    <row r="184" ht="21" customHeight="1" spans="1:13">
      <c r="A184" s="5" t="s">
        <v>15</v>
      </c>
      <c r="B184" s="6" t="s">
        <v>58</v>
      </c>
      <c r="C184" s="6" t="s">
        <v>152</v>
      </c>
      <c r="D184" s="6" t="s">
        <v>160</v>
      </c>
      <c r="E184" s="6" t="s">
        <v>307</v>
      </c>
      <c r="F184" s="6" t="s">
        <v>1644</v>
      </c>
      <c r="G184" s="6">
        <v>46.76</v>
      </c>
      <c r="H184" s="6">
        <v>46.57</v>
      </c>
      <c r="I184" s="6">
        <v>115</v>
      </c>
      <c r="J184" s="6">
        <v>3000</v>
      </c>
      <c r="K184" s="7">
        <f>(J184-M184)*税费参数!$B$12/(I184*10000*(1+SUM(税费参数!$B$6:$B$8)))</f>
        <v>0.0234498368249289</v>
      </c>
      <c r="L184" s="7">
        <f>J184*税费参数!$B$12/(I184*10000)</f>
        <v>0.0260869565217391</v>
      </c>
      <c r="M184" s="6">
        <f>I184*10000*SUM(税费参数!$B$9:$B$10)/税费参数!$B$11</f>
        <v>215.625</v>
      </c>
    </row>
    <row r="185" ht="21" customHeight="1" spans="1:13">
      <c r="A185" s="5" t="s">
        <v>15</v>
      </c>
      <c r="B185" s="6" t="s">
        <v>58</v>
      </c>
      <c r="C185" s="6" t="s">
        <v>152</v>
      </c>
      <c r="D185" s="6" t="s">
        <v>160</v>
      </c>
      <c r="E185" s="6" t="s">
        <v>307</v>
      </c>
      <c r="F185" s="6" t="s">
        <v>1645</v>
      </c>
      <c r="G185" s="6">
        <v>46.76</v>
      </c>
      <c r="H185" s="6">
        <v>46.76</v>
      </c>
      <c r="I185" s="6">
        <v>115</v>
      </c>
      <c r="J185" s="6">
        <v>2600</v>
      </c>
      <c r="K185" s="7">
        <f>(J185-M185)*税费参数!$B$12/(I185*10000*(1+SUM(税费参数!$B$6:$B$8)))</f>
        <v>0.0200810611643331</v>
      </c>
      <c r="L185" s="7">
        <f>J185*税费参数!$B$12/(I185*10000)</f>
        <v>0.0226086956521739</v>
      </c>
      <c r="M185" s="6">
        <f>I185*10000*SUM(税费参数!$B$9:$B$10)/税费参数!$B$11</f>
        <v>215.625</v>
      </c>
    </row>
    <row r="186" ht="21" customHeight="1" spans="1:13">
      <c r="A186" s="5" t="s">
        <v>15</v>
      </c>
      <c r="B186" s="6" t="s">
        <v>58</v>
      </c>
      <c r="C186" s="6" t="s">
        <v>152</v>
      </c>
      <c r="D186" s="6" t="s">
        <v>160</v>
      </c>
      <c r="E186" s="6" t="s">
        <v>307</v>
      </c>
      <c r="F186" s="6" t="s">
        <v>1646</v>
      </c>
      <c r="G186" s="6">
        <v>46.76</v>
      </c>
      <c r="H186" s="6">
        <v>46.89</v>
      </c>
      <c r="I186" s="6">
        <v>115</v>
      </c>
      <c r="J186" s="6">
        <v>2600</v>
      </c>
      <c r="K186" s="7">
        <f>(J186-M186)*税费参数!$B$12/(I186*10000*(1+SUM(税费参数!$B$6:$B$8)))</f>
        <v>0.0200810611643331</v>
      </c>
      <c r="L186" s="7">
        <f>J186*税费参数!$B$12/(I186*10000)</f>
        <v>0.0226086956521739</v>
      </c>
      <c r="M186" s="6">
        <f>I186*10000*SUM(税费参数!$B$9:$B$10)/税费参数!$B$11</f>
        <v>215.625</v>
      </c>
    </row>
    <row r="187" ht="21" customHeight="1" spans="1:13">
      <c r="A187" s="5" t="s">
        <v>15</v>
      </c>
      <c r="B187" s="6" t="s">
        <v>58</v>
      </c>
      <c r="C187" s="6" t="s">
        <v>152</v>
      </c>
      <c r="D187" s="6" t="s">
        <v>160</v>
      </c>
      <c r="E187" s="6" t="s">
        <v>307</v>
      </c>
      <c r="F187" s="6" t="s">
        <v>1647</v>
      </c>
      <c r="G187" s="6">
        <v>46.76</v>
      </c>
      <c r="H187" s="6">
        <v>46.89</v>
      </c>
      <c r="I187" s="6">
        <v>115</v>
      </c>
      <c r="J187" s="6">
        <v>2500</v>
      </c>
      <c r="K187" s="7">
        <f>(J187-M187)*税费参数!$B$12/(I187*10000*(1+SUM(税费参数!$B$6:$B$8)))</f>
        <v>0.0192388672491841</v>
      </c>
      <c r="L187" s="7">
        <f>J187*税费参数!$B$12/(I187*10000)</f>
        <v>0.0217391304347826</v>
      </c>
      <c r="M187" s="6">
        <f>I187*10000*SUM(税费参数!$B$9:$B$10)/税费参数!$B$11</f>
        <v>215.625</v>
      </c>
    </row>
    <row r="188" ht="21" customHeight="1" spans="1:13">
      <c r="A188" s="5" t="s">
        <v>15</v>
      </c>
      <c r="B188" s="6" t="s">
        <v>58</v>
      </c>
      <c r="C188" s="6" t="s">
        <v>152</v>
      </c>
      <c r="D188" s="6" t="s">
        <v>160</v>
      </c>
      <c r="E188" s="6" t="s">
        <v>315</v>
      </c>
      <c r="F188" s="6" t="s">
        <v>1642</v>
      </c>
      <c r="G188" s="6">
        <v>46.57</v>
      </c>
      <c r="H188" s="6">
        <v>46.89</v>
      </c>
      <c r="I188" s="6">
        <v>95</v>
      </c>
      <c r="J188" s="6">
        <v>2600</v>
      </c>
      <c r="K188" s="7">
        <f>(J188-M188)*税费参数!$B$12/(I188*10000*(1+SUM(税费参数!$B$6:$B$8)))</f>
        <v>0.0246909646998853</v>
      </c>
      <c r="L188" s="7">
        <f>J188*税费参数!$B$12/(I188*10000)</f>
        <v>0.0273684210526316</v>
      </c>
      <c r="M188" s="6">
        <f>I188*10000*SUM(税费参数!$B$9:$B$10)/税费参数!$B$11</f>
        <v>178.125</v>
      </c>
    </row>
    <row r="189" ht="21" customHeight="1" spans="1:13">
      <c r="A189" s="5" t="s">
        <v>15</v>
      </c>
      <c r="B189" s="6" t="s">
        <v>58</v>
      </c>
      <c r="C189" s="6" t="s">
        <v>152</v>
      </c>
      <c r="D189" s="6" t="s">
        <v>160</v>
      </c>
      <c r="E189" s="6" t="s">
        <v>315</v>
      </c>
      <c r="F189" s="6" t="s">
        <v>1643</v>
      </c>
      <c r="G189" s="6">
        <v>46.57</v>
      </c>
      <c r="H189" s="6">
        <v>46.76</v>
      </c>
      <c r="I189" s="6">
        <v>95</v>
      </c>
      <c r="J189" s="6">
        <v>2900</v>
      </c>
      <c r="K189" s="7">
        <f>(J189-M189)*税费参数!$B$12/(I189*10000*(1+SUM(税费参数!$B$6:$B$8)))</f>
        <v>0.0277494583917421</v>
      </c>
      <c r="L189" s="7">
        <f>J189*税费参数!$B$12/(I189*10000)</f>
        <v>0.0305263157894737</v>
      </c>
      <c r="M189" s="6">
        <f>I189*10000*SUM(税费参数!$B$9:$B$10)/税费参数!$B$11</f>
        <v>178.125</v>
      </c>
    </row>
    <row r="190" ht="21" customHeight="1" spans="1:13">
      <c r="A190" s="5" t="s">
        <v>15</v>
      </c>
      <c r="B190" s="6" t="s">
        <v>58</v>
      </c>
      <c r="C190" s="6" t="s">
        <v>152</v>
      </c>
      <c r="D190" s="6" t="s">
        <v>160</v>
      </c>
      <c r="E190" s="6" t="s">
        <v>315</v>
      </c>
      <c r="F190" s="6" t="s">
        <v>1644</v>
      </c>
      <c r="G190" s="6">
        <v>46.57</v>
      </c>
      <c r="H190" s="6">
        <v>46.57</v>
      </c>
      <c r="I190" s="6">
        <v>95</v>
      </c>
      <c r="J190" s="6">
        <v>3000</v>
      </c>
      <c r="K190" s="7">
        <f>(J190-M190)*税费参数!$B$12/(I190*10000*(1+SUM(税费参数!$B$6:$B$8)))</f>
        <v>0.0287689562890277</v>
      </c>
      <c r="L190" s="7">
        <f>J190*税费参数!$B$12/(I190*10000)</f>
        <v>0.0315789473684211</v>
      </c>
      <c r="M190" s="6">
        <f>I190*10000*SUM(税费参数!$B$9:$B$10)/税费参数!$B$11</f>
        <v>178.125</v>
      </c>
    </row>
    <row r="191" ht="21" customHeight="1" spans="1:13">
      <c r="A191" s="5" t="s">
        <v>15</v>
      </c>
      <c r="B191" s="6" t="s">
        <v>58</v>
      </c>
      <c r="C191" s="6" t="s">
        <v>152</v>
      </c>
      <c r="D191" s="6" t="s">
        <v>160</v>
      </c>
      <c r="E191" s="6" t="s">
        <v>315</v>
      </c>
      <c r="F191" s="6" t="s">
        <v>1645</v>
      </c>
      <c r="G191" s="6">
        <v>46.57</v>
      </c>
      <c r="H191" s="6">
        <v>46.76</v>
      </c>
      <c r="I191" s="6">
        <v>95</v>
      </c>
      <c r="J191" s="6">
        <v>2600</v>
      </c>
      <c r="K191" s="7">
        <f>(J191-M191)*税费参数!$B$12/(I191*10000*(1+SUM(税费参数!$B$6:$B$8)))</f>
        <v>0.0246909646998853</v>
      </c>
      <c r="L191" s="7">
        <f>J191*税费参数!$B$12/(I191*10000)</f>
        <v>0.0273684210526316</v>
      </c>
      <c r="M191" s="6">
        <f>I191*10000*SUM(税费参数!$B$9:$B$10)/税费参数!$B$11</f>
        <v>178.125</v>
      </c>
    </row>
    <row r="192" ht="21" customHeight="1" spans="1:13">
      <c r="A192" s="5" t="s">
        <v>15</v>
      </c>
      <c r="B192" s="6" t="s">
        <v>58</v>
      </c>
      <c r="C192" s="6" t="s">
        <v>152</v>
      </c>
      <c r="D192" s="6" t="s">
        <v>160</v>
      </c>
      <c r="E192" s="6" t="s">
        <v>315</v>
      </c>
      <c r="F192" s="6" t="s">
        <v>1646</v>
      </c>
      <c r="G192" s="6">
        <v>46.57</v>
      </c>
      <c r="H192" s="6">
        <v>46.89</v>
      </c>
      <c r="I192" s="6">
        <v>95</v>
      </c>
      <c r="J192" s="6">
        <v>2600</v>
      </c>
      <c r="K192" s="7">
        <f>(J192-M192)*税费参数!$B$12/(I192*10000*(1+SUM(税费参数!$B$6:$B$8)))</f>
        <v>0.0246909646998853</v>
      </c>
      <c r="L192" s="7">
        <f>J192*税费参数!$B$12/(I192*10000)</f>
        <v>0.0273684210526316</v>
      </c>
      <c r="M192" s="6">
        <f>I192*10000*SUM(税费参数!$B$9:$B$10)/税费参数!$B$11</f>
        <v>178.125</v>
      </c>
    </row>
    <row r="193" ht="21" customHeight="1" spans="1:13">
      <c r="A193" s="5" t="s">
        <v>15</v>
      </c>
      <c r="B193" s="6" t="s">
        <v>58</v>
      </c>
      <c r="C193" s="6" t="s">
        <v>152</v>
      </c>
      <c r="D193" s="6" t="s">
        <v>160</v>
      </c>
      <c r="E193" s="6" t="s">
        <v>315</v>
      </c>
      <c r="F193" s="6" t="s">
        <v>1647</v>
      </c>
      <c r="G193" s="6">
        <v>46.57</v>
      </c>
      <c r="H193" s="6">
        <v>46.89</v>
      </c>
      <c r="I193" s="6">
        <v>95</v>
      </c>
      <c r="J193" s="6">
        <v>2500</v>
      </c>
      <c r="K193" s="7">
        <f>(J193-M193)*税费参数!$B$12/(I193*10000*(1+SUM(税费参数!$B$6:$B$8)))</f>
        <v>0.0236714668025997</v>
      </c>
      <c r="L193" s="7">
        <f>J193*税费参数!$B$12/(I193*10000)</f>
        <v>0.0263157894736842</v>
      </c>
      <c r="M193" s="6">
        <f>I193*10000*SUM(税费参数!$B$9:$B$10)/税费参数!$B$11</f>
        <v>178.125</v>
      </c>
    </row>
    <row r="194" ht="21" customHeight="1" spans="1:13">
      <c r="A194" s="5" t="s">
        <v>15</v>
      </c>
      <c r="B194" s="6" t="s">
        <v>58</v>
      </c>
      <c r="C194" s="6" t="s">
        <v>152</v>
      </c>
      <c r="D194" s="6" t="s">
        <v>160</v>
      </c>
      <c r="E194" s="6" t="s">
        <v>301</v>
      </c>
      <c r="F194" s="6" t="s">
        <v>1642</v>
      </c>
      <c r="G194" s="6">
        <v>47.48</v>
      </c>
      <c r="H194" s="6">
        <v>46.89</v>
      </c>
      <c r="I194" s="6">
        <v>100</v>
      </c>
      <c r="J194" s="6">
        <v>2600</v>
      </c>
      <c r="K194" s="7">
        <f>(J194-M194)*税费参数!$B$12/(I194*10000*(1+SUM(税费参数!$B$6:$B$8)))</f>
        <v>0.023365617433414</v>
      </c>
      <c r="L194" s="7">
        <f>J194*税费参数!$B$12/(I194*10000)</f>
        <v>0.026</v>
      </c>
      <c r="M194" s="6">
        <f>I194*10000*SUM(税费参数!$B$9:$B$10)/税费参数!$B$11</f>
        <v>187.5</v>
      </c>
    </row>
    <row r="195" ht="21" customHeight="1" spans="1:13">
      <c r="A195" s="5" t="s">
        <v>15</v>
      </c>
      <c r="B195" s="6" t="s">
        <v>58</v>
      </c>
      <c r="C195" s="6" t="s">
        <v>152</v>
      </c>
      <c r="D195" s="6" t="s">
        <v>160</v>
      </c>
      <c r="E195" s="6" t="s">
        <v>301</v>
      </c>
      <c r="F195" s="6" t="s">
        <v>1643</v>
      </c>
      <c r="G195" s="6">
        <v>47.48</v>
      </c>
      <c r="H195" s="6">
        <v>46.76</v>
      </c>
      <c r="I195" s="6">
        <v>100</v>
      </c>
      <c r="J195" s="6">
        <v>2900</v>
      </c>
      <c r="K195" s="7">
        <f>(J195-M195)*税费参数!$B$12/(I195*10000*(1+SUM(税费参数!$B$6:$B$8)))</f>
        <v>0.026271186440678</v>
      </c>
      <c r="L195" s="7">
        <f>J195*税费参数!$B$12/(I195*10000)</f>
        <v>0.029</v>
      </c>
      <c r="M195" s="6">
        <f>I195*10000*SUM(税费参数!$B$9:$B$10)/税费参数!$B$11</f>
        <v>187.5</v>
      </c>
    </row>
    <row r="196" ht="21" customHeight="1" spans="1:13">
      <c r="A196" s="5" t="s">
        <v>15</v>
      </c>
      <c r="B196" s="6" t="s">
        <v>58</v>
      </c>
      <c r="C196" s="6" t="s">
        <v>152</v>
      </c>
      <c r="D196" s="6" t="s">
        <v>160</v>
      </c>
      <c r="E196" s="6" t="s">
        <v>301</v>
      </c>
      <c r="F196" s="6" t="s">
        <v>1644</v>
      </c>
      <c r="G196" s="6">
        <v>47.48</v>
      </c>
      <c r="H196" s="6">
        <v>46.57</v>
      </c>
      <c r="I196" s="6">
        <v>100</v>
      </c>
      <c r="J196" s="6">
        <v>3000</v>
      </c>
      <c r="K196" s="7">
        <f>(J196-M196)*税费参数!$B$12/(I196*10000*(1+SUM(税费参数!$B$6:$B$8)))</f>
        <v>0.0272397094430993</v>
      </c>
      <c r="L196" s="7">
        <f>J196*税费参数!$B$12/(I196*10000)</f>
        <v>0.03</v>
      </c>
      <c r="M196" s="6">
        <f>I196*10000*SUM(税费参数!$B$9:$B$10)/税费参数!$B$11</f>
        <v>187.5</v>
      </c>
    </row>
    <row r="197" ht="21" customHeight="1" spans="1:13">
      <c r="A197" s="5" t="s">
        <v>15</v>
      </c>
      <c r="B197" s="6" t="s">
        <v>58</v>
      </c>
      <c r="C197" s="6" t="s">
        <v>152</v>
      </c>
      <c r="D197" s="6" t="s">
        <v>160</v>
      </c>
      <c r="E197" s="6" t="s">
        <v>301</v>
      </c>
      <c r="F197" s="6" t="s">
        <v>1645</v>
      </c>
      <c r="G197" s="6">
        <v>47.48</v>
      </c>
      <c r="H197" s="6">
        <v>46.76</v>
      </c>
      <c r="I197" s="6">
        <v>100</v>
      </c>
      <c r="J197" s="6">
        <v>2600</v>
      </c>
      <c r="K197" s="7">
        <f>(J197-M197)*税费参数!$B$12/(I197*10000*(1+SUM(税费参数!$B$6:$B$8)))</f>
        <v>0.023365617433414</v>
      </c>
      <c r="L197" s="7">
        <f>J197*税费参数!$B$12/(I197*10000)</f>
        <v>0.026</v>
      </c>
      <c r="M197" s="6">
        <f>I197*10000*SUM(税费参数!$B$9:$B$10)/税费参数!$B$11</f>
        <v>187.5</v>
      </c>
    </row>
    <row r="198" ht="21" customHeight="1" spans="1:13">
      <c r="A198" s="5" t="s">
        <v>15</v>
      </c>
      <c r="B198" s="6" t="s">
        <v>58</v>
      </c>
      <c r="C198" s="6" t="s">
        <v>152</v>
      </c>
      <c r="D198" s="6" t="s">
        <v>160</v>
      </c>
      <c r="E198" s="6" t="s">
        <v>301</v>
      </c>
      <c r="F198" s="6" t="s">
        <v>1646</v>
      </c>
      <c r="G198" s="6">
        <v>47.48</v>
      </c>
      <c r="H198" s="6">
        <v>46.89</v>
      </c>
      <c r="I198" s="6">
        <v>100</v>
      </c>
      <c r="J198" s="6">
        <v>2600</v>
      </c>
      <c r="K198" s="7">
        <f>(J198-M198)*税费参数!$B$12/(I198*10000*(1+SUM(税费参数!$B$6:$B$8)))</f>
        <v>0.023365617433414</v>
      </c>
      <c r="L198" s="7">
        <f>J198*税费参数!$B$12/(I198*10000)</f>
        <v>0.026</v>
      </c>
      <c r="M198" s="6">
        <f>I198*10000*SUM(税费参数!$B$9:$B$10)/税费参数!$B$11</f>
        <v>187.5</v>
      </c>
    </row>
    <row r="199" ht="21" customHeight="1" spans="1:13">
      <c r="A199" s="5" t="s">
        <v>15</v>
      </c>
      <c r="B199" s="6" t="s">
        <v>58</v>
      </c>
      <c r="C199" s="6" t="s">
        <v>152</v>
      </c>
      <c r="D199" s="6" t="s">
        <v>160</v>
      </c>
      <c r="E199" s="6" t="s">
        <v>301</v>
      </c>
      <c r="F199" s="6" t="s">
        <v>1647</v>
      </c>
      <c r="G199" s="6">
        <v>47.48</v>
      </c>
      <c r="H199" s="6">
        <v>46.89</v>
      </c>
      <c r="I199" s="6">
        <v>100</v>
      </c>
      <c r="J199" s="6">
        <v>2500</v>
      </c>
      <c r="K199" s="7">
        <f>(J199-M199)*税费参数!$B$12/(I199*10000*(1+SUM(税费参数!$B$6:$B$8)))</f>
        <v>0.0223970944309927</v>
      </c>
      <c r="L199" s="7">
        <f>J199*税费参数!$B$12/(I199*10000)</f>
        <v>0.025</v>
      </c>
      <c r="M199" s="6">
        <f>I199*10000*SUM(税费参数!$B$9:$B$10)/税费参数!$B$11</f>
        <v>187.5</v>
      </c>
    </row>
    <row r="200" ht="21" customHeight="1" spans="1:13">
      <c r="A200" s="5" t="s">
        <v>15</v>
      </c>
      <c r="B200" s="6" t="s">
        <v>58</v>
      </c>
      <c r="C200" s="6" t="s">
        <v>152</v>
      </c>
      <c r="D200" s="6" t="s">
        <v>160</v>
      </c>
      <c r="E200" s="6" t="s">
        <v>293</v>
      </c>
      <c r="F200" s="6" t="s">
        <v>1642</v>
      </c>
      <c r="G200" s="6">
        <v>47.39</v>
      </c>
      <c r="H200" s="6">
        <v>46.89</v>
      </c>
      <c r="I200" s="6">
        <v>105.5</v>
      </c>
      <c r="J200" s="6">
        <v>2600</v>
      </c>
      <c r="K200" s="7">
        <f>(J200-M200)*税费参数!$B$12/(I200*10000*(1+SUM(税费参数!$B$6:$B$8)))</f>
        <v>0.0220528327002743</v>
      </c>
      <c r="L200" s="7">
        <f>J200*税费参数!$B$12/(I200*10000)</f>
        <v>0.0246445497630332</v>
      </c>
      <c r="M200" s="6">
        <f>I200*10000*SUM(税费参数!$B$9:$B$10)/税费参数!$B$11</f>
        <v>197.8125</v>
      </c>
    </row>
    <row r="201" ht="21" customHeight="1" spans="1:13">
      <c r="A201" s="5" t="s">
        <v>15</v>
      </c>
      <c r="B201" s="6" t="s">
        <v>58</v>
      </c>
      <c r="C201" s="6" t="s">
        <v>152</v>
      </c>
      <c r="D201" s="6" t="s">
        <v>160</v>
      </c>
      <c r="E201" s="6" t="s">
        <v>293</v>
      </c>
      <c r="F201" s="6" t="s">
        <v>1643</v>
      </c>
      <c r="G201" s="6">
        <v>47.39</v>
      </c>
      <c r="H201" s="6">
        <v>46.76</v>
      </c>
      <c r="I201" s="6">
        <v>105.5</v>
      </c>
      <c r="J201" s="6">
        <v>2900</v>
      </c>
      <c r="K201" s="7">
        <f>(J201-M201)*税费参数!$B$12/(I201*10000*(1+SUM(税费参数!$B$6:$B$8)))</f>
        <v>0.0248069265460221</v>
      </c>
      <c r="L201" s="7">
        <f>J201*税费参数!$B$12/(I201*10000)</f>
        <v>0.0274881516587678</v>
      </c>
      <c r="M201" s="6">
        <f>I201*10000*SUM(税费参数!$B$9:$B$10)/税费参数!$B$11</f>
        <v>197.8125</v>
      </c>
    </row>
    <row r="202" ht="21" customHeight="1" spans="1:13">
      <c r="A202" s="5" t="s">
        <v>15</v>
      </c>
      <c r="B202" s="6" t="s">
        <v>58</v>
      </c>
      <c r="C202" s="6" t="s">
        <v>152</v>
      </c>
      <c r="D202" s="6" t="s">
        <v>160</v>
      </c>
      <c r="E202" s="6" t="s">
        <v>293</v>
      </c>
      <c r="F202" s="6" t="s">
        <v>1644</v>
      </c>
      <c r="G202" s="6">
        <v>47.39</v>
      </c>
      <c r="H202" s="6">
        <v>46.57</v>
      </c>
      <c r="I202" s="6">
        <v>105.5</v>
      </c>
      <c r="J202" s="6">
        <v>3000</v>
      </c>
      <c r="K202" s="7">
        <f>(J202-M202)*税费参数!$B$12/(I202*10000*(1+SUM(税费参数!$B$6:$B$8)))</f>
        <v>0.025724957827938</v>
      </c>
      <c r="L202" s="7">
        <f>J202*税费参数!$B$12/(I202*10000)</f>
        <v>0.028436018957346</v>
      </c>
      <c r="M202" s="6">
        <f>I202*10000*SUM(税费参数!$B$9:$B$10)/税费参数!$B$11</f>
        <v>197.8125</v>
      </c>
    </row>
    <row r="203" ht="21" customHeight="1" spans="1:13">
      <c r="A203" s="5" t="s">
        <v>15</v>
      </c>
      <c r="B203" s="6" t="s">
        <v>58</v>
      </c>
      <c r="C203" s="6" t="s">
        <v>152</v>
      </c>
      <c r="D203" s="6" t="s">
        <v>160</v>
      </c>
      <c r="E203" s="6" t="s">
        <v>293</v>
      </c>
      <c r="F203" s="6" t="s">
        <v>1645</v>
      </c>
      <c r="G203" s="6">
        <v>47.39</v>
      </c>
      <c r="H203" s="6">
        <v>46.76</v>
      </c>
      <c r="I203" s="6">
        <v>105.5</v>
      </c>
      <c r="J203" s="6">
        <v>2600</v>
      </c>
      <c r="K203" s="7">
        <f>(J203-M203)*税费参数!$B$12/(I203*10000*(1+SUM(税费参数!$B$6:$B$8)))</f>
        <v>0.0220528327002743</v>
      </c>
      <c r="L203" s="7">
        <f>J203*税费参数!$B$12/(I203*10000)</f>
        <v>0.0246445497630332</v>
      </c>
      <c r="M203" s="6">
        <f>I203*10000*SUM(税费参数!$B$9:$B$10)/税费参数!$B$11</f>
        <v>197.8125</v>
      </c>
    </row>
    <row r="204" ht="21" customHeight="1" spans="1:13">
      <c r="A204" s="5" t="s">
        <v>15</v>
      </c>
      <c r="B204" s="6" t="s">
        <v>58</v>
      </c>
      <c r="C204" s="6" t="s">
        <v>152</v>
      </c>
      <c r="D204" s="6" t="s">
        <v>160</v>
      </c>
      <c r="E204" s="6" t="s">
        <v>293</v>
      </c>
      <c r="F204" s="6" t="s">
        <v>1646</v>
      </c>
      <c r="G204" s="6">
        <v>47.39</v>
      </c>
      <c r="H204" s="6">
        <v>46.89</v>
      </c>
      <c r="I204" s="6">
        <v>105.5</v>
      </c>
      <c r="J204" s="6">
        <v>2600</v>
      </c>
      <c r="K204" s="7">
        <f>(J204-M204)*税费参数!$B$12/(I204*10000*(1+SUM(税费参数!$B$6:$B$8)))</f>
        <v>0.0220528327002743</v>
      </c>
      <c r="L204" s="7">
        <f>J204*税费参数!$B$12/(I204*10000)</f>
        <v>0.0246445497630332</v>
      </c>
      <c r="M204" s="6">
        <f>I204*10000*SUM(税费参数!$B$9:$B$10)/税费参数!$B$11</f>
        <v>197.8125</v>
      </c>
    </row>
    <row r="205" ht="21" customHeight="1" spans="1:13">
      <c r="A205" s="5" t="s">
        <v>15</v>
      </c>
      <c r="B205" s="6" t="s">
        <v>58</v>
      </c>
      <c r="C205" s="6" t="s">
        <v>152</v>
      </c>
      <c r="D205" s="6" t="s">
        <v>160</v>
      </c>
      <c r="E205" s="6" t="s">
        <v>293</v>
      </c>
      <c r="F205" s="6" t="s">
        <v>1647</v>
      </c>
      <c r="G205" s="6">
        <v>47.39</v>
      </c>
      <c r="H205" s="6">
        <v>46.89</v>
      </c>
      <c r="I205" s="6">
        <v>105.5</v>
      </c>
      <c r="J205" s="6">
        <v>2500</v>
      </c>
      <c r="K205" s="7">
        <f>(J205-M205)*税费参数!$B$12/(I205*10000*(1+SUM(税费参数!$B$6:$B$8)))</f>
        <v>0.0211348014183583</v>
      </c>
      <c r="L205" s="7">
        <f>J205*税费参数!$B$12/(I205*10000)</f>
        <v>0.023696682464455</v>
      </c>
      <c r="M205" s="6">
        <f>I205*10000*SUM(税费参数!$B$9:$B$10)/税费参数!$B$11</f>
        <v>197.8125</v>
      </c>
    </row>
    <row r="206" ht="21" customHeight="1" spans="1:13">
      <c r="A206" s="5" t="s">
        <v>15</v>
      </c>
      <c r="B206" s="6" t="s">
        <v>58</v>
      </c>
      <c r="C206" s="6" t="s">
        <v>152</v>
      </c>
      <c r="D206" s="6" t="s">
        <v>160</v>
      </c>
      <c r="E206" s="6" t="s">
        <v>321</v>
      </c>
      <c r="F206" s="6" t="s">
        <v>1642</v>
      </c>
      <c r="G206" s="6">
        <v>46.89</v>
      </c>
      <c r="H206" s="6">
        <v>46.89</v>
      </c>
      <c r="I206" s="6">
        <v>105</v>
      </c>
      <c r="J206" s="6">
        <v>2600</v>
      </c>
      <c r="K206" s="7">
        <f>(J206-M206)*税费参数!$B$12/(I206*10000*(1+SUM(税费参数!$B$6:$B$8)))</f>
        <v>0.0221664937161305</v>
      </c>
      <c r="L206" s="7">
        <f>J206*税费参数!$B$12/(I206*10000)</f>
        <v>0.0247619047619048</v>
      </c>
      <c r="M206" s="6">
        <f>I206*10000*SUM(税费参数!$B$9:$B$10)/税费参数!$B$11</f>
        <v>196.875</v>
      </c>
    </row>
    <row r="207" ht="21" customHeight="1" spans="1:13">
      <c r="A207" s="5" t="s">
        <v>15</v>
      </c>
      <c r="B207" s="6" t="s">
        <v>58</v>
      </c>
      <c r="C207" s="6" t="s">
        <v>152</v>
      </c>
      <c r="D207" s="6" t="s">
        <v>160</v>
      </c>
      <c r="E207" s="6" t="s">
        <v>321</v>
      </c>
      <c r="F207" s="6" t="s">
        <v>1643</v>
      </c>
      <c r="G207" s="6">
        <v>46.89</v>
      </c>
      <c r="H207" s="6">
        <v>46.76</v>
      </c>
      <c r="I207" s="6">
        <v>105</v>
      </c>
      <c r="J207" s="6">
        <v>2900</v>
      </c>
      <c r="K207" s="7">
        <f>(J207-M207)*税费参数!$B$12/(I207*10000*(1+SUM(税费参数!$B$6:$B$8)))</f>
        <v>0.0249337022944771</v>
      </c>
      <c r="L207" s="7">
        <f>J207*税费参数!$B$12/(I207*10000)</f>
        <v>0.0276190476190476</v>
      </c>
      <c r="M207" s="6">
        <f>I207*10000*SUM(税费参数!$B$9:$B$10)/税费参数!$B$11</f>
        <v>196.875</v>
      </c>
    </row>
    <row r="208" ht="21" customHeight="1" spans="1:13">
      <c r="A208" s="5" t="s">
        <v>15</v>
      </c>
      <c r="B208" s="6" t="s">
        <v>58</v>
      </c>
      <c r="C208" s="6" t="s">
        <v>152</v>
      </c>
      <c r="D208" s="6" t="s">
        <v>160</v>
      </c>
      <c r="E208" s="6" t="s">
        <v>321</v>
      </c>
      <c r="F208" s="6" t="s">
        <v>1644</v>
      </c>
      <c r="G208" s="6">
        <v>46.89</v>
      </c>
      <c r="H208" s="6">
        <v>46.57</v>
      </c>
      <c r="I208" s="6">
        <v>105</v>
      </c>
      <c r="J208" s="6">
        <v>3000</v>
      </c>
      <c r="K208" s="7">
        <f>(J208-M208)*税费参数!$B$12/(I208*10000*(1+SUM(税费参数!$B$6:$B$8)))</f>
        <v>0.025856105153926</v>
      </c>
      <c r="L208" s="7">
        <f>J208*税费参数!$B$12/(I208*10000)</f>
        <v>0.0285714285714286</v>
      </c>
      <c r="M208" s="6">
        <f>I208*10000*SUM(税费参数!$B$9:$B$10)/税费参数!$B$11</f>
        <v>196.875</v>
      </c>
    </row>
    <row r="209" ht="21" customHeight="1" spans="1:13">
      <c r="A209" s="5" t="s">
        <v>15</v>
      </c>
      <c r="B209" s="6" t="s">
        <v>58</v>
      </c>
      <c r="C209" s="6" t="s">
        <v>152</v>
      </c>
      <c r="D209" s="6" t="s">
        <v>160</v>
      </c>
      <c r="E209" s="6" t="s">
        <v>321</v>
      </c>
      <c r="F209" s="6" t="s">
        <v>1645</v>
      </c>
      <c r="G209" s="6">
        <v>46.89</v>
      </c>
      <c r="H209" s="6">
        <v>46.76</v>
      </c>
      <c r="I209" s="6">
        <v>105</v>
      </c>
      <c r="J209" s="6">
        <v>2600</v>
      </c>
      <c r="K209" s="7">
        <f>(J209-M209)*税费参数!$B$12/(I209*10000*(1+SUM(税费参数!$B$6:$B$8)))</f>
        <v>0.0221664937161305</v>
      </c>
      <c r="L209" s="7">
        <f>J209*税费参数!$B$12/(I209*10000)</f>
        <v>0.0247619047619048</v>
      </c>
      <c r="M209" s="6">
        <f>I209*10000*SUM(税费参数!$B$9:$B$10)/税费参数!$B$11</f>
        <v>196.875</v>
      </c>
    </row>
    <row r="210" ht="21" customHeight="1" spans="1:13">
      <c r="A210" s="5" t="s">
        <v>15</v>
      </c>
      <c r="B210" s="6" t="s">
        <v>58</v>
      </c>
      <c r="C210" s="6" t="s">
        <v>152</v>
      </c>
      <c r="D210" s="6" t="s">
        <v>160</v>
      </c>
      <c r="E210" s="6" t="s">
        <v>321</v>
      </c>
      <c r="F210" s="6" t="s">
        <v>1646</v>
      </c>
      <c r="G210" s="6">
        <v>46.89</v>
      </c>
      <c r="H210" s="6">
        <v>46.89</v>
      </c>
      <c r="I210" s="6">
        <v>105</v>
      </c>
      <c r="J210" s="6">
        <v>2600</v>
      </c>
      <c r="K210" s="7">
        <f>(J210-M210)*税费参数!$B$12/(I210*10000*(1+SUM(税费参数!$B$6:$B$8)))</f>
        <v>0.0221664937161305</v>
      </c>
      <c r="L210" s="7">
        <f>J210*税费参数!$B$12/(I210*10000)</f>
        <v>0.0247619047619048</v>
      </c>
      <c r="M210" s="6">
        <f>I210*10000*SUM(税费参数!$B$9:$B$10)/税费参数!$B$11</f>
        <v>196.875</v>
      </c>
    </row>
    <row r="211" ht="21" customHeight="1" spans="1:13">
      <c r="A211" s="5" t="s">
        <v>15</v>
      </c>
      <c r="B211" s="6" t="s">
        <v>58</v>
      </c>
      <c r="C211" s="6" t="s">
        <v>152</v>
      </c>
      <c r="D211" s="6" t="s">
        <v>160</v>
      </c>
      <c r="E211" s="6" t="s">
        <v>321</v>
      </c>
      <c r="F211" s="6" t="s">
        <v>1647</v>
      </c>
      <c r="G211" s="6">
        <v>46.89</v>
      </c>
      <c r="H211" s="6">
        <v>46.89</v>
      </c>
      <c r="I211" s="6">
        <v>105</v>
      </c>
      <c r="J211" s="6">
        <v>2500</v>
      </c>
      <c r="K211" s="7">
        <f>(J211-M211)*税费参数!$B$12/(I211*10000*(1+SUM(税费参数!$B$6:$B$8)))</f>
        <v>0.0212440908566817</v>
      </c>
      <c r="L211" s="7">
        <f>J211*税费参数!$B$12/(I211*10000)</f>
        <v>0.0238095238095238</v>
      </c>
      <c r="M211" s="6">
        <f>I211*10000*SUM(税费参数!$B$9:$B$10)/税费参数!$B$11</f>
        <v>196.875</v>
      </c>
    </row>
    <row r="212" ht="21" customHeight="1" spans="1:13">
      <c r="A212" s="5" t="s">
        <v>15</v>
      </c>
      <c r="B212" s="6" t="s">
        <v>58</v>
      </c>
      <c r="C212" s="6" t="s">
        <v>152</v>
      </c>
      <c r="D212" s="6" t="s">
        <v>153</v>
      </c>
      <c r="E212" s="6" t="s">
        <v>341</v>
      </c>
      <c r="F212" s="6" t="s">
        <v>1648</v>
      </c>
      <c r="G212" s="6">
        <v>46.89</v>
      </c>
      <c r="H212" s="6">
        <v>46.89</v>
      </c>
      <c r="I212" s="6">
        <v>88</v>
      </c>
      <c r="J212" s="6">
        <v>2600</v>
      </c>
      <c r="K212" s="7">
        <f>(J212-M212)*税费参数!$B$12/(I212*10000*(1+SUM(税费参数!$B$6:$B$8)))</f>
        <v>0.026799471714726</v>
      </c>
      <c r="L212" s="7">
        <f>J212*税费参数!$B$12/(I212*10000)</f>
        <v>0.0295454545454545</v>
      </c>
      <c r="M212" s="6">
        <f>I212*10000*SUM(税费参数!$B$9:$B$10)/税费参数!$B$11</f>
        <v>165</v>
      </c>
    </row>
    <row r="213" ht="21" customHeight="1" spans="1:13">
      <c r="A213" s="5" t="s">
        <v>15</v>
      </c>
      <c r="B213" s="6" t="s">
        <v>58</v>
      </c>
      <c r="C213" s="6" t="s">
        <v>152</v>
      </c>
      <c r="D213" s="6" t="s">
        <v>153</v>
      </c>
      <c r="E213" s="6" t="s">
        <v>341</v>
      </c>
      <c r="F213" s="6" t="s">
        <v>1649</v>
      </c>
      <c r="G213" s="6">
        <v>46.89</v>
      </c>
      <c r="H213" s="6">
        <v>48.73</v>
      </c>
      <c r="I213" s="6">
        <v>88</v>
      </c>
      <c r="J213" s="6">
        <v>2600</v>
      </c>
      <c r="K213" s="7">
        <f>(J213-M213)*税费参数!$B$12/(I213*10000*(1+SUM(税费参数!$B$6:$B$8)))</f>
        <v>0.026799471714726</v>
      </c>
      <c r="L213" s="7">
        <f>J213*税费参数!$B$12/(I213*10000)</f>
        <v>0.0295454545454545</v>
      </c>
      <c r="M213" s="6">
        <f>I213*10000*SUM(税费参数!$B$9:$B$10)/税费参数!$B$11</f>
        <v>165</v>
      </c>
    </row>
    <row r="214" ht="21" customHeight="1" spans="1:13">
      <c r="A214" s="5" t="s">
        <v>15</v>
      </c>
      <c r="B214" s="6" t="s">
        <v>58</v>
      </c>
      <c r="C214" s="6" t="s">
        <v>152</v>
      </c>
      <c r="D214" s="6" t="s">
        <v>153</v>
      </c>
      <c r="E214" s="6" t="s">
        <v>341</v>
      </c>
      <c r="F214" s="6" t="s">
        <v>1650</v>
      </c>
      <c r="G214" s="6">
        <v>46.89</v>
      </c>
      <c r="H214" s="6">
        <v>46.78</v>
      </c>
      <c r="I214" s="6">
        <v>88</v>
      </c>
      <c r="J214" s="6">
        <v>2900</v>
      </c>
      <c r="K214" s="7">
        <f>(J214-M214)*税费参数!$B$12/(I214*10000*(1+SUM(税费参数!$B$6:$B$8)))</f>
        <v>0.0301012546775259</v>
      </c>
      <c r="L214" s="7">
        <f>J214*税费参数!$B$12/(I214*10000)</f>
        <v>0.0329545454545455</v>
      </c>
      <c r="M214" s="6">
        <f>I214*10000*SUM(税费参数!$B$9:$B$10)/税费参数!$B$11</f>
        <v>165</v>
      </c>
    </row>
    <row r="215" ht="21" customHeight="1" spans="1:13">
      <c r="A215" s="5" t="s">
        <v>15</v>
      </c>
      <c r="B215" s="6" t="s">
        <v>58</v>
      </c>
      <c r="C215" s="6" t="s">
        <v>152</v>
      </c>
      <c r="D215" s="6" t="s">
        <v>153</v>
      </c>
      <c r="E215" s="6" t="s">
        <v>341</v>
      </c>
      <c r="F215" s="6" t="s">
        <v>1651</v>
      </c>
      <c r="G215" s="6">
        <v>46.89</v>
      </c>
      <c r="H215" s="6">
        <v>47.48</v>
      </c>
      <c r="I215" s="6">
        <v>88</v>
      </c>
      <c r="J215" s="6">
        <v>2600</v>
      </c>
      <c r="K215" s="7">
        <f>(J215-M215)*税费参数!$B$12/(I215*10000*(1+SUM(税费参数!$B$6:$B$8)))</f>
        <v>0.026799471714726</v>
      </c>
      <c r="L215" s="7">
        <f>J215*税费参数!$B$12/(I215*10000)</f>
        <v>0.0295454545454545</v>
      </c>
      <c r="M215" s="6">
        <f>I215*10000*SUM(税费参数!$B$9:$B$10)/税费参数!$B$11</f>
        <v>165</v>
      </c>
    </row>
    <row r="216" ht="21" customHeight="1" spans="1:13">
      <c r="A216" s="5" t="s">
        <v>15</v>
      </c>
      <c r="B216" s="6" t="s">
        <v>58</v>
      </c>
      <c r="C216" s="6" t="s">
        <v>152</v>
      </c>
      <c r="D216" s="6" t="s">
        <v>153</v>
      </c>
      <c r="E216" s="6" t="s">
        <v>329</v>
      </c>
      <c r="F216" s="6" t="s">
        <v>1648</v>
      </c>
      <c r="G216" s="6">
        <v>46.77</v>
      </c>
      <c r="H216" s="6">
        <v>46.89</v>
      </c>
      <c r="I216" s="6">
        <v>104</v>
      </c>
      <c r="J216" s="6">
        <v>2600</v>
      </c>
      <c r="K216" s="7">
        <f>(J216-M216)*税费参数!$B$12/(I216*10000*(1+SUM(税费参数!$B$6:$B$8)))</f>
        <v>0.0223970944309927</v>
      </c>
      <c r="L216" s="7">
        <f>J216*税费参数!$B$12/(I216*10000)</f>
        <v>0.025</v>
      </c>
      <c r="M216" s="6">
        <f>I216*10000*SUM(税费参数!$B$9:$B$10)/税费参数!$B$11</f>
        <v>195</v>
      </c>
    </row>
    <row r="217" ht="21" customHeight="1" spans="1:13">
      <c r="A217" s="5" t="s">
        <v>15</v>
      </c>
      <c r="B217" s="6" t="s">
        <v>58</v>
      </c>
      <c r="C217" s="6" t="s">
        <v>152</v>
      </c>
      <c r="D217" s="6" t="s">
        <v>153</v>
      </c>
      <c r="E217" s="6" t="s">
        <v>329</v>
      </c>
      <c r="F217" s="6" t="s">
        <v>1649</v>
      </c>
      <c r="G217" s="6">
        <v>46.77</v>
      </c>
      <c r="H217" s="6">
        <v>48.73</v>
      </c>
      <c r="I217" s="6">
        <v>104</v>
      </c>
      <c r="J217" s="6">
        <v>2600</v>
      </c>
      <c r="K217" s="7">
        <f>(J217-M217)*税费参数!$B$12/(I217*10000*(1+SUM(税费参数!$B$6:$B$8)))</f>
        <v>0.0223970944309927</v>
      </c>
      <c r="L217" s="7">
        <f>J217*税费参数!$B$12/(I217*10000)</f>
        <v>0.025</v>
      </c>
      <c r="M217" s="6">
        <f>I217*10000*SUM(税费参数!$B$9:$B$10)/税费参数!$B$11</f>
        <v>195</v>
      </c>
    </row>
    <row r="218" ht="21" customHeight="1" spans="1:13">
      <c r="A218" s="5" t="s">
        <v>15</v>
      </c>
      <c r="B218" s="6" t="s">
        <v>58</v>
      </c>
      <c r="C218" s="6" t="s">
        <v>152</v>
      </c>
      <c r="D218" s="6" t="s">
        <v>153</v>
      </c>
      <c r="E218" s="6" t="s">
        <v>329</v>
      </c>
      <c r="F218" s="6" t="s">
        <v>1650</v>
      </c>
      <c r="G218" s="6">
        <v>46.77</v>
      </c>
      <c r="H218" s="6">
        <v>46.78</v>
      </c>
      <c r="I218" s="6">
        <v>104</v>
      </c>
      <c r="J218" s="6">
        <v>2900</v>
      </c>
      <c r="K218" s="7">
        <f>(J218-M218)*税费参数!$B$12/(I218*10000*(1+SUM(税费参数!$B$6:$B$8)))</f>
        <v>0.0251909107841311</v>
      </c>
      <c r="L218" s="7">
        <f>J218*税费参数!$B$12/(I218*10000)</f>
        <v>0.0278846153846154</v>
      </c>
      <c r="M218" s="6">
        <f>I218*10000*SUM(税费参数!$B$9:$B$10)/税费参数!$B$11</f>
        <v>195</v>
      </c>
    </row>
    <row r="219" ht="21" customHeight="1" spans="1:13">
      <c r="A219" s="5" t="s">
        <v>15</v>
      </c>
      <c r="B219" s="6" t="s">
        <v>58</v>
      </c>
      <c r="C219" s="6" t="s">
        <v>152</v>
      </c>
      <c r="D219" s="6" t="s">
        <v>153</v>
      </c>
      <c r="E219" s="6" t="s">
        <v>329</v>
      </c>
      <c r="F219" s="6" t="s">
        <v>1651</v>
      </c>
      <c r="G219" s="6">
        <v>46.77</v>
      </c>
      <c r="H219" s="6">
        <v>47.48</v>
      </c>
      <c r="I219" s="6">
        <v>104</v>
      </c>
      <c r="J219" s="6">
        <v>2600</v>
      </c>
      <c r="K219" s="7">
        <f>(J219-M219)*税费参数!$B$12/(I219*10000*(1+SUM(税费参数!$B$6:$B$8)))</f>
        <v>0.0223970944309927</v>
      </c>
      <c r="L219" s="7">
        <f>J219*税费参数!$B$12/(I219*10000)</f>
        <v>0.025</v>
      </c>
      <c r="M219" s="6">
        <f>I219*10000*SUM(税费参数!$B$9:$B$10)/税费参数!$B$11</f>
        <v>195</v>
      </c>
    </row>
    <row r="220" ht="21" customHeight="1" spans="1:13">
      <c r="A220" s="5" t="s">
        <v>15</v>
      </c>
      <c r="B220" s="6" t="s">
        <v>58</v>
      </c>
      <c r="C220" s="6" t="s">
        <v>152</v>
      </c>
      <c r="D220" s="6" t="s">
        <v>153</v>
      </c>
      <c r="E220" s="6" t="s">
        <v>339</v>
      </c>
      <c r="F220" s="6" t="s">
        <v>1648</v>
      </c>
      <c r="G220" s="6">
        <v>46.89</v>
      </c>
      <c r="H220" s="6">
        <v>46.89</v>
      </c>
      <c r="I220" s="6">
        <v>98</v>
      </c>
      <c r="J220" s="6">
        <v>2600</v>
      </c>
      <c r="K220" s="7">
        <f>(J220-M220)*税费参数!$B$12/(I220*10000*(1+SUM(税费参数!$B$6:$B$8)))</f>
        <v>0.0238795275979641</v>
      </c>
      <c r="L220" s="7">
        <f>J220*税费参数!$B$12/(I220*10000)</f>
        <v>0.026530612244898</v>
      </c>
      <c r="M220" s="6">
        <f>I220*10000*SUM(税费参数!$B$9:$B$10)/税费参数!$B$11</f>
        <v>183.75</v>
      </c>
    </row>
    <row r="221" ht="21" customHeight="1" spans="1:13">
      <c r="A221" s="5" t="s">
        <v>15</v>
      </c>
      <c r="B221" s="6" t="s">
        <v>58</v>
      </c>
      <c r="C221" s="6" t="s">
        <v>152</v>
      </c>
      <c r="D221" s="6" t="s">
        <v>153</v>
      </c>
      <c r="E221" s="6" t="s">
        <v>339</v>
      </c>
      <c r="F221" s="6" t="s">
        <v>1649</v>
      </c>
      <c r="G221" s="6">
        <v>46.89</v>
      </c>
      <c r="H221" s="6">
        <v>48.73</v>
      </c>
      <c r="I221" s="6">
        <v>98</v>
      </c>
      <c r="J221" s="6">
        <v>2600</v>
      </c>
      <c r="K221" s="7">
        <f>(J221-M221)*税费参数!$B$12/(I221*10000*(1+SUM(税费参数!$B$6:$B$8)))</f>
        <v>0.0238795275979641</v>
      </c>
      <c r="L221" s="7">
        <f>J221*税费参数!$B$12/(I221*10000)</f>
        <v>0.026530612244898</v>
      </c>
      <c r="M221" s="6">
        <f>I221*10000*SUM(税费参数!$B$9:$B$10)/税费参数!$B$11</f>
        <v>183.75</v>
      </c>
    </row>
    <row r="222" ht="21" customHeight="1" spans="1:13">
      <c r="A222" s="5" t="s">
        <v>15</v>
      </c>
      <c r="B222" s="6" t="s">
        <v>58</v>
      </c>
      <c r="C222" s="6" t="s">
        <v>152</v>
      </c>
      <c r="D222" s="6" t="s">
        <v>153</v>
      </c>
      <c r="E222" s="6" t="s">
        <v>339</v>
      </c>
      <c r="F222" s="6" t="s">
        <v>1650</v>
      </c>
      <c r="G222" s="6">
        <v>46.89</v>
      </c>
      <c r="H222" s="6">
        <v>46.78</v>
      </c>
      <c r="I222" s="6">
        <v>98</v>
      </c>
      <c r="J222" s="6">
        <v>2900</v>
      </c>
      <c r="K222" s="7">
        <f>(J222-M222)*税费参数!$B$12/(I222*10000*(1+SUM(税费参数!$B$6:$B$8)))</f>
        <v>0.0268443939319069</v>
      </c>
      <c r="L222" s="7">
        <f>J222*税费参数!$B$12/(I222*10000)</f>
        <v>0.0295918367346939</v>
      </c>
      <c r="M222" s="6">
        <f>I222*10000*SUM(税费参数!$B$9:$B$10)/税费参数!$B$11</f>
        <v>183.75</v>
      </c>
    </row>
    <row r="223" ht="21" customHeight="1" spans="1:13">
      <c r="A223" s="5" t="s">
        <v>15</v>
      </c>
      <c r="B223" s="6" t="s">
        <v>58</v>
      </c>
      <c r="C223" s="6" t="s">
        <v>152</v>
      </c>
      <c r="D223" s="6" t="s">
        <v>153</v>
      </c>
      <c r="E223" s="6" t="s">
        <v>339</v>
      </c>
      <c r="F223" s="6" t="s">
        <v>1651</v>
      </c>
      <c r="G223" s="6">
        <v>46.89</v>
      </c>
      <c r="H223" s="6">
        <v>47.48</v>
      </c>
      <c r="I223" s="6">
        <v>98</v>
      </c>
      <c r="J223" s="6">
        <v>2600</v>
      </c>
      <c r="K223" s="7">
        <f>(J223-M223)*税费参数!$B$12/(I223*10000*(1+SUM(税费参数!$B$6:$B$8)))</f>
        <v>0.0238795275979641</v>
      </c>
      <c r="L223" s="7">
        <f>J223*税费参数!$B$12/(I223*10000)</f>
        <v>0.026530612244898</v>
      </c>
      <c r="M223" s="6">
        <f>I223*10000*SUM(税费参数!$B$9:$B$10)/税费参数!$B$11</f>
        <v>183.75</v>
      </c>
    </row>
    <row r="224" ht="21" customHeight="1" spans="1:13">
      <c r="A224" s="5" t="s">
        <v>15</v>
      </c>
      <c r="B224" s="6" t="s">
        <v>58</v>
      </c>
      <c r="C224" s="6" t="s">
        <v>152</v>
      </c>
      <c r="D224" s="6" t="s">
        <v>153</v>
      </c>
      <c r="E224" s="6" t="s">
        <v>337</v>
      </c>
      <c r="F224" s="6" t="s">
        <v>1648</v>
      </c>
      <c r="G224" s="6">
        <v>46.81</v>
      </c>
      <c r="H224" s="6">
        <v>46.89</v>
      </c>
      <c r="I224" s="6">
        <v>105</v>
      </c>
      <c r="J224" s="6">
        <v>2600</v>
      </c>
      <c r="K224" s="7">
        <f>(J224-M224)*税费参数!$B$12/(I224*10000*(1+SUM(税费参数!$B$6:$B$8)))</f>
        <v>0.0221664937161305</v>
      </c>
      <c r="L224" s="7">
        <f>J224*税费参数!$B$12/(I224*10000)</f>
        <v>0.0247619047619048</v>
      </c>
      <c r="M224" s="6">
        <f>I224*10000*SUM(税费参数!$B$9:$B$10)/税费参数!$B$11</f>
        <v>196.875</v>
      </c>
    </row>
    <row r="225" ht="21" customHeight="1" spans="1:13">
      <c r="A225" s="5" t="s">
        <v>15</v>
      </c>
      <c r="B225" s="6" t="s">
        <v>58</v>
      </c>
      <c r="C225" s="6" t="s">
        <v>152</v>
      </c>
      <c r="D225" s="6" t="s">
        <v>153</v>
      </c>
      <c r="E225" s="6" t="s">
        <v>337</v>
      </c>
      <c r="F225" s="6" t="s">
        <v>1649</v>
      </c>
      <c r="G225" s="6">
        <v>46.81</v>
      </c>
      <c r="H225" s="6">
        <v>48.73</v>
      </c>
      <c r="I225" s="6">
        <v>105</v>
      </c>
      <c r="J225" s="6">
        <v>2600</v>
      </c>
      <c r="K225" s="7">
        <f>(J225-M225)*税费参数!$B$12/(I225*10000*(1+SUM(税费参数!$B$6:$B$8)))</f>
        <v>0.0221664937161305</v>
      </c>
      <c r="L225" s="7">
        <f>J225*税费参数!$B$12/(I225*10000)</f>
        <v>0.0247619047619048</v>
      </c>
      <c r="M225" s="6">
        <f>I225*10000*SUM(税费参数!$B$9:$B$10)/税费参数!$B$11</f>
        <v>196.875</v>
      </c>
    </row>
    <row r="226" ht="21" customHeight="1" spans="1:13">
      <c r="A226" s="5" t="s">
        <v>15</v>
      </c>
      <c r="B226" s="6" t="s">
        <v>58</v>
      </c>
      <c r="C226" s="6" t="s">
        <v>152</v>
      </c>
      <c r="D226" s="6" t="s">
        <v>153</v>
      </c>
      <c r="E226" s="6" t="s">
        <v>337</v>
      </c>
      <c r="F226" s="6" t="s">
        <v>1650</v>
      </c>
      <c r="G226" s="6">
        <v>46.81</v>
      </c>
      <c r="H226" s="6">
        <v>46.78</v>
      </c>
      <c r="I226" s="6">
        <v>105</v>
      </c>
      <c r="J226" s="6">
        <v>2900</v>
      </c>
      <c r="K226" s="7">
        <f>(J226-M226)*税费参数!$B$12/(I226*10000*(1+SUM(税费参数!$B$6:$B$8)))</f>
        <v>0.0249337022944771</v>
      </c>
      <c r="L226" s="7">
        <f>J226*税费参数!$B$12/(I226*10000)</f>
        <v>0.0276190476190476</v>
      </c>
      <c r="M226" s="6">
        <f>I226*10000*SUM(税费参数!$B$9:$B$10)/税费参数!$B$11</f>
        <v>196.875</v>
      </c>
    </row>
    <row r="227" ht="21" customHeight="1" spans="1:13">
      <c r="A227" s="5" t="s">
        <v>15</v>
      </c>
      <c r="B227" s="6" t="s">
        <v>58</v>
      </c>
      <c r="C227" s="6" t="s">
        <v>152</v>
      </c>
      <c r="D227" s="6" t="s">
        <v>153</v>
      </c>
      <c r="E227" s="6" t="s">
        <v>337</v>
      </c>
      <c r="F227" s="6" t="s">
        <v>1651</v>
      </c>
      <c r="G227" s="6">
        <v>46.81</v>
      </c>
      <c r="H227" s="6">
        <v>47.48</v>
      </c>
      <c r="I227" s="6">
        <v>105</v>
      </c>
      <c r="J227" s="6">
        <v>2600</v>
      </c>
      <c r="K227" s="7">
        <f>(J227-M227)*税费参数!$B$12/(I227*10000*(1+SUM(税费参数!$B$6:$B$8)))</f>
        <v>0.0221664937161305</v>
      </c>
      <c r="L227" s="7">
        <f>J227*税费参数!$B$12/(I227*10000)</f>
        <v>0.0247619047619048</v>
      </c>
      <c r="M227" s="6">
        <f>I227*10000*SUM(税费参数!$B$9:$B$10)/税费参数!$B$11</f>
        <v>196.875</v>
      </c>
    </row>
    <row r="228" ht="21" customHeight="1" spans="1:13">
      <c r="A228" s="5" t="s">
        <v>15</v>
      </c>
      <c r="B228" s="6" t="s">
        <v>58</v>
      </c>
      <c r="C228" s="6" t="s">
        <v>152</v>
      </c>
      <c r="D228" s="6" t="s">
        <v>153</v>
      </c>
      <c r="E228" s="6" t="s">
        <v>323</v>
      </c>
      <c r="F228" s="6" t="s">
        <v>1648</v>
      </c>
      <c r="G228" s="6">
        <v>48.73</v>
      </c>
      <c r="H228" s="6">
        <v>46.89</v>
      </c>
      <c r="I228" s="6">
        <v>120</v>
      </c>
      <c r="J228" s="6">
        <v>2600</v>
      </c>
      <c r="K228" s="7">
        <f>(J228-M228)*税费参数!$B$12/(I228*10000*(1+SUM(税费参数!$B$6:$B$8)))</f>
        <v>0.0191686844229217</v>
      </c>
      <c r="L228" s="7">
        <f>J228*税费参数!$B$12/(I228*10000)</f>
        <v>0.0216666666666667</v>
      </c>
      <c r="M228" s="6">
        <f>I228*10000*SUM(税费参数!$B$9:$B$10)/税费参数!$B$11</f>
        <v>225</v>
      </c>
    </row>
    <row r="229" ht="21" customHeight="1" spans="1:13">
      <c r="A229" s="5" t="s">
        <v>15</v>
      </c>
      <c r="B229" s="6" t="s">
        <v>58</v>
      </c>
      <c r="C229" s="6" t="s">
        <v>152</v>
      </c>
      <c r="D229" s="6" t="s">
        <v>153</v>
      </c>
      <c r="E229" s="6" t="s">
        <v>323</v>
      </c>
      <c r="F229" s="6" t="s">
        <v>1649</v>
      </c>
      <c r="G229" s="6">
        <v>48.73</v>
      </c>
      <c r="H229" s="6">
        <v>48.73</v>
      </c>
      <c r="I229" s="6">
        <v>120</v>
      </c>
      <c r="J229" s="6">
        <v>2600</v>
      </c>
      <c r="K229" s="7">
        <f>(J229-M229)*税费参数!$B$12/(I229*10000*(1+SUM(税费参数!$B$6:$B$8)))</f>
        <v>0.0191686844229217</v>
      </c>
      <c r="L229" s="7">
        <f>J229*税费参数!$B$12/(I229*10000)</f>
        <v>0.0216666666666667</v>
      </c>
      <c r="M229" s="6">
        <f>I229*10000*SUM(税费参数!$B$9:$B$10)/税费参数!$B$11</f>
        <v>225</v>
      </c>
    </row>
    <row r="230" ht="21" customHeight="1" spans="1:13">
      <c r="A230" s="5" t="s">
        <v>15</v>
      </c>
      <c r="B230" s="6" t="s">
        <v>58</v>
      </c>
      <c r="C230" s="6" t="s">
        <v>152</v>
      </c>
      <c r="D230" s="6" t="s">
        <v>153</v>
      </c>
      <c r="E230" s="6" t="s">
        <v>323</v>
      </c>
      <c r="F230" s="6" t="s">
        <v>1650</v>
      </c>
      <c r="G230" s="6">
        <v>48.73</v>
      </c>
      <c r="H230" s="6">
        <v>46.78</v>
      </c>
      <c r="I230" s="6">
        <v>120</v>
      </c>
      <c r="J230" s="6">
        <v>2900</v>
      </c>
      <c r="K230" s="7">
        <f>(J230-M230)*税费参数!$B$12/(I230*10000*(1+SUM(税费参数!$B$6:$B$8)))</f>
        <v>0.021589991928975</v>
      </c>
      <c r="L230" s="7">
        <f>J230*税费参数!$B$12/(I230*10000)</f>
        <v>0.0241666666666667</v>
      </c>
      <c r="M230" s="6">
        <f>I230*10000*SUM(税费参数!$B$9:$B$10)/税费参数!$B$11</f>
        <v>225</v>
      </c>
    </row>
    <row r="231" ht="21" customHeight="1" spans="1:13">
      <c r="A231" s="5" t="s">
        <v>15</v>
      </c>
      <c r="B231" s="6" t="s">
        <v>58</v>
      </c>
      <c r="C231" s="6" t="s">
        <v>152</v>
      </c>
      <c r="D231" s="6" t="s">
        <v>153</v>
      </c>
      <c r="E231" s="6" t="s">
        <v>323</v>
      </c>
      <c r="F231" s="6" t="s">
        <v>1651</v>
      </c>
      <c r="G231" s="6">
        <v>48.73</v>
      </c>
      <c r="H231" s="6">
        <v>47.48</v>
      </c>
      <c r="I231" s="6">
        <v>120</v>
      </c>
      <c r="J231" s="6">
        <v>2600</v>
      </c>
      <c r="K231" s="7">
        <f>(J231-M231)*税费参数!$B$12/(I231*10000*(1+SUM(税费参数!$B$6:$B$8)))</f>
        <v>0.0191686844229217</v>
      </c>
      <c r="L231" s="7">
        <f>J231*税费参数!$B$12/(I231*10000)</f>
        <v>0.0216666666666667</v>
      </c>
      <c r="M231" s="6">
        <f>I231*10000*SUM(税费参数!$B$9:$B$10)/税费参数!$B$11</f>
        <v>225</v>
      </c>
    </row>
    <row r="232" ht="21" customHeight="1" spans="1:13">
      <c r="A232" s="5" t="s">
        <v>15</v>
      </c>
      <c r="B232" s="6" t="s">
        <v>58</v>
      </c>
      <c r="C232" s="6" t="s">
        <v>152</v>
      </c>
      <c r="D232" s="6" t="s">
        <v>153</v>
      </c>
      <c r="E232" s="6" t="s">
        <v>331</v>
      </c>
      <c r="F232" s="6" t="s">
        <v>1648</v>
      </c>
      <c r="G232" s="6">
        <v>46.77</v>
      </c>
      <c r="H232" s="6">
        <v>46.89</v>
      </c>
      <c r="I232" s="6">
        <v>105</v>
      </c>
      <c r="J232" s="6">
        <v>2600</v>
      </c>
      <c r="K232" s="7">
        <f>(J232-M232)*税费参数!$B$12/(I232*10000*(1+SUM(税费参数!$B$6:$B$8)))</f>
        <v>0.0221664937161305</v>
      </c>
      <c r="L232" s="7">
        <f>J232*税费参数!$B$12/(I232*10000)</f>
        <v>0.0247619047619048</v>
      </c>
      <c r="M232" s="6">
        <f>I232*10000*SUM(税费参数!$B$9:$B$10)/税费参数!$B$11</f>
        <v>196.875</v>
      </c>
    </row>
    <row r="233" ht="21" customHeight="1" spans="1:13">
      <c r="A233" s="5" t="s">
        <v>15</v>
      </c>
      <c r="B233" s="6" t="s">
        <v>58</v>
      </c>
      <c r="C233" s="6" t="s">
        <v>152</v>
      </c>
      <c r="D233" s="6" t="s">
        <v>153</v>
      </c>
      <c r="E233" s="6" t="s">
        <v>331</v>
      </c>
      <c r="F233" s="6" t="s">
        <v>1649</v>
      </c>
      <c r="G233" s="6">
        <v>46.77</v>
      </c>
      <c r="H233" s="6">
        <v>48.73</v>
      </c>
      <c r="I233" s="6">
        <v>105</v>
      </c>
      <c r="J233" s="6">
        <v>2600</v>
      </c>
      <c r="K233" s="7">
        <f>(J233-M233)*税费参数!$B$12/(I233*10000*(1+SUM(税费参数!$B$6:$B$8)))</f>
        <v>0.0221664937161305</v>
      </c>
      <c r="L233" s="7">
        <f>J233*税费参数!$B$12/(I233*10000)</f>
        <v>0.0247619047619048</v>
      </c>
      <c r="M233" s="6">
        <f>I233*10000*SUM(税费参数!$B$9:$B$10)/税费参数!$B$11</f>
        <v>196.875</v>
      </c>
    </row>
    <row r="234" ht="21" customHeight="1" spans="1:13">
      <c r="A234" s="5" t="s">
        <v>15</v>
      </c>
      <c r="B234" s="6" t="s">
        <v>58</v>
      </c>
      <c r="C234" s="6" t="s">
        <v>152</v>
      </c>
      <c r="D234" s="6" t="s">
        <v>153</v>
      </c>
      <c r="E234" s="6" t="s">
        <v>331</v>
      </c>
      <c r="F234" s="6" t="s">
        <v>1650</v>
      </c>
      <c r="G234" s="6">
        <v>46.77</v>
      </c>
      <c r="H234" s="6">
        <v>46.78</v>
      </c>
      <c r="I234" s="6">
        <v>105</v>
      </c>
      <c r="J234" s="6">
        <v>2900</v>
      </c>
      <c r="K234" s="7">
        <f>(J234-M234)*税费参数!$B$12/(I234*10000*(1+SUM(税费参数!$B$6:$B$8)))</f>
        <v>0.0249337022944771</v>
      </c>
      <c r="L234" s="7">
        <f>J234*税费参数!$B$12/(I234*10000)</f>
        <v>0.0276190476190476</v>
      </c>
      <c r="M234" s="6">
        <f>I234*10000*SUM(税费参数!$B$9:$B$10)/税费参数!$B$11</f>
        <v>196.875</v>
      </c>
    </row>
    <row r="235" ht="21" customHeight="1" spans="1:13">
      <c r="A235" s="5" t="s">
        <v>15</v>
      </c>
      <c r="B235" s="6" t="s">
        <v>58</v>
      </c>
      <c r="C235" s="6" t="s">
        <v>152</v>
      </c>
      <c r="D235" s="6" t="s">
        <v>153</v>
      </c>
      <c r="E235" s="6" t="s">
        <v>331</v>
      </c>
      <c r="F235" s="6" t="s">
        <v>1651</v>
      </c>
      <c r="G235" s="6">
        <v>46.77</v>
      </c>
      <c r="H235" s="6">
        <v>47.48</v>
      </c>
      <c r="I235" s="6">
        <v>105</v>
      </c>
      <c r="J235" s="6">
        <v>2600</v>
      </c>
      <c r="K235" s="7">
        <f>(J235-M235)*税费参数!$B$12/(I235*10000*(1+SUM(税费参数!$B$6:$B$8)))</f>
        <v>0.0221664937161305</v>
      </c>
      <c r="L235" s="7">
        <f>J235*税费参数!$B$12/(I235*10000)</f>
        <v>0.0247619047619048</v>
      </c>
      <c r="M235" s="6">
        <f>I235*10000*SUM(税费参数!$B$9:$B$10)/税费参数!$B$11</f>
        <v>196.875</v>
      </c>
    </row>
    <row r="236" ht="21" customHeight="1" spans="1:13">
      <c r="A236" s="5" t="s">
        <v>15</v>
      </c>
      <c r="B236" s="6" t="s">
        <v>58</v>
      </c>
      <c r="C236" s="6" t="s">
        <v>152</v>
      </c>
      <c r="D236" s="6" t="s">
        <v>153</v>
      </c>
      <c r="E236" s="6" t="s">
        <v>335</v>
      </c>
      <c r="F236" s="6" t="s">
        <v>1648</v>
      </c>
      <c r="G236" s="6">
        <v>46.89</v>
      </c>
      <c r="H236" s="6">
        <v>46.89</v>
      </c>
      <c r="I236" s="6">
        <v>115</v>
      </c>
      <c r="J236" s="6">
        <v>2600</v>
      </c>
      <c r="K236" s="7">
        <f>(J236-M236)*税费参数!$B$12/(I236*10000*(1+SUM(税费参数!$B$6:$B$8)))</f>
        <v>0.0200810611643331</v>
      </c>
      <c r="L236" s="7">
        <f>J236*税费参数!$B$12/(I236*10000)</f>
        <v>0.0226086956521739</v>
      </c>
      <c r="M236" s="6">
        <f>I236*10000*SUM(税费参数!$B$9:$B$10)/税费参数!$B$11</f>
        <v>215.625</v>
      </c>
    </row>
    <row r="237" ht="21" customHeight="1" spans="1:13">
      <c r="A237" s="5" t="s">
        <v>15</v>
      </c>
      <c r="B237" s="6" t="s">
        <v>58</v>
      </c>
      <c r="C237" s="6" t="s">
        <v>152</v>
      </c>
      <c r="D237" s="6" t="s">
        <v>153</v>
      </c>
      <c r="E237" s="6" t="s">
        <v>335</v>
      </c>
      <c r="F237" s="6" t="s">
        <v>1649</v>
      </c>
      <c r="G237" s="6">
        <v>46.89</v>
      </c>
      <c r="H237" s="6">
        <v>48.73</v>
      </c>
      <c r="I237" s="6">
        <v>115</v>
      </c>
      <c r="J237" s="6">
        <v>2600</v>
      </c>
      <c r="K237" s="7">
        <f>(J237-M237)*税费参数!$B$12/(I237*10000*(1+SUM(税费参数!$B$6:$B$8)))</f>
        <v>0.0200810611643331</v>
      </c>
      <c r="L237" s="7">
        <f>J237*税费参数!$B$12/(I237*10000)</f>
        <v>0.0226086956521739</v>
      </c>
      <c r="M237" s="6">
        <f>I237*10000*SUM(税费参数!$B$9:$B$10)/税费参数!$B$11</f>
        <v>215.625</v>
      </c>
    </row>
    <row r="238" ht="21" customHeight="1" spans="1:13">
      <c r="A238" s="5" t="s">
        <v>15</v>
      </c>
      <c r="B238" s="6" t="s">
        <v>58</v>
      </c>
      <c r="C238" s="6" t="s">
        <v>152</v>
      </c>
      <c r="D238" s="6" t="s">
        <v>153</v>
      </c>
      <c r="E238" s="6" t="s">
        <v>335</v>
      </c>
      <c r="F238" s="6" t="s">
        <v>1650</v>
      </c>
      <c r="G238" s="6">
        <v>46.89</v>
      </c>
      <c r="H238" s="6">
        <v>46.78</v>
      </c>
      <c r="I238" s="6">
        <v>115</v>
      </c>
      <c r="J238" s="6">
        <v>2900</v>
      </c>
      <c r="K238" s="7">
        <f>(J238-M238)*税费参数!$B$12/(I238*10000*(1+SUM(税费参数!$B$6:$B$8)))</f>
        <v>0.02260764290978</v>
      </c>
      <c r="L238" s="7">
        <f>J238*税费参数!$B$12/(I238*10000)</f>
        <v>0.0252173913043478</v>
      </c>
      <c r="M238" s="6">
        <f>I238*10000*SUM(税费参数!$B$9:$B$10)/税费参数!$B$11</f>
        <v>215.625</v>
      </c>
    </row>
    <row r="239" ht="21" customHeight="1" spans="1:13">
      <c r="A239" s="5" t="s">
        <v>15</v>
      </c>
      <c r="B239" s="6" t="s">
        <v>58</v>
      </c>
      <c r="C239" s="6" t="s">
        <v>152</v>
      </c>
      <c r="D239" s="6" t="s">
        <v>153</v>
      </c>
      <c r="E239" s="6" t="s">
        <v>335</v>
      </c>
      <c r="F239" s="6" t="s">
        <v>1651</v>
      </c>
      <c r="G239" s="6">
        <v>46.89</v>
      </c>
      <c r="H239" s="6">
        <v>47.48</v>
      </c>
      <c r="I239" s="6">
        <v>115</v>
      </c>
      <c r="J239" s="6">
        <v>2600</v>
      </c>
      <c r="K239" s="7">
        <f>(J239-M239)*税费参数!$B$12/(I239*10000*(1+SUM(税费参数!$B$6:$B$8)))</f>
        <v>0.0200810611643331</v>
      </c>
      <c r="L239" s="7">
        <f>J239*税费参数!$B$12/(I239*10000)</f>
        <v>0.0226086956521739</v>
      </c>
      <c r="M239" s="6">
        <f>I239*10000*SUM(税费参数!$B$9:$B$10)/税费参数!$B$11</f>
        <v>215.625</v>
      </c>
    </row>
    <row r="240" ht="21" customHeight="1" spans="1:13">
      <c r="A240" s="5" t="s">
        <v>15</v>
      </c>
      <c r="B240" s="6" t="s">
        <v>58</v>
      </c>
      <c r="C240" s="6" t="s">
        <v>152</v>
      </c>
      <c r="D240" s="6" t="s">
        <v>153</v>
      </c>
      <c r="E240" s="6" t="s">
        <v>333</v>
      </c>
      <c r="F240" s="6" t="s">
        <v>1648</v>
      </c>
      <c r="G240" s="6">
        <v>47.06</v>
      </c>
      <c r="H240" s="6">
        <v>46.89</v>
      </c>
      <c r="I240" s="6">
        <v>115</v>
      </c>
      <c r="J240" s="6">
        <v>2600</v>
      </c>
      <c r="K240" s="7">
        <f>(J240-M240)*税费参数!$B$12/(I240*10000*(1+SUM(税费参数!$B$6:$B$8)))</f>
        <v>0.0200810611643331</v>
      </c>
      <c r="L240" s="7">
        <f>J240*税费参数!$B$12/(I240*10000)</f>
        <v>0.0226086956521739</v>
      </c>
      <c r="M240" s="6">
        <f>I240*10000*SUM(税费参数!$B$9:$B$10)/税费参数!$B$11</f>
        <v>215.625</v>
      </c>
    </row>
    <row r="241" ht="21" customHeight="1" spans="1:13">
      <c r="A241" s="5" t="s">
        <v>15</v>
      </c>
      <c r="B241" s="6" t="s">
        <v>58</v>
      </c>
      <c r="C241" s="6" t="s">
        <v>152</v>
      </c>
      <c r="D241" s="6" t="s">
        <v>153</v>
      </c>
      <c r="E241" s="6" t="s">
        <v>333</v>
      </c>
      <c r="F241" s="6" t="s">
        <v>1649</v>
      </c>
      <c r="G241" s="6">
        <v>47.06</v>
      </c>
      <c r="H241" s="6">
        <v>48.73</v>
      </c>
      <c r="I241" s="6">
        <v>115</v>
      </c>
      <c r="J241" s="6">
        <v>2600</v>
      </c>
      <c r="K241" s="7">
        <f>(J241-M241)*税费参数!$B$12/(I241*10000*(1+SUM(税费参数!$B$6:$B$8)))</f>
        <v>0.0200810611643331</v>
      </c>
      <c r="L241" s="7">
        <f>J241*税费参数!$B$12/(I241*10000)</f>
        <v>0.0226086956521739</v>
      </c>
      <c r="M241" s="6">
        <f>I241*10000*SUM(税费参数!$B$9:$B$10)/税费参数!$B$11</f>
        <v>215.625</v>
      </c>
    </row>
    <row r="242" ht="21" customHeight="1" spans="1:13">
      <c r="A242" s="5" t="s">
        <v>15</v>
      </c>
      <c r="B242" s="6" t="s">
        <v>58</v>
      </c>
      <c r="C242" s="6" t="s">
        <v>152</v>
      </c>
      <c r="D242" s="6" t="s">
        <v>153</v>
      </c>
      <c r="E242" s="6" t="s">
        <v>333</v>
      </c>
      <c r="F242" s="6" t="s">
        <v>1650</v>
      </c>
      <c r="G242" s="6">
        <v>47.06</v>
      </c>
      <c r="H242" s="6">
        <v>46.78</v>
      </c>
      <c r="I242" s="6">
        <v>115</v>
      </c>
      <c r="J242" s="6">
        <v>2900</v>
      </c>
      <c r="K242" s="7">
        <f>(J242-M242)*税费参数!$B$12/(I242*10000*(1+SUM(税费参数!$B$6:$B$8)))</f>
        <v>0.02260764290978</v>
      </c>
      <c r="L242" s="7">
        <f>J242*税费参数!$B$12/(I242*10000)</f>
        <v>0.0252173913043478</v>
      </c>
      <c r="M242" s="6">
        <f>I242*10000*SUM(税费参数!$B$9:$B$10)/税费参数!$B$11</f>
        <v>215.625</v>
      </c>
    </row>
    <row r="243" ht="21" customHeight="1" spans="1:13">
      <c r="A243" s="5" t="s">
        <v>15</v>
      </c>
      <c r="B243" s="6" t="s">
        <v>58</v>
      </c>
      <c r="C243" s="6" t="s">
        <v>152</v>
      </c>
      <c r="D243" s="6" t="s">
        <v>153</v>
      </c>
      <c r="E243" s="6" t="s">
        <v>333</v>
      </c>
      <c r="F243" s="6" t="s">
        <v>1651</v>
      </c>
      <c r="G243" s="6">
        <v>47.06</v>
      </c>
      <c r="H243" s="6">
        <v>47.48</v>
      </c>
      <c r="I243" s="6">
        <v>115</v>
      </c>
      <c r="J243" s="6">
        <v>2600</v>
      </c>
      <c r="K243" s="7">
        <f>(J243-M243)*税费参数!$B$12/(I243*10000*(1+SUM(税费参数!$B$6:$B$8)))</f>
        <v>0.0200810611643331</v>
      </c>
      <c r="L243" s="7">
        <f>J243*税费参数!$B$12/(I243*10000)</f>
        <v>0.0226086956521739</v>
      </c>
      <c r="M243" s="6">
        <f>I243*10000*SUM(税费参数!$B$9:$B$10)/税费参数!$B$11</f>
        <v>215.625</v>
      </c>
    </row>
    <row r="244" ht="21" customHeight="1" spans="1:13">
      <c r="A244" s="5" t="s">
        <v>15</v>
      </c>
      <c r="B244" s="6" t="s">
        <v>58</v>
      </c>
      <c r="C244" s="6" t="s">
        <v>152</v>
      </c>
      <c r="D244" s="6" t="s">
        <v>153</v>
      </c>
      <c r="E244" s="6" t="s">
        <v>343</v>
      </c>
      <c r="F244" s="6" t="s">
        <v>1648</v>
      </c>
      <c r="G244" s="6">
        <v>46.78</v>
      </c>
      <c r="H244" s="6">
        <v>46.89</v>
      </c>
      <c r="I244" s="6">
        <v>99</v>
      </c>
      <c r="J244" s="6">
        <v>2600</v>
      </c>
      <c r="K244" s="7">
        <f>(J244-M244)*税费参数!$B$12/(I244*10000*(1+SUM(税费参数!$B$6:$B$8)))</f>
        <v>0.0236199770098075</v>
      </c>
      <c r="L244" s="7">
        <f>J244*税费参数!$B$12/(I244*10000)</f>
        <v>0.0262626262626263</v>
      </c>
      <c r="M244" s="6">
        <f>I244*10000*SUM(税费参数!$B$9:$B$10)/税费参数!$B$11</f>
        <v>185.625</v>
      </c>
    </row>
    <row r="245" ht="21" customHeight="1" spans="1:13">
      <c r="A245" s="5" t="s">
        <v>15</v>
      </c>
      <c r="B245" s="6" t="s">
        <v>58</v>
      </c>
      <c r="C245" s="6" t="s">
        <v>152</v>
      </c>
      <c r="D245" s="6" t="s">
        <v>153</v>
      </c>
      <c r="E245" s="6" t="s">
        <v>343</v>
      </c>
      <c r="F245" s="6" t="s">
        <v>1649</v>
      </c>
      <c r="G245" s="6">
        <v>46.78</v>
      </c>
      <c r="H245" s="6">
        <v>48.73</v>
      </c>
      <c r="I245" s="6">
        <v>99</v>
      </c>
      <c r="J245" s="6">
        <v>2600</v>
      </c>
      <c r="K245" s="7">
        <f>(J245-M245)*税费参数!$B$12/(I245*10000*(1+SUM(税费参数!$B$6:$B$8)))</f>
        <v>0.0236199770098075</v>
      </c>
      <c r="L245" s="7">
        <f>J245*税费参数!$B$12/(I245*10000)</f>
        <v>0.0262626262626263</v>
      </c>
      <c r="M245" s="6">
        <f>I245*10000*SUM(税费参数!$B$9:$B$10)/税费参数!$B$11</f>
        <v>185.625</v>
      </c>
    </row>
    <row r="246" ht="21" customHeight="1" spans="1:13">
      <c r="A246" s="5" t="s">
        <v>15</v>
      </c>
      <c r="B246" s="6" t="s">
        <v>58</v>
      </c>
      <c r="C246" s="6" t="s">
        <v>152</v>
      </c>
      <c r="D246" s="6" t="s">
        <v>153</v>
      </c>
      <c r="E246" s="6" t="s">
        <v>343</v>
      </c>
      <c r="F246" s="6" t="s">
        <v>1650</v>
      </c>
      <c r="G246" s="6">
        <v>46.78</v>
      </c>
      <c r="H246" s="6">
        <v>46.78</v>
      </c>
      <c r="I246" s="6">
        <v>99</v>
      </c>
      <c r="J246" s="6">
        <v>2900</v>
      </c>
      <c r="K246" s="7">
        <f>(J246-M246)*税费参数!$B$12/(I246*10000*(1+SUM(税费参数!$B$6:$B$8)))</f>
        <v>0.026554895198963</v>
      </c>
      <c r="L246" s="7">
        <f>J246*税费参数!$B$12/(I246*10000)</f>
        <v>0.0292929292929293</v>
      </c>
      <c r="M246" s="6">
        <f>I246*10000*SUM(税费参数!$B$9:$B$10)/税费参数!$B$11</f>
        <v>185.625</v>
      </c>
    </row>
    <row r="247" ht="21" customHeight="1" spans="1:13">
      <c r="A247" s="5" t="s">
        <v>15</v>
      </c>
      <c r="B247" s="6" t="s">
        <v>58</v>
      </c>
      <c r="C247" s="6" t="s">
        <v>152</v>
      </c>
      <c r="D247" s="6" t="s">
        <v>153</v>
      </c>
      <c r="E247" s="6" t="s">
        <v>343</v>
      </c>
      <c r="F247" s="6" t="s">
        <v>1651</v>
      </c>
      <c r="G247" s="6">
        <v>46.78</v>
      </c>
      <c r="H247" s="6">
        <v>47.48</v>
      </c>
      <c r="I247" s="6">
        <v>99</v>
      </c>
      <c r="J247" s="6">
        <v>2600</v>
      </c>
      <c r="K247" s="7">
        <f>(J247-M247)*税费参数!$B$12/(I247*10000*(1+SUM(税费参数!$B$6:$B$8)))</f>
        <v>0.0236199770098075</v>
      </c>
      <c r="L247" s="7">
        <f>J247*税费参数!$B$12/(I247*10000)</f>
        <v>0.0262626262626263</v>
      </c>
      <c r="M247" s="6">
        <f>I247*10000*SUM(税费参数!$B$9:$B$10)/税费参数!$B$11</f>
        <v>185.625</v>
      </c>
    </row>
    <row r="248" ht="21" customHeight="1" spans="1:13">
      <c r="A248" s="5" t="s">
        <v>15</v>
      </c>
      <c r="B248" s="6" t="s">
        <v>58</v>
      </c>
      <c r="C248" s="6" t="s">
        <v>152</v>
      </c>
      <c r="D248" s="6" t="s">
        <v>153</v>
      </c>
      <c r="E248" s="6" t="s">
        <v>327</v>
      </c>
      <c r="F248" s="6" t="s">
        <v>1648</v>
      </c>
      <c r="G248" s="6">
        <v>46.89</v>
      </c>
      <c r="H248" s="6">
        <v>46.89</v>
      </c>
      <c r="I248" s="6">
        <v>98</v>
      </c>
      <c r="J248" s="6">
        <v>2600</v>
      </c>
      <c r="K248" s="7">
        <f>(J248-M248)*税费参数!$B$12/(I248*10000*(1+SUM(税费参数!$B$6:$B$8)))</f>
        <v>0.0238795275979641</v>
      </c>
      <c r="L248" s="7">
        <f>J248*税费参数!$B$12/(I248*10000)</f>
        <v>0.026530612244898</v>
      </c>
      <c r="M248" s="6">
        <f>I248*10000*SUM(税费参数!$B$9:$B$10)/税费参数!$B$11</f>
        <v>183.75</v>
      </c>
    </row>
    <row r="249" ht="21" customHeight="1" spans="1:13">
      <c r="A249" s="5" t="s">
        <v>15</v>
      </c>
      <c r="B249" s="6" t="s">
        <v>58</v>
      </c>
      <c r="C249" s="6" t="s">
        <v>152</v>
      </c>
      <c r="D249" s="6" t="s">
        <v>153</v>
      </c>
      <c r="E249" s="6" t="s">
        <v>327</v>
      </c>
      <c r="F249" s="6" t="s">
        <v>1649</v>
      </c>
      <c r="G249" s="6">
        <v>46.89</v>
      </c>
      <c r="H249" s="6">
        <v>48.73</v>
      </c>
      <c r="I249" s="6">
        <v>98</v>
      </c>
      <c r="J249" s="6">
        <v>2600</v>
      </c>
      <c r="K249" s="7">
        <f>(J249-M249)*税费参数!$B$12/(I249*10000*(1+SUM(税费参数!$B$6:$B$8)))</f>
        <v>0.0238795275979641</v>
      </c>
      <c r="L249" s="7">
        <f>J249*税费参数!$B$12/(I249*10000)</f>
        <v>0.026530612244898</v>
      </c>
      <c r="M249" s="6">
        <f>I249*10000*SUM(税费参数!$B$9:$B$10)/税费参数!$B$11</f>
        <v>183.75</v>
      </c>
    </row>
    <row r="250" ht="21" customHeight="1" spans="1:13">
      <c r="A250" s="5" t="s">
        <v>15</v>
      </c>
      <c r="B250" s="6" t="s">
        <v>58</v>
      </c>
      <c r="C250" s="6" t="s">
        <v>152</v>
      </c>
      <c r="D250" s="6" t="s">
        <v>153</v>
      </c>
      <c r="E250" s="6" t="s">
        <v>327</v>
      </c>
      <c r="F250" s="6" t="s">
        <v>1650</v>
      </c>
      <c r="G250" s="6">
        <v>46.89</v>
      </c>
      <c r="H250" s="6">
        <v>46.78</v>
      </c>
      <c r="I250" s="6">
        <v>98</v>
      </c>
      <c r="J250" s="6">
        <v>2900</v>
      </c>
      <c r="K250" s="7">
        <f>(J250-M250)*税费参数!$B$12/(I250*10000*(1+SUM(税费参数!$B$6:$B$8)))</f>
        <v>0.0268443939319069</v>
      </c>
      <c r="L250" s="7">
        <f>J250*税费参数!$B$12/(I250*10000)</f>
        <v>0.0295918367346939</v>
      </c>
      <c r="M250" s="6">
        <f>I250*10000*SUM(税费参数!$B$9:$B$10)/税费参数!$B$11</f>
        <v>183.75</v>
      </c>
    </row>
    <row r="251" ht="21" customHeight="1" spans="1:13">
      <c r="A251" s="5" t="s">
        <v>15</v>
      </c>
      <c r="B251" s="6" t="s">
        <v>58</v>
      </c>
      <c r="C251" s="6" t="s">
        <v>152</v>
      </c>
      <c r="D251" s="6" t="s">
        <v>153</v>
      </c>
      <c r="E251" s="6" t="s">
        <v>327</v>
      </c>
      <c r="F251" s="6" t="s">
        <v>1651</v>
      </c>
      <c r="G251" s="6">
        <v>46.89</v>
      </c>
      <c r="H251" s="6">
        <v>47.48</v>
      </c>
      <c r="I251" s="6">
        <v>98</v>
      </c>
      <c r="J251" s="6">
        <v>2600</v>
      </c>
      <c r="K251" s="7">
        <f>(J251-M251)*税费参数!$B$12/(I251*10000*(1+SUM(税费参数!$B$6:$B$8)))</f>
        <v>0.0238795275979641</v>
      </c>
      <c r="L251" s="7">
        <f>J251*税费参数!$B$12/(I251*10000)</f>
        <v>0.026530612244898</v>
      </c>
      <c r="M251" s="6">
        <f>I251*10000*SUM(税费参数!$B$9:$B$10)/税费参数!$B$11</f>
        <v>183.75</v>
      </c>
    </row>
    <row r="252" ht="21" customHeight="1" spans="1:13">
      <c r="A252" s="5" t="s">
        <v>15</v>
      </c>
      <c r="B252" s="6" t="s">
        <v>58</v>
      </c>
      <c r="C252" s="6" t="s">
        <v>152</v>
      </c>
      <c r="D252" s="6" t="s">
        <v>153</v>
      </c>
      <c r="E252" s="6" t="s">
        <v>345</v>
      </c>
      <c r="F252" s="6" t="s">
        <v>1648</v>
      </c>
      <c r="G252" s="6">
        <v>46.89</v>
      </c>
      <c r="H252" s="6">
        <v>46.89</v>
      </c>
      <c r="I252" s="6">
        <v>88</v>
      </c>
      <c r="J252" s="6">
        <v>2600</v>
      </c>
      <c r="K252" s="7">
        <f>(J252-M252)*税费参数!$B$12/(I252*10000*(1+SUM(税费参数!$B$6:$B$8)))</f>
        <v>0.026799471714726</v>
      </c>
      <c r="L252" s="7">
        <f>J252*税费参数!$B$12/(I252*10000)</f>
        <v>0.0295454545454545</v>
      </c>
      <c r="M252" s="6">
        <f>I252*10000*SUM(税费参数!$B$9:$B$10)/税费参数!$B$11</f>
        <v>165</v>
      </c>
    </row>
    <row r="253" ht="21" customHeight="1" spans="1:13">
      <c r="A253" s="5" t="s">
        <v>15</v>
      </c>
      <c r="B253" s="6" t="s">
        <v>58</v>
      </c>
      <c r="C253" s="6" t="s">
        <v>152</v>
      </c>
      <c r="D253" s="6" t="s">
        <v>153</v>
      </c>
      <c r="E253" s="6" t="s">
        <v>345</v>
      </c>
      <c r="F253" s="6" t="s">
        <v>1649</v>
      </c>
      <c r="G253" s="6">
        <v>46.89</v>
      </c>
      <c r="H253" s="6">
        <v>48.73</v>
      </c>
      <c r="I253" s="6">
        <v>88</v>
      </c>
      <c r="J253" s="6">
        <v>2600</v>
      </c>
      <c r="K253" s="7">
        <f>(J253-M253)*税费参数!$B$12/(I253*10000*(1+SUM(税费参数!$B$6:$B$8)))</f>
        <v>0.026799471714726</v>
      </c>
      <c r="L253" s="7">
        <f>J253*税费参数!$B$12/(I253*10000)</f>
        <v>0.0295454545454545</v>
      </c>
      <c r="M253" s="6">
        <f>I253*10000*SUM(税费参数!$B$9:$B$10)/税费参数!$B$11</f>
        <v>165</v>
      </c>
    </row>
    <row r="254" ht="21" customHeight="1" spans="1:13">
      <c r="A254" s="5" t="s">
        <v>15</v>
      </c>
      <c r="B254" s="6" t="s">
        <v>58</v>
      </c>
      <c r="C254" s="6" t="s">
        <v>152</v>
      </c>
      <c r="D254" s="6" t="s">
        <v>153</v>
      </c>
      <c r="E254" s="6" t="s">
        <v>345</v>
      </c>
      <c r="F254" s="6" t="s">
        <v>1650</v>
      </c>
      <c r="G254" s="6">
        <v>46.89</v>
      </c>
      <c r="H254" s="6">
        <v>46.78</v>
      </c>
      <c r="I254" s="6">
        <v>88</v>
      </c>
      <c r="J254" s="6">
        <v>2900</v>
      </c>
      <c r="K254" s="7">
        <f>(J254-M254)*税费参数!$B$12/(I254*10000*(1+SUM(税费参数!$B$6:$B$8)))</f>
        <v>0.0301012546775259</v>
      </c>
      <c r="L254" s="7">
        <f>J254*税费参数!$B$12/(I254*10000)</f>
        <v>0.0329545454545455</v>
      </c>
      <c r="M254" s="6">
        <f>I254*10000*SUM(税费参数!$B$9:$B$10)/税费参数!$B$11</f>
        <v>165</v>
      </c>
    </row>
    <row r="255" ht="21" customHeight="1" spans="1:13">
      <c r="A255" s="5" t="s">
        <v>15</v>
      </c>
      <c r="B255" s="6" t="s">
        <v>58</v>
      </c>
      <c r="C255" s="6" t="s">
        <v>152</v>
      </c>
      <c r="D255" s="6" t="s">
        <v>153</v>
      </c>
      <c r="E255" s="6" t="s">
        <v>345</v>
      </c>
      <c r="F255" s="6" t="s">
        <v>1651</v>
      </c>
      <c r="G255" s="6">
        <v>46.89</v>
      </c>
      <c r="H255" s="6">
        <v>47.48</v>
      </c>
      <c r="I255" s="6">
        <v>88</v>
      </c>
      <c r="J255" s="6">
        <v>2600</v>
      </c>
      <c r="K255" s="7">
        <f>(J255-M255)*税费参数!$B$12/(I255*10000*(1+SUM(税费参数!$B$6:$B$8)))</f>
        <v>0.026799471714726</v>
      </c>
      <c r="L255" s="7">
        <f>J255*税费参数!$B$12/(I255*10000)</f>
        <v>0.0295454545454545</v>
      </c>
      <c r="M255" s="6">
        <f>I255*10000*SUM(税费参数!$B$9:$B$10)/税费参数!$B$11</f>
        <v>165</v>
      </c>
    </row>
    <row r="256" ht="21" customHeight="1" spans="1:13">
      <c r="A256" s="5" t="s">
        <v>15</v>
      </c>
      <c r="B256" s="6" t="s">
        <v>58</v>
      </c>
      <c r="C256" s="6" t="s">
        <v>152</v>
      </c>
      <c r="D256" s="6" t="s">
        <v>153</v>
      </c>
      <c r="E256" s="6" t="s">
        <v>325</v>
      </c>
      <c r="F256" s="6" t="s">
        <v>1648</v>
      </c>
      <c r="G256" s="6">
        <v>46.89</v>
      </c>
      <c r="H256" s="6">
        <v>46.89</v>
      </c>
      <c r="I256" s="6">
        <v>106</v>
      </c>
      <c r="J256" s="6">
        <v>2600</v>
      </c>
      <c r="K256" s="7">
        <f>(J256-M256)*税费参数!$B$12/(I256*10000*(1+SUM(税费参数!$B$6:$B$8)))</f>
        <v>0.0219402439581525</v>
      </c>
      <c r="L256" s="7">
        <f>J256*税费参数!$B$12/(I256*10000)</f>
        <v>0.0245283018867925</v>
      </c>
      <c r="M256" s="6">
        <f>I256*10000*SUM(税费参数!$B$9:$B$10)/税费参数!$B$11</f>
        <v>198.75</v>
      </c>
    </row>
    <row r="257" ht="21" customHeight="1" spans="1:13">
      <c r="A257" s="5" t="s">
        <v>15</v>
      </c>
      <c r="B257" s="6" t="s">
        <v>58</v>
      </c>
      <c r="C257" s="6" t="s">
        <v>152</v>
      </c>
      <c r="D257" s="6" t="s">
        <v>153</v>
      </c>
      <c r="E257" s="6" t="s">
        <v>325</v>
      </c>
      <c r="F257" s="6" t="s">
        <v>1649</v>
      </c>
      <c r="G257" s="6">
        <v>46.89</v>
      </c>
      <c r="H257" s="6">
        <v>48.73</v>
      </c>
      <c r="I257" s="6">
        <v>106</v>
      </c>
      <c r="J257" s="6">
        <v>2600</v>
      </c>
      <c r="K257" s="7">
        <f>(J257-M257)*税费参数!$B$12/(I257*10000*(1+SUM(税费参数!$B$6:$B$8)))</f>
        <v>0.0219402439581525</v>
      </c>
      <c r="L257" s="7">
        <f>J257*税费参数!$B$12/(I257*10000)</f>
        <v>0.0245283018867925</v>
      </c>
      <c r="M257" s="6">
        <f>I257*10000*SUM(税费参数!$B$9:$B$10)/税费参数!$B$11</f>
        <v>198.75</v>
      </c>
    </row>
    <row r="258" ht="21" customHeight="1" spans="1:13">
      <c r="A258" s="5" t="s">
        <v>15</v>
      </c>
      <c r="B258" s="6" t="s">
        <v>58</v>
      </c>
      <c r="C258" s="6" t="s">
        <v>152</v>
      </c>
      <c r="D258" s="6" t="s">
        <v>153</v>
      </c>
      <c r="E258" s="6" t="s">
        <v>325</v>
      </c>
      <c r="F258" s="6" t="s">
        <v>1650</v>
      </c>
      <c r="G258" s="6">
        <v>46.89</v>
      </c>
      <c r="H258" s="6">
        <v>46.78</v>
      </c>
      <c r="I258" s="6">
        <v>106</v>
      </c>
      <c r="J258" s="6">
        <v>2900</v>
      </c>
      <c r="K258" s="7">
        <f>(J258-M258)*税费参数!$B$12/(I258*10000*(1+SUM(税费参数!$B$6:$B$8)))</f>
        <v>0.0246813467951939</v>
      </c>
      <c r="L258" s="7">
        <f>J258*税费参数!$B$12/(I258*10000)</f>
        <v>0.0273584905660377</v>
      </c>
      <c r="M258" s="6">
        <f>I258*10000*SUM(税费参数!$B$9:$B$10)/税费参数!$B$11</f>
        <v>198.75</v>
      </c>
    </row>
    <row r="259" ht="21" customHeight="1" spans="1:13">
      <c r="A259" s="5" t="s">
        <v>15</v>
      </c>
      <c r="B259" s="6" t="s">
        <v>58</v>
      </c>
      <c r="C259" s="6" t="s">
        <v>152</v>
      </c>
      <c r="D259" s="6" t="s">
        <v>153</v>
      </c>
      <c r="E259" s="6" t="s">
        <v>325</v>
      </c>
      <c r="F259" s="6" t="s">
        <v>1651</v>
      </c>
      <c r="G259" s="6">
        <v>46.89</v>
      </c>
      <c r="H259" s="6">
        <v>47.48</v>
      </c>
      <c r="I259" s="6">
        <v>106</v>
      </c>
      <c r="J259" s="6">
        <v>2600</v>
      </c>
      <c r="K259" s="7">
        <f>(J259-M259)*税费参数!$B$12/(I259*10000*(1+SUM(税费参数!$B$6:$B$8)))</f>
        <v>0.0219402439581525</v>
      </c>
      <c r="L259" s="7">
        <f>J259*税费参数!$B$12/(I259*10000)</f>
        <v>0.0245283018867925</v>
      </c>
      <c r="M259" s="6">
        <f>I259*10000*SUM(税费参数!$B$9:$B$10)/税费参数!$B$11</f>
        <v>198.75</v>
      </c>
    </row>
    <row r="260" ht="21" customHeight="1" spans="1:13">
      <c r="A260" s="5" t="s">
        <v>15</v>
      </c>
      <c r="B260" s="6" t="s">
        <v>68</v>
      </c>
      <c r="C260" s="6" t="s">
        <v>152</v>
      </c>
      <c r="D260" s="6" t="s">
        <v>160</v>
      </c>
      <c r="E260" s="6" t="s">
        <v>347</v>
      </c>
      <c r="F260" s="6" t="s">
        <v>1652</v>
      </c>
      <c r="G260" s="6">
        <v>44.54</v>
      </c>
      <c r="H260" s="6">
        <v>47.94</v>
      </c>
      <c r="I260" s="6">
        <v>110</v>
      </c>
      <c r="J260" s="6">
        <v>1980</v>
      </c>
      <c r="K260" s="7">
        <f>(J260-M260)*税费参数!$B$12/(I260*10000*(1+SUM(税费参数!$B$6:$B$8)))</f>
        <v>0.0156174334140436</v>
      </c>
      <c r="L260" s="7">
        <f>J260*税费参数!$B$12/(I260*10000)</f>
        <v>0.018</v>
      </c>
      <c r="M260" s="6">
        <f>I260*10000*SUM(税费参数!$B$9:$B$10)/税费参数!$B$11</f>
        <v>206.25</v>
      </c>
    </row>
    <row r="261" ht="21" customHeight="1" spans="1:13">
      <c r="A261" s="5" t="s">
        <v>15</v>
      </c>
      <c r="B261" s="6" t="s">
        <v>68</v>
      </c>
      <c r="C261" s="6" t="s">
        <v>152</v>
      </c>
      <c r="D261" s="6" t="s">
        <v>160</v>
      </c>
      <c r="E261" s="6" t="s">
        <v>347</v>
      </c>
      <c r="F261" s="6" t="s">
        <v>1653</v>
      </c>
      <c r="G261" s="6">
        <v>44.54</v>
      </c>
      <c r="H261" s="6">
        <v>44.54</v>
      </c>
      <c r="I261" s="6">
        <v>110</v>
      </c>
      <c r="J261" s="6">
        <v>2000</v>
      </c>
      <c r="K261" s="7">
        <f>(J261-M261)*税费参数!$B$12/(I261*10000*(1+SUM(税费参数!$B$6:$B$8)))</f>
        <v>0.0157935285053929</v>
      </c>
      <c r="L261" s="7">
        <f>J261*税费参数!$B$12/(I261*10000)</f>
        <v>0.0181818181818182</v>
      </c>
      <c r="M261" s="6">
        <f>I261*10000*SUM(税费参数!$B$9:$B$10)/税费参数!$B$11</f>
        <v>206.25</v>
      </c>
    </row>
    <row r="262" ht="21" customHeight="1" spans="1:13">
      <c r="A262" s="5" t="s">
        <v>15</v>
      </c>
      <c r="B262" s="6" t="s">
        <v>68</v>
      </c>
      <c r="C262" s="6" t="s">
        <v>152</v>
      </c>
      <c r="D262" s="6" t="s">
        <v>160</v>
      </c>
      <c r="E262" s="6" t="s">
        <v>347</v>
      </c>
      <c r="F262" s="6" t="s">
        <v>1654</v>
      </c>
      <c r="G262" s="6">
        <v>44.54</v>
      </c>
      <c r="H262" s="6">
        <v>45</v>
      </c>
      <c r="I262" s="6">
        <v>110</v>
      </c>
      <c r="J262" s="6">
        <v>2200</v>
      </c>
      <c r="K262" s="7">
        <f>(J262-M262)*税费参数!$B$12/(I262*10000*(1+SUM(税费参数!$B$6:$B$8)))</f>
        <v>0.0175544794188862</v>
      </c>
      <c r="L262" s="7">
        <f>J262*税费参数!$B$12/(I262*10000)</f>
        <v>0.02</v>
      </c>
      <c r="M262" s="6">
        <f>I262*10000*SUM(税费参数!$B$9:$B$10)/税费参数!$B$11</f>
        <v>206.25</v>
      </c>
    </row>
    <row r="263" ht="21" customHeight="1" spans="1:13">
      <c r="A263" s="5" t="s">
        <v>15</v>
      </c>
      <c r="B263" s="6" t="s">
        <v>68</v>
      </c>
      <c r="C263" s="6" t="s">
        <v>152</v>
      </c>
      <c r="D263" s="6" t="s">
        <v>160</v>
      </c>
      <c r="E263" s="6" t="s">
        <v>347</v>
      </c>
      <c r="F263" s="6" t="s">
        <v>1655</v>
      </c>
      <c r="G263" s="6">
        <v>44.54</v>
      </c>
      <c r="H263" s="6">
        <v>42</v>
      </c>
      <c r="I263" s="6">
        <v>110</v>
      </c>
      <c r="J263" s="6">
        <v>2000</v>
      </c>
      <c r="K263" s="7">
        <f>(J263-M263)*税费参数!$B$12/(I263*10000*(1+SUM(税费参数!$B$6:$B$8)))</f>
        <v>0.0157935285053929</v>
      </c>
      <c r="L263" s="7">
        <f>J263*税费参数!$B$12/(I263*10000)</f>
        <v>0.0181818181818182</v>
      </c>
      <c r="M263" s="6">
        <f>I263*10000*SUM(税费参数!$B$9:$B$10)/税费参数!$B$11</f>
        <v>206.25</v>
      </c>
    </row>
    <row r="264" ht="21" customHeight="1" spans="1:13">
      <c r="A264" s="5" t="s">
        <v>15</v>
      </c>
      <c r="B264" s="6" t="s">
        <v>68</v>
      </c>
      <c r="C264" s="6" t="s">
        <v>152</v>
      </c>
      <c r="D264" s="6" t="s">
        <v>153</v>
      </c>
      <c r="E264" s="6" t="s">
        <v>357</v>
      </c>
      <c r="F264" s="6" t="s">
        <v>1656</v>
      </c>
      <c r="G264" s="6">
        <v>44.54</v>
      </c>
      <c r="H264" s="6">
        <v>44.54</v>
      </c>
      <c r="I264" s="6">
        <v>88.8</v>
      </c>
      <c r="J264" s="6">
        <v>2000</v>
      </c>
      <c r="K264" s="7">
        <f>(J264-M264)*税费参数!$B$12/(I264*10000*(1+SUM(税费参数!$B$6:$B$8)))</f>
        <v>0.0199976005060751</v>
      </c>
      <c r="L264" s="7">
        <f>J264*税费参数!$B$12/(I264*10000)</f>
        <v>0.0225225225225225</v>
      </c>
      <c r="M264" s="6">
        <f>I264*10000*SUM(税费参数!$B$9:$B$10)/税费参数!$B$11</f>
        <v>166.5</v>
      </c>
    </row>
    <row r="265" ht="21" customHeight="1" spans="1:13">
      <c r="A265" s="5" t="s">
        <v>15</v>
      </c>
      <c r="B265" s="6" t="s">
        <v>68</v>
      </c>
      <c r="C265" s="6" t="s">
        <v>152</v>
      </c>
      <c r="D265" s="6" t="s">
        <v>153</v>
      </c>
      <c r="E265" s="6" t="s">
        <v>355</v>
      </c>
      <c r="F265" s="6" t="s">
        <v>1656</v>
      </c>
      <c r="G265" s="6">
        <v>42.94</v>
      </c>
      <c r="H265" s="6">
        <v>44.54</v>
      </c>
      <c r="I265" s="6">
        <v>103</v>
      </c>
      <c r="J265" s="6">
        <v>2000</v>
      </c>
      <c r="K265" s="7">
        <f>(J265-M265)*税费参数!$B$12/(I265*10000*(1+SUM(税费参数!$B$6:$B$8)))</f>
        <v>0.0169902912621359</v>
      </c>
      <c r="L265" s="7">
        <f>J265*税费参数!$B$12/(I265*10000)</f>
        <v>0.0194174757281553</v>
      </c>
      <c r="M265" s="6">
        <f>I265*10000*SUM(税费参数!$B$9:$B$10)/税费参数!$B$11</f>
        <v>193.125</v>
      </c>
    </row>
    <row r="266" ht="21" customHeight="1" spans="1:13">
      <c r="A266" s="5" t="s">
        <v>15</v>
      </c>
      <c r="B266" s="6" t="s">
        <v>68</v>
      </c>
      <c r="C266" s="6" t="s">
        <v>152</v>
      </c>
      <c r="D266" s="6" t="s">
        <v>153</v>
      </c>
      <c r="E266" s="6" t="s">
        <v>353</v>
      </c>
      <c r="F266" s="6" t="s">
        <v>1656</v>
      </c>
      <c r="G266" s="6">
        <v>42.94</v>
      </c>
      <c r="H266" s="6">
        <v>44.54</v>
      </c>
      <c r="I266" s="6">
        <v>103</v>
      </c>
      <c r="J266" s="6">
        <v>2000</v>
      </c>
      <c r="K266" s="7">
        <f>(J266-M266)*税费参数!$B$12/(I266*10000*(1+SUM(税费参数!$B$6:$B$8)))</f>
        <v>0.0169902912621359</v>
      </c>
      <c r="L266" s="7">
        <f>J266*税费参数!$B$12/(I266*10000)</f>
        <v>0.0194174757281553</v>
      </c>
      <c r="M266" s="6">
        <f>I266*10000*SUM(税费参数!$B$9:$B$10)/税费参数!$B$11</f>
        <v>193.125</v>
      </c>
    </row>
    <row r="267" ht="21" customHeight="1" spans="1:13">
      <c r="A267" s="5" t="s">
        <v>15</v>
      </c>
      <c r="B267" s="6" t="s">
        <v>68</v>
      </c>
      <c r="C267" s="6" t="s">
        <v>152</v>
      </c>
      <c r="D267" s="6" t="s">
        <v>153</v>
      </c>
      <c r="E267" s="6" t="s">
        <v>359</v>
      </c>
      <c r="F267" s="6" t="s">
        <v>1656</v>
      </c>
      <c r="G267" s="6">
        <v>45.71</v>
      </c>
      <c r="H267" s="6">
        <v>44.54</v>
      </c>
      <c r="I267" s="6">
        <v>108</v>
      </c>
      <c r="J267" s="6">
        <v>2000</v>
      </c>
      <c r="K267" s="7">
        <f>(J267-M267)*税费参数!$B$12/(I267*10000*(1+SUM(税费参数!$B$6:$B$8)))</f>
        <v>0.0161196305264102</v>
      </c>
      <c r="L267" s="7">
        <f>J267*税费参数!$B$12/(I267*10000)</f>
        <v>0.0185185185185185</v>
      </c>
      <c r="M267" s="6">
        <f>I267*10000*SUM(税费参数!$B$9:$B$10)/税费参数!$B$11</f>
        <v>202.5</v>
      </c>
    </row>
    <row r="268" ht="21" customHeight="1" spans="1:13">
      <c r="A268" s="5" t="s">
        <v>15</v>
      </c>
      <c r="B268" s="6" t="s">
        <v>57</v>
      </c>
      <c r="C268" s="6" t="s">
        <v>157</v>
      </c>
      <c r="D268" s="6" t="s">
        <v>155</v>
      </c>
      <c r="E268" s="6" t="s">
        <v>365</v>
      </c>
      <c r="F268" s="6" t="s">
        <v>1657</v>
      </c>
      <c r="G268" s="6">
        <v>68.75</v>
      </c>
      <c r="H268" s="6">
        <v>68.29</v>
      </c>
      <c r="I268" s="6">
        <v>118</v>
      </c>
      <c r="J268" s="6">
        <v>2500</v>
      </c>
      <c r="K268" s="7">
        <f>(J268-M268)*税费参数!$B$12/(I268*10000*(1+SUM(税费参数!$B$6:$B$8)))</f>
        <v>0.0187035745065047</v>
      </c>
      <c r="L268" s="7">
        <f>J268*税费参数!$B$12/(I268*10000)</f>
        <v>0.0211864406779661</v>
      </c>
      <c r="M268" s="6">
        <f>I268*10000*SUM(税费参数!$B$9:$B$10)/税费参数!$B$11</f>
        <v>221.25</v>
      </c>
    </row>
    <row r="269" ht="21" customHeight="1" spans="1:13">
      <c r="A269" s="5" t="s">
        <v>15</v>
      </c>
      <c r="B269" s="6" t="s">
        <v>57</v>
      </c>
      <c r="C269" s="6" t="s">
        <v>157</v>
      </c>
      <c r="D269" s="6" t="s">
        <v>155</v>
      </c>
      <c r="E269" s="6" t="s">
        <v>365</v>
      </c>
      <c r="F269" s="6" t="s">
        <v>1658</v>
      </c>
      <c r="G269" s="6">
        <v>68.75</v>
      </c>
      <c r="H269" s="6">
        <v>68.29</v>
      </c>
      <c r="I269" s="6">
        <v>118</v>
      </c>
      <c r="J269" s="6">
        <v>2600</v>
      </c>
      <c r="K269" s="7">
        <f>(J269-M269)*税费参数!$B$12/(I269*10000*(1+SUM(税费参数!$B$6:$B$8)))</f>
        <v>0.0195243567119465</v>
      </c>
      <c r="L269" s="7">
        <f>J269*税费参数!$B$12/(I269*10000)</f>
        <v>0.0220338983050847</v>
      </c>
      <c r="M269" s="6">
        <f>I269*10000*SUM(税费参数!$B$9:$B$10)/税费参数!$B$11</f>
        <v>221.25</v>
      </c>
    </row>
    <row r="270" ht="21" customHeight="1" spans="1:13">
      <c r="A270" s="5" t="s">
        <v>15</v>
      </c>
      <c r="B270" s="6" t="s">
        <v>57</v>
      </c>
      <c r="C270" s="6" t="s">
        <v>157</v>
      </c>
      <c r="D270" s="6" t="s">
        <v>155</v>
      </c>
      <c r="E270" s="6" t="s">
        <v>365</v>
      </c>
      <c r="F270" s="6" t="s">
        <v>1659</v>
      </c>
      <c r="G270" s="6">
        <v>68.75</v>
      </c>
      <c r="H270" s="6">
        <v>68.29</v>
      </c>
      <c r="I270" s="6">
        <v>118</v>
      </c>
      <c r="J270" s="6">
        <v>3000</v>
      </c>
      <c r="K270" s="7">
        <f>(J270-M270)*税费参数!$B$12/(I270*10000*(1+SUM(税费参数!$B$6:$B$8)))</f>
        <v>0.0228074855337136</v>
      </c>
      <c r="L270" s="7">
        <f>J270*税费参数!$B$12/(I270*10000)</f>
        <v>0.0254237288135593</v>
      </c>
      <c r="M270" s="6">
        <f>I270*10000*SUM(税费参数!$B$9:$B$10)/税费参数!$B$11</f>
        <v>221.25</v>
      </c>
    </row>
    <row r="271" ht="21" customHeight="1" spans="1:13">
      <c r="A271" s="5" t="s">
        <v>15</v>
      </c>
      <c r="B271" s="6" t="s">
        <v>57</v>
      </c>
      <c r="C271" s="6" t="s">
        <v>157</v>
      </c>
      <c r="D271" s="6" t="s">
        <v>155</v>
      </c>
      <c r="E271" s="6" t="s">
        <v>363</v>
      </c>
      <c r="F271" s="6" t="s">
        <v>1657</v>
      </c>
      <c r="G271" s="6">
        <v>68.75</v>
      </c>
      <c r="H271" s="6">
        <v>68.29</v>
      </c>
      <c r="I271" s="6">
        <v>102</v>
      </c>
      <c r="J271" s="6">
        <v>2500</v>
      </c>
      <c r="K271" s="7">
        <f>(J271-M271)*税费参数!$B$12/(I271*10000*(1+SUM(税费参数!$B$6:$B$8)))</f>
        <v>0.0219223282533352</v>
      </c>
      <c r="L271" s="7">
        <f>J271*税费参数!$B$12/(I271*10000)</f>
        <v>0.0245098039215686</v>
      </c>
      <c r="M271" s="6">
        <f>I271*10000*SUM(税费参数!$B$9:$B$10)/税费参数!$B$11</f>
        <v>191.25</v>
      </c>
    </row>
    <row r="272" ht="21" customHeight="1" spans="1:13">
      <c r="A272" s="5" t="s">
        <v>15</v>
      </c>
      <c r="B272" s="6" t="s">
        <v>57</v>
      </c>
      <c r="C272" s="6" t="s">
        <v>157</v>
      </c>
      <c r="D272" s="6" t="s">
        <v>155</v>
      </c>
      <c r="E272" s="6" t="s">
        <v>363</v>
      </c>
      <c r="F272" s="6" t="s">
        <v>1658</v>
      </c>
      <c r="G272" s="6">
        <v>68.75</v>
      </c>
      <c r="H272" s="6">
        <v>68.29</v>
      </c>
      <c r="I272" s="6">
        <v>102</v>
      </c>
      <c r="J272" s="6">
        <v>2600</v>
      </c>
      <c r="K272" s="7">
        <f>(J272-M272)*税费参数!$B$12/(I272*10000*(1+SUM(税费参数!$B$6:$B$8)))</f>
        <v>0.0228718606086502</v>
      </c>
      <c r="L272" s="7">
        <f>J272*税费参数!$B$12/(I272*10000)</f>
        <v>0.0254901960784314</v>
      </c>
      <c r="M272" s="6">
        <f>I272*10000*SUM(税费参数!$B$9:$B$10)/税费参数!$B$11</f>
        <v>191.25</v>
      </c>
    </row>
    <row r="273" ht="21" customHeight="1" spans="1:13">
      <c r="A273" s="5" t="s">
        <v>15</v>
      </c>
      <c r="B273" s="6" t="s">
        <v>57</v>
      </c>
      <c r="C273" s="6" t="s">
        <v>157</v>
      </c>
      <c r="D273" s="6" t="s">
        <v>155</v>
      </c>
      <c r="E273" s="6" t="s">
        <v>363</v>
      </c>
      <c r="F273" s="6" t="s">
        <v>1659</v>
      </c>
      <c r="G273" s="6">
        <v>68.75</v>
      </c>
      <c r="H273" s="6">
        <v>68.29</v>
      </c>
      <c r="I273" s="6">
        <v>102</v>
      </c>
      <c r="J273" s="6">
        <v>3000</v>
      </c>
      <c r="K273" s="7">
        <f>(J273-M273)*税费参数!$B$12/(I273*10000*(1+SUM(税费参数!$B$6:$B$8)))</f>
        <v>0.0266699900299103</v>
      </c>
      <c r="L273" s="7">
        <f>J273*税费参数!$B$12/(I273*10000)</f>
        <v>0.0294117647058824</v>
      </c>
      <c r="M273" s="6">
        <f>I273*10000*SUM(税费参数!$B$9:$B$10)/税费参数!$B$11</f>
        <v>191.25</v>
      </c>
    </row>
    <row r="274" ht="21" customHeight="1" spans="1:13">
      <c r="A274" s="5" t="s">
        <v>15</v>
      </c>
      <c r="B274" s="6" t="s">
        <v>57</v>
      </c>
      <c r="C274" s="6" t="s">
        <v>157</v>
      </c>
      <c r="D274" s="6" t="s">
        <v>162</v>
      </c>
      <c r="E274" s="6" t="s">
        <v>367</v>
      </c>
      <c r="F274" s="6" t="s">
        <v>1660</v>
      </c>
      <c r="G274" s="6">
        <v>83.51</v>
      </c>
      <c r="H274" s="6">
        <v>87.02</v>
      </c>
      <c r="I274" s="6">
        <v>115</v>
      </c>
      <c r="J274" s="6">
        <v>2700</v>
      </c>
      <c r="K274" s="7">
        <f>(J274-M274)*税费参数!$B$12/(I274*10000*(1+SUM(税费参数!$B$6:$B$8)))</f>
        <v>0.0209232550794821</v>
      </c>
      <c r="L274" s="7">
        <f>J274*税费参数!$B$12/(I274*10000)</f>
        <v>0.0234782608695652</v>
      </c>
      <c r="M274" s="6">
        <f>I274*10000*SUM(税费参数!$B$9:$B$10)/税费参数!$B$11</f>
        <v>215.625</v>
      </c>
    </row>
    <row r="275" ht="21" customHeight="1" spans="1:13">
      <c r="A275" s="5" t="s">
        <v>15</v>
      </c>
      <c r="B275" s="6" t="s">
        <v>57</v>
      </c>
      <c r="C275" s="6" t="s">
        <v>157</v>
      </c>
      <c r="D275" s="6" t="s">
        <v>162</v>
      </c>
      <c r="E275" s="6" t="s">
        <v>367</v>
      </c>
      <c r="F275" s="6" t="s">
        <v>1661</v>
      </c>
      <c r="G275" s="6">
        <v>83.51</v>
      </c>
      <c r="H275" s="6">
        <v>87.02</v>
      </c>
      <c r="I275" s="6">
        <v>115</v>
      </c>
      <c r="J275" s="6">
        <v>6000</v>
      </c>
      <c r="K275" s="7">
        <f>(J275-M275)*税费参数!$B$12/(I275*10000*(1+SUM(税费参数!$B$6:$B$8)))</f>
        <v>0.0487156542793978</v>
      </c>
      <c r="L275" s="7">
        <f>J275*税费参数!$B$12/(I275*10000)</f>
        <v>0.0521739130434783</v>
      </c>
      <c r="M275" s="6">
        <f>I275*10000*SUM(税费参数!$B$9:$B$10)/税费参数!$B$11</f>
        <v>215.625</v>
      </c>
    </row>
    <row r="276" ht="21" customHeight="1" spans="1:13">
      <c r="A276" s="5" t="s">
        <v>15</v>
      </c>
      <c r="B276" s="6" t="s">
        <v>64</v>
      </c>
      <c r="C276" s="6" t="s">
        <v>159</v>
      </c>
      <c r="D276" s="6" t="s">
        <v>160</v>
      </c>
      <c r="E276" s="6" t="s">
        <v>393</v>
      </c>
      <c r="F276" s="6" t="s">
        <v>1662</v>
      </c>
      <c r="G276" s="6">
        <v>37.82</v>
      </c>
      <c r="H276" s="6">
        <v>37.82</v>
      </c>
      <c r="I276" s="6">
        <v>95</v>
      </c>
      <c r="J276" s="6">
        <v>1800</v>
      </c>
      <c r="K276" s="7">
        <f>(J276-M276)*税费参数!$B$12/(I276*10000*(1+SUM(税费参数!$B$6:$B$8)))</f>
        <v>0.0165349815216006</v>
      </c>
      <c r="L276" s="7">
        <f>J276*税费参数!$B$12/(I276*10000)</f>
        <v>0.0189473684210526</v>
      </c>
      <c r="M276" s="6">
        <f>I276*10000*SUM(税费参数!$B$9:$B$10)/税费参数!$B$11</f>
        <v>178.125</v>
      </c>
    </row>
    <row r="277" ht="21" customHeight="1" spans="1:13">
      <c r="A277" s="5" t="s">
        <v>15</v>
      </c>
      <c r="B277" s="6" t="s">
        <v>64</v>
      </c>
      <c r="C277" s="6" t="s">
        <v>159</v>
      </c>
      <c r="D277" s="6" t="s">
        <v>153</v>
      </c>
      <c r="E277" s="6" t="s">
        <v>401</v>
      </c>
      <c r="F277" s="6" t="s">
        <v>1663</v>
      </c>
      <c r="G277" s="6">
        <v>36.58</v>
      </c>
      <c r="H277" s="6">
        <v>39.33</v>
      </c>
      <c r="I277" s="6">
        <v>88</v>
      </c>
      <c r="J277" s="6">
        <v>1600</v>
      </c>
      <c r="K277" s="7">
        <f>(J277-M277)*税费参数!$B$12/(I277*10000*(1+SUM(税费参数!$B$6:$B$8)))</f>
        <v>0.0157935285053929</v>
      </c>
      <c r="L277" s="7">
        <f>J277*税费参数!$B$12/(I277*10000)</f>
        <v>0.0181818181818182</v>
      </c>
      <c r="M277" s="6">
        <f>I277*10000*SUM(税费参数!$B$9:$B$10)/税费参数!$B$11</f>
        <v>165</v>
      </c>
    </row>
    <row r="278" ht="21" customHeight="1" spans="1:13">
      <c r="A278" s="5" t="s">
        <v>15</v>
      </c>
      <c r="B278" s="6" t="s">
        <v>64</v>
      </c>
      <c r="C278" s="6" t="s">
        <v>159</v>
      </c>
      <c r="D278" s="6" t="s">
        <v>153</v>
      </c>
      <c r="E278" s="6" t="s">
        <v>399</v>
      </c>
      <c r="F278" s="6" t="s">
        <v>1663</v>
      </c>
      <c r="G278" s="6">
        <v>36.58</v>
      </c>
      <c r="H278" s="6">
        <v>39.33</v>
      </c>
      <c r="I278" s="6">
        <v>103</v>
      </c>
      <c r="J278" s="6">
        <v>1600</v>
      </c>
      <c r="K278" s="7">
        <f>(J278-M278)*税费参数!$B$12/(I278*10000*(1+SUM(税费参数!$B$6:$B$8)))</f>
        <v>0.0132290368838007</v>
      </c>
      <c r="L278" s="7">
        <f>J278*税费参数!$B$12/(I278*10000)</f>
        <v>0.0155339805825243</v>
      </c>
      <c r="M278" s="6">
        <f>I278*10000*SUM(税费参数!$B$9:$B$10)/税费参数!$B$11</f>
        <v>193.125</v>
      </c>
    </row>
    <row r="279" ht="21" customHeight="1" spans="1:13">
      <c r="A279" s="5" t="s">
        <v>15</v>
      </c>
      <c r="B279" s="6" t="s">
        <v>64</v>
      </c>
      <c r="C279" s="6" t="s">
        <v>152</v>
      </c>
      <c r="D279" s="6" t="s">
        <v>160</v>
      </c>
      <c r="E279" s="6" t="s">
        <v>371</v>
      </c>
      <c r="F279" s="6" t="s">
        <v>1664</v>
      </c>
      <c r="G279" s="6">
        <v>50.61</v>
      </c>
      <c r="H279" s="6">
        <v>45.2</v>
      </c>
      <c r="I279" s="6">
        <v>88</v>
      </c>
      <c r="J279" s="6">
        <v>1800</v>
      </c>
      <c r="K279" s="7">
        <f>(J279-M279)*税费参数!$B$12/(I279*10000*(1+SUM(税费参数!$B$6:$B$8)))</f>
        <v>0.0179947171472595</v>
      </c>
      <c r="L279" s="7">
        <f>J279*税费参数!$B$12/(I279*10000)</f>
        <v>0.0204545454545455</v>
      </c>
      <c r="M279" s="6">
        <f>I279*10000*SUM(税费参数!$B$9:$B$10)/税费参数!$B$11</f>
        <v>165</v>
      </c>
    </row>
    <row r="280" ht="21" customHeight="1" spans="1:13">
      <c r="A280" s="5" t="s">
        <v>15</v>
      </c>
      <c r="B280" s="6" t="s">
        <v>64</v>
      </c>
      <c r="C280" s="6" t="s">
        <v>152</v>
      </c>
      <c r="D280" s="6" t="s">
        <v>160</v>
      </c>
      <c r="E280" s="6" t="s">
        <v>369</v>
      </c>
      <c r="F280" s="6" t="s">
        <v>1664</v>
      </c>
      <c r="G280" s="6">
        <v>46.8</v>
      </c>
      <c r="H280" s="6">
        <v>45.2</v>
      </c>
      <c r="I280" s="6">
        <v>118</v>
      </c>
      <c r="J280" s="6">
        <v>1800</v>
      </c>
      <c r="K280" s="7">
        <f>(J280-M280)*税费参数!$B$12/(I280*10000*(1+SUM(税费参数!$B$6:$B$8)))</f>
        <v>0.0129580990684122</v>
      </c>
      <c r="L280" s="7">
        <f>J280*税费参数!$B$12/(I280*10000)</f>
        <v>0.0152542372881356</v>
      </c>
      <c r="M280" s="6">
        <f>I280*10000*SUM(税费参数!$B$9:$B$10)/税费参数!$B$11</f>
        <v>221.25</v>
      </c>
    </row>
    <row r="281" ht="21" customHeight="1" spans="1:13">
      <c r="A281" s="5" t="s">
        <v>15</v>
      </c>
      <c r="B281" s="6" t="s">
        <v>64</v>
      </c>
      <c r="C281" s="6" t="s">
        <v>152</v>
      </c>
      <c r="D281" s="6" t="s">
        <v>153</v>
      </c>
      <c r="E281" s="6" t="s">
        <v>373</v>
      </c>
      <c r="F281" s="6" t="s">
        <v>1665</v>
      </c>
      <c r="G281" s="6">
        <v>56.44</v>
      </c>
      <c r="H281" s="6">
        <v>59</v>
      </c>
      <c r="I281" s="6">
        <v>109</v>
      </c>
      <c r="J281" s="6">
        <v>2430</v>
      </c>
      <c r="K281" s="7">
        <f>(J281-M281)*税费参数!$B$12/(I281*10000*(1+SUM(税费参数!$B$6:$B$8)))</f>
        <v>0.0197758624519626</v>
      </c>
      <c r="L281" s="7">
        <f>J281*税费参数!$B$12/(I281*10000)</f>
        <v>0.0222935779816514</v>
      </c>
      <c r="M281" s="6">
        <f>I281*10000*SUM(税费参数!$B$9:$B$10)/税费参数!$B$11</f>
        <v>204.375</v>
      </c>
    </row>
    <row r="282" ht="21" customHeight="1" spans="1:13">
      <c r="A282" s="5" t="s">
        <v>15</v>
      </c>
      <c r="B282" s="6" t="s">
        <v>64</v>
      </c>
      <c r="C282" s="6" t="s">
        <v>152</v>
      </c>
      <c r="D282" s="6" t="s">
        <v>153</v>
      </c>
      <c r="E282" s="6" t="s">
        <v>377</v>
      </c>
      <c r="F282" s="6" t="s">
        <v>1666</v>
      </c>
      <c r="G282" s="6">
        <v>45.2</v>
      </c>
      <c r="H282" s="6">
        <v>45.2</v>
      </c>
      <c r="I282" s="6">
        <v>86</v>
      </c>
      <c r="J282" s="6">
        <v>2100</v>
      </c>
      <c r="K282" s="7">
        <f>(J282-M282)*税费参数!$B$12/(I282*10000*(1+SUM(税费参数!$B$6:$B$8)))</f>
        <v>0.0218339996621431</v>
      </c>
      <c r="L282" s="7">
        <f>J282*税费参数!$B$12/(I282*10000)</f>
        <v>0.0244186046511628</v>
      </c>
      <c r="M282" s="6">
        <f>I282*10000*SUM(税费参数!$B$9:$B$10)/税费参数!$B$11</f>
        <v>161.25</v>
      </c>
    </row>
    <row r="283" ht="21" customHeight="1" spans="1:13">
      <c r="A283" s="5" t="s">
        <v>15</v>
      </c>
      <c r="B283" s="6" t="s">
        <v>64</v>
      </c>
      <c r="C283" s="6" t="s">
        <v>152</v>
      </c>
      <c r="D283" s="6" t="s">
        <v>153</v>
      </c>
      <c r="E283" s="6" t="s">
        <v>377</v>
      </c>
      <c r="F283" s="6" t="s">
        <v>1667</v>
      </c>
      <c r="G283" s="6">
        <v>45.2</v>
      </c>
      <c r="H283" s="6">
        <v>42.57</v>
      </c>
      <c r="I283" s="6">
        <v>86</v>
      </c>
      <c r="J283" s="6">
        <v>2000</v>
      </c>
      <c r="K283" s="7">
        <f>(J283-M283)*税费参数!$B$12/(I283*10000*(1+SUM(税费参数!$B$6:$B$8)))</f>
        <v>0.0207078101244439</v>
      </c>
      <c r="L283" s="7">
        <f>J283*税费参数!$B$12/(I283*10000)</f>
        <v>0.0232558139534884</v>
      </c>
      <c r="M283" s="6">
        <f>I283*10000*SUM(税费参数!$B$9:$B$10)/税费参数!$B$11</f>
        <v>161.25</v>
      </c>
    </row>
    <row r="284" ht="21" customHeight="1" spans="1:13">
      <c r="A284" s="5" t="s">
        <v>15</v>
      </c>
      <c r="B284" s="6" t="s">
        <v>64</v>
      </c>
      <c r="C284" s="6" t="s">
        <v>152</v>
      </c>
      <c r="D284" s="6" t="s">
        <v>153</v>
      </c>
      <c r="E284" s="6" t="s">
        <v>377</v>
      </c>
      <c r="F284" s="6" t="s">
        <v>1668</v>
      </c>
      <c r="G284" s="6">
        <v>45.2</v>
      </c>
      <c r="H284" s="6">
        <v>42.57</v>
      </c>
      <c r="I284" s="6">
        <v>86</v>
      </c>
      <c r="J284" s="6">
        <v>2200</v>
      </c>
      <c r="K284" s="7">
        <f>(J284-M284)*税费参数!$B$12/(I284*10000*(1+SUM(税费参数!$B$6:$B$8)))</f>
        <v>0.0229601891998423</v>
      </c>
      <c r="L284" s="7">
        <f>J284*税费参数!$B$12/(I284*10000)</f>
        <v>0.0255813953488372</v>
      </c>
      <c r="M284" s="6">
        <f>I284*10000*SUM(税费参数!$B$9:$B$10)/税费参数!$B$11</f>
        <v>161.25</v>
      </c>
    </row>
    <row r="285" ht="21" customHeight="1" spans="1:13">
      <c r="A285" s="5" t="s">
        <v>15</v>
      </c>
      <c r="B285" s="6" t="s">
        <v>64</v>
      </c>
      <c r="C285" s="6" t="s">
        <v>152</v>
      </c>
      <c r="D285" s="6" t="s">
        <v>153</v>
      </c>
      <c r="E285" s="6" t="s">
        <v>381</v>
      </c>
      <c r="F285" s="6" t="s">
        <v>1666</v>
      </c>
      <c r="G285" s="6">
        <v>46.8</v>
      </c>
      <c r="H285" s="6">
        <v>45.2</v>
      </c>
      <c r="I285" s="6">
        <v>91.8</v>
      </c>
      <c r="J285" s="6">
        <v>2100</v>
      </c>
      <c r="K285" s="7">
        <f>(J285-M285)*税费参数!$B$12/(I285*10000*(1+SUM(税费参数!$B$6:$B$8)))</f>
        <v>0.0203397743278102</v>
      </c>
      <c r="L285" s="7">
        <f>J285*税费参数!$B$12/(I285*10000)</f>
        <v>0.0228758169934641</v>
      </c>
      <c r="M285" s="6">
        <f>I285*10000*SUM(税费参数!$B$9:$B$10)/税费参数!$B$11</f>
        <v>172.125</v>
      </c>
    </row>
    <row r="286" ht="21" customHeight="1" spans="1:13">
      <c r="A286" s="5" t="s">
        <v>15</v>
      </c>
      <c r="B286" s="6" t="s">
        <v>64</v>
      </c>
      <c r="C286" s="6" t="s">
        <v>152</v>
      </c>
      <c r="D286" s="6" t="s">
        <v>153</v>
      </c>
      <c r="E286" s="6" t="s">
        <v>381</v>
      </c>
      <c r="F286" s="6" t="s">
        <v>1667</v>
      </c>
      <c r="G286" s="6">
        <v>46.8</v>
      </c>
      <c r="H286" s="6">
        <v>42.57</v>
      </c>
      <c r="I286" s="6">
        <v>91.8</v>
      </c>
      <c r="J286" s="6">
        <v>2000</v>
      </c>
      <c r="K286" s="7">
        <f>(J286-M286)*税费参数!$B$12/(I286*10000*(1+SUM(税费参数!$B$6:$B$8)))</f>
        <v>0.0192847383774602</v>
      </c>
      <c r="L286" s="7">
        <f>J286*税费参数!$B$12/(I286*10000)</f>
        <v>0.0217864923747277</v>
      </c>
      <c r="M286" s="6">
        <f>I286*10000*SUM(税费参数!$B$9:$B$10)/税费参数!$B$11</f>
        <v>172.125</v>
      </c>
    </row>
    <row r="287" ht="21" customHeight="1" spans="1:13">
      <c r="A287" s="5" t="s">
        <v>15</v>
      </c>
      <c r="B287" s="6" t="s">
        <v>64</v>
      </c>
      <c r="C287" s="6" t="s">
        <v>152</v>
      </c>
      <c r="D287" s="6" t="s">
        <v>153</v>
      </c>
      <c r="E287" s="6" t="s">
        <v>381</v>
      </c>
      <c r="F287" s="6" t="s">
        <v>1668</v>
      </c>
      <c r="G287" s="6">
        <v>46.8</v>
      </c>
      <c r="H287" s="6">
        <v>42.57</v>
      </c>
      <c r="I287" s="6">
        <v>91.8</v>
      </c>
      <c r="J287" s="6">
        <v>2200</v>
      </c>
      <c r="K287" s="7">
        <f>(J287-M287)*税费参数!$B$12/(I287*10000*(1+SUM(税费参数!$B$6:$B$8)))</f>
        <v>0.0213948102781602</v>
      </c>
      <c r="L287" s="7">
        <f>J287*税费参数!$B$12/(I287*10000)</f>
        <v>0.0239651416122004</v>
      </c>
      <c r="M287" s="6">
        <f>I287*10000*SUM(税费参数!$B$9:$B$10)/税费参数!$B$11</f>
        <v>172.125</v>
      </c>
    </row>
    <row r="288" ht="21" customHeight="1" spans="1:13">
      <c r="A288" s="5" t="s">
        <v>15</v>
      </c>
      <c r="B288" s="6" t="s">
        <v>64</v>
      </c>
      <c r="C288" s="6" t="s">
        <v>152</v>
      </c>
      <c r="D288" s="6" t="s">
        <v>153</v>
      </c>
      <c r="E288" s="6" t="s">
        <v>379</v>
      </c>
      <c r="F288" s="6" t="s">
        <v>1666</v>
      </c>
      <c r="G288" s="6">
        <v>46.67</v>
      </c>
      <c r="H288" s="6">
        <v>45.2</v>
      </c>
      <c r="I288" s="6">
        <v>92</v>
      </c>
      <c r="J288" s="6">
        <v>2100</v>
      </c>
      <c r="K288" s="7">
        <f>(J288-M288)*税费参数!$B$12/(I288*10000*(1+SUM(税费参数!$B$6:$B$8)))</f>
        <v>0.0202916096431203</v>
      </c>
      <c r="L288" s="7">
        <f>J288*税费参数!$B$12/(I288*10000)</f>
        <v>0.0228260869565217</v>
      </c>
      <c r="M288" s="6">
        <f>I288*10000*SUM(税费参数!$B$9:$B$10)/税费参数!$B$11</f>
        <v>172.5</v>
      </c>
    </row>
    <row r="289" ht="21" customHeight="1" spans="1:13">
      <c r="A289" s="5" t="s">
        <v>15</v>
      </c>
      <c r="B289" s="6" t="s">
        <v>64</v>
      </c>
      <c r="C289" s="6" t="s">
        <v>152</v>
      </c>
      <c r="D289" s="6" t="s">
        <v>153</v>
      </c>
      <c r="E289" s="6" t="s">
        <v>379</v>
      </c>
      <c r="F289" s="6" t="s">
        <v>1667</v>
      </c>
      <c r="G289" s="6">
        <v>46.67</v>
      </c>
      <c r="H289" s="6">
        <v>42.57</v>
      </c>
      <c r="I289" s="6">
        <v>92</v>
      </c>
      <c r="J289" s="6">
        <v>2000</v>
      </c>
      <c r="K289" s="7">
        <f>(J289-M289)*税费参数!$B$12/(I289*10000*(1+SUM(税费参数!$B$6:$B$8)))</f>
        <v>0.0192388672491841</v>
      </c>
      <c r="L289" s="7">
        <f>J289*税费参数!$B$12/(I289*10000)</f>
        <v>0.0217391304347826</v>
      </c>
      <c r="M289" s="6">
        <f>I289*10000*SUM(税费参数!$B$9:$B$10)/税费参数!$B$11</f>
        <v>172.5</v>
      </c>
    </row>
    <row r="290" ht="21" customHeight="1" spans="1:13">
      <c r="A290" s="5" t="s">
        <v>15</v>
      </c>
      <c r="B290" s="6" t="s">
        <v>64</v>
      </c>
      <c r="C290" s="6" t="s">
        <v>152</v>
      </c>
      <c r="D290" s="6" t="s">
        <v>153</v>
      </c>
      <c r="E290" s="6" t="s">
        <v>379</v>
      </c>
      <c r="F290" s="6" t="s">
        <v>1668</v>
      </c>
      <c r="G290" s="6">
        <v>46.67</v>
      </c>
      <c r="H290" s="6">
        <v>42.57</v>
      </c>
      <c r="I290" s="6">
        <v>92</v>
      </c>
      <c r="J290" s="6">
        <v>2200</v>
      </c>
      <c r="K290" s="7">
        <f>(J290-M290)*税费参数!$B$12/(I290*10000*(1+SUM(税费参数!$B$6:$B$8)))</f>
        <v>0.0213443520370565</v>
      </c>
      <c r="L290" s="7">
        <f>J290*税费参数!$B$12/(I290*10000)</f>
        <v>0.0239130434782609</v>
      </c>
      <c r="M290" s="6">
        <f>I290*10000*SUM(税费参数!$B$9:$B$10)/税费参数!$B$11</f>
        <v>172.5</v>
      </c>
    </row>
    <row r="291" ht="21" customHeight="1" spans="1:13">
      <c r="A291" s="5" t="s">
        <v>15</v>
      </c>
      <c r="B291" s="6" t="s">
        <v>64</v>
      </c>
      <c r="C291" s="6" t="s">
        <v>152</v>
      </c>
      <c r="D291" s="6" t="s">
        <v>153</v>
      </c>
      <c r="E291" s="6" t="s">
        <v>375</v>
      </c>
      <c r="F291" s="6" t="s">
        <v>1666</v>
      </c>
      <c r="G291" s="6">
        <v>44.39</v>
      </c>
      <c r="H291" s="6">
        <v>45.2</v>
      </c>
      <c r="I291" s="6">
        <v>95</v>
      </c>
      <c r="J291" s="6">
        <v>2100</v>
      </c>
      <c r="K291" s="7">
        <f>(J291-M291)*税费参数!$B$12/(I291*10000*(1+SUM(税费参数!$B$6:$B$8)))</f>
        <v>0.0195934752134574</v>
      </c>
      <c r="L291" s="7">
        <f>J291*税费参数!$B$12/(I291*10000)</f>
        <v>0.0221052631578947</v>
      </c>
      <c r="M291" s="6">
        <f>I291*10000*SUM(税费参数!$B$9:$B$10)/税费参数!$B$11</f>
        <v>178.125</v>
      </c>
    </row>
    <row r="292" ht="21" customHeight="1" spans="1:13">
      <c r="A292" s="5" t="s">
        <v>15</v>
      </c>
      <c r="B292" s="6" t="s">
        <v>64</v>
      </c>
      <c r="C292" s="6" t="s">
        <v>152</v>
      </c>
      <c r="D292" s="6" t="s">
        <v>153</v>
      </c>
      <c r="E292" s="6" t="s">
        <v>375</v>
      </c>
      <c r="F292" s="6" t="s">
        <v>1667</v>
      </c>
      <c r="G292" s="6">
        <v>44.39</v>
      </c>
      <c r="H292" s="6">
        <v>42.57</v>
      </c>
      <c r="I292" s="6">
        <v>95</v>
      </c>
      <c r="J292" s="6">
        <v>2000</v>
      </c>
      <c r="K292" s="7">
        <f>(J292-M292)*税费参数!$B$12/(I292*10000*(1+SUM(税费参数!$B$6:$B$8)))</f>
        <v>0.0185739773161718</v>
      </c>
      <c r="L292" s="7">
        <f>J292*税费参数!$B$12/(I292*10000)</f>
        <v>0.0210526315789474</v>
      </c>
      <c r="M292" s="6">
        <f>I292*10000*SUM(税费参数!$B$9:$B$10)/税费参数!$B$11</f>
        <v>178.125</v>
      </c>
    </row>
    <row r="293" ht="21" customHeight="1" spans="1:13">
      <c r="A293" s="5" t="s">
        <v>15</v>
      </c>
      <c r="B293" s="6" t="s">
        <v>64</v>
      </c>
      <c r="C293" s="6" t="s">
        <v>152</v>
      </c>
      <c r="D293" s="6" t="s">
        <v>153</v>
      </c>
      <c r="E293" s="6" t="s">
        <v>375</v>
      </c>
      <c r="F293" s="6" t="s">
        <v>1668</v>
      </c>
      <c r="G293" s="6">
        <v>44.39</v>
      </c>
      <c r="H293" s="6">
        <v>42.57</v>
      </c>
      <c r="I293" s="6">
        <v>95</v>
      </c>
      <c r="J293" s="6">
        <v>2200</v>
      </c>
      <c r="K293" s="7">
        <f>(J293-M293)*税费参数!$B$12/(I293*10000*(1+SUM(税费参数!$B$6:$B$8)))</f>
        <v>0.020612973110743</v>
      </c>
      <c r="L293" s="7">
        <f>J293*税费参数!$B$12/(I293*10000)</f>
        <v>0.0231578947368421</v>
      </c>
      <c r="M293" s="6">
        <f>I293*10000*SUM(税费参数!$B$9:$B$10)/税费参数!$B$11</f>
        <v>178.125</v>
      </c>
    </row>
    <row r="294" ht="21" customHeight="1" spans="1:13">
      <c r="A294" s="5" t="s">
        <v>15</v>
      </c>
      <c r="B294" s="6" t="s">
        <v>64</v>
      </c>
      <c r="C294" s="6" t="s">
        <v>152</v>
      </c>
      <c r="D294" s="6" t="s">
        <v>153</v>
      </c>
      <c r="E294" s="6" t="s">
        <v>383</v>
      </c>
      <c r="F294" s="6" t="s">
        <v>1666</v>
      </c>
      <c r="G294" s="6">
        <v>42.57</v>
      </c>
      <c r="H294" s="6">
        <v>45.2</v>
      </c>
      <c r="I294" s="6">
        <v>108</v>
      </c>
      <c r="J294" s="6">
        <v>2100</v>
      </c>
      <c r="K294" s="7">
        <f>(J294-M294)*税费参数!$B$12/(I294*10000*(1+SUM(税费参数!$B$6:$B$8)))</f>
        <v>0.0170164110842077</v>
      </c>
      <c r="L294" s="7">
        <f>J294*税费参数!$B$12/(I294*10000)</f>
        <v>0.0194444444444444</v>
      </c>
      <c r="M294" s="6">
        <f>I294*10000*SUM(税费参数!$B$9:$B$10)/税费参数!$B$11</f>
        <v>202.5</v>
      </c>
    </row>
    <row r="295" ht="21" customHeight="1" spans="1:13">
      <c r="A295" s="5" t="s">
        <v>15</v>
      </c>
      <c r="B295" s="6" t="s">
        <v>64</v>
      </c>
      <c r="C295" s="6" t="s">
        <v>152</v>
      </c>
      <c r="D295" s="6" t="s">
        <v>153</v>
      </c>
      <c r="E295" s="6" t="s">
        <v>383</v>
      </c>
      <c r="F295" s="6" t="s">
        <v>1667</v>
      </c>
      <c r="G295" s="6">
        <v>42.57</v>
      </c>
      <c r="H295" s="6">
        <v>42.57</v>
      </c>
      <c r="I295" s="6">
        <v>108</v>
      </c>
      <c r="J295" s="6">
        <v>2000</v>
      </c>
      <c r="K295" s="7">
        <f>(J295-M295)*税费参数!$B$12/(I295*10000*(1+SUM(税费参数!$B$6:$B$8)))</f>
        <v>0.0161196305264102</v>
      </c>
      <c r="L295" s="7">
        <f>J295*税费参数!$B$12/(I295*10000)</f>
        <v>0.0185185185185185</v>
      </c>
      <c r="M295" s="6">
        <f>I295*10000*SUM(税费参数!$B$9:$B$10)/税费参数!$B$11</f>
        <v>202.5</v>
      </c>
    </row>
    <row r="296" ht="21" customHeight="1" spans="1:13">
      <c r="A296" s="5" t="s">
        <v>15</v>
      </c>
      <c r="B296" s="6" t="s">
        <v>64</v>
      </c>
      <c r="C296" s="6" t="s">
        <v>152</v>
      </c>
      <c r="D296" s="6" t="s">
        <v>153</v>
      </c>
      <c r="E296" s="6" t="s">
        <v>383</v>
      </c>
      <c r="F296" s="6" t="s">
        <v>1668</v>
      </c>
      <c r="G296" s="6">
        <v>42.57</v>
      </c>
      <c r="H296" s="6">
        <v>42.57</v>
      </c>
      <c r="I296" s="6">
        <v>108</v>
      </c>
      <c r="J296" s="6">
        <v>2200</v>
      </c>
      <c r="K296" s="7">
        <f>(J296-M296)*税费参数!$B$12/(I296*10000*(1+SUM(税费参数!$B$6:$B$8)))</f>
        <v>0.0179131916420052</v>
      </c>
      <c r="L296" s="7">
        <f>J296*税费参数!$B$12/(I296*10000)</f>
        <v>0.0203703703703704</v>
      </c>
      <c r="M296" s="6">
        <f>I296*10000*SUM(税费参数!$B$9:$B$10)/税费参数!$B$11</f>
        <v>202.5</v>
      </c>
    </row>
    <row r="297" ht="21" customHeight="1" spans="1:13">
      <c r="A297" s="5" t="s">
        <v>15</v>
      </c>
      <c r="B297" s="6" t="s">
        <v>64</v>
      </c>
      <c r="C297" s="6" t="s">
        <v>152</v>
      </c>
      <c r="D297" s="6" t="s">
        <v>155</v>
      </c>
      <c r="E297" s="6" t="s">
        <v>389</v>
      </c>
      <c r="F297" s="6" t="s">
        <v>1669</v>
      </c>
      <c r="G297" s="6">
        <v>56.14</v>
      </c>
      <c r="H297" s="6">
        <v>48.1</v>
      </c>
      <c r="I297" s="6">
        <v>78</v>
      </c>
      <c r="J297" s="6">
        <v>2000</v>
      </c>
      <c r="K297" s="7">
        <f>(J297-M297)*税费参数!$B$12/(I297*10000*(1+SUM(税费参数!$B$6:$B$8)))</f>
        <v>0.0230179425094679</v>
      </c>
      <c r="L297" s="7">
        <f>J297*税费参数!$B$12/(I297*10000)</f>
        <v>0.0256410256410256</v>
      </c>
      <c r="M297" s="6">
        <f>I297*10000*SUM(税费参数!$B$9:$B$10)/税费参数!$B$11</f>
        <v>146.25</v>
      </c>
    </row>
    <row r="298" ht="21" customHeight="1" spans="1:13">
      <c r="A298" s="5" t="s">
        <v>15</v>
      </c>
      <c r="B298" s="6" t="s">
        <v>64</v>
      </c>
      <c r="C298" s="6" t="s">
        <v>152</v>
      </c>
      <c r="D298" s="6" t="s">
        <v>155</v>
      </c>
      <c r="E298" s="6" t="s">
        <v>387</v>
      </c>
      <c r="F298" s="6" t="s">
        <v>1669</v>
      </c>
      <c r="G298" s="6">
        <v>56.46</v>
      </c>
      <c r="H298" s="6">
        <v>48.1</v>
      </c>
      <c r="I298" s="6">
        <v>118</v>
      </c>
      <c r="J298" s="6">
        <v>2000</v>
      </c>
      <c r="K298" s="7">
        <f>(J298-M298)*税费参数!$B$12/(I298*10000*(1+SUM(税费参数!$B$6:$B$8)))</f>
        <v>0.0145996634792958</v>
      </c>
      <c r="L298" s="7">
        <f>J298*税费参数!$B$12/(I298*10000)</f>
        <v>0.0169491525423729</v>
      </c>
      <c r="M298" s="6">
        <f>I298*10000*SUM(税费参数!$B$9:$B$10)/税费参数!$B$11</f>
        <v>221.25</v>
      </c>
    </row>
    <row r="299" ht="21" customHeight="1" spans="1:13">
      <c r="A299" s="5" t="s">
        <v>15</v>
      </c>
      <c r="B299" s="6" t="s">
        <v>64</v>
      </c>
      <c r="C299" s="6" t="s">
        <v>152</v>
      </c>
      <c r="D299" s="6" t="s">
        <v>155</v>
      </c>
      <c r="E299" s="6" t="s">
        <v>385</v>
      </c>
      <c r="F299" s="6" t="s">
        <v>1669</v>
      </c>
      <c r="G299" s="6">
        <v>42.57</v>
      </c>
      <c r="H299" s="6">
        <v>48.1</v>
      </c>
      <c r="I299" s="6">
        <v>76</v>
      </c>
      <c r="J299" s="6">
        <v>2000</v>
      </c>
      <c r="K299" s="7">
        <f>(J299-M299)*税费参数!$B$12/(I299*10000*(1+SUM(税费参数!$B$6:$B$8)))</f>
        <v>0.0236714668025997</v>
      </c>
      <c r="L299" s="7">
        <f>J299*税费参数!$B$12/(I299*10000)</f>
        <v>0.0263157894736842</v>
      </c>
      <c r="M299" s="6">
        <f>I299*10000*SUM(税费参数!$B$9:$B$10)/税费参数!$B$11</f>
        <v>142.5</v>
      </c>
    </row>
    <row r="300" ht="21" customHeight="1" spans="1:13">
      <c r="A300" s="5" t="s">
        <v>15</v>
      </c>
      <c r="B300" s="6" t="s">
        <v>55</v>
      </c>
      <c r="C300" s="6" t="s">
        <v>159</v>
      </c>
      <c r="D300" s="6" t="s">
        <v>160</v>
      </c>
      <c r="E300" s="6" t="s">
        <v>443</v>
      </c>
      <c r="F300" s="6" t="s">
        <v>1670</v>
      </c>
      <c r="G300" s="6">
        <v>38.58</v>
      </c>
      <c r="H300" s="6">
        <v>34.93</v>
      </c>
      <c r="I300" s="6">
        <v>64</v>
      </c>
      <c r="J300" s="6">
        <v>2000</v>
      </c>
      <c r="K300" s="7">
        <f>(J300-M300)*税费参数!$B$12/(I300*10000*(1+SUM(税费参数!$B$6:$B$8)))</f>
        <v>0.0284503631961259</v>
      </c>
      <c r="L300" s="7">
        <f>J300*税费参数!$B$12/(I300*10000)</f>
        <v>0.03125</v>
      </c>
      <c r="M300" s="6">
        <f>I300*10000*SUM(税费参数!$B$9:$B$10)/税费参数!$B$11</f>
        <v>120</v>
      </c>
    </row>
    <row r="301" ht="21" customHeight="1" spans="1:13">
      <c r="A301" s="5" t="s">
        <v>15</v>
      </c>
      <c r="B301" s="6" t="s">
        <v>55</v>
      </c>
      <c r="C301" s="6" t="s">
        <v>159</v>
      </c>
      <c r="D301" s="6" t="s">
        <v>160</v>
      </c>
      <c r="E301" s="6" t="s">
        <v>443</v>
      </c>
      <c r="F301" s="6" t="s">
        <v>1671</v>
      </c>
      <c r="G301" s="6">
        <v>38.58</v>
      </c>
      <c r="H301" s="6">
        <v>39.67</v>
      </c>
      <c r="I301" s="6">
        <v>64</v>
      </c>
      <c r="J301" s="6">
        <v>2000</v>
      </c>
      <c r="K301" s="7">
        <f>(J301-M301)*税费参数!$B$12/(I301*10000*(1+SUM(税费参数!$B$6:$B$8)))</f>
        <v>0.0284503631961259</v>
      </c>
      <c r="L301" s="7">
        <f>J301*税费参数!$B$12/(I301*10000)</f>
        <v>0.03125</v>
      </c>
      <c r="M301" s="6">
        <f>I301*10000*SUM(税费参数!$B$9:$B$10)/税费参数!$B$11</f>
        <v>120</v>
      </c>
    </row>
    <row r="302" ht="21" customHeight="1" spans="1:13">
      <c r="A302" s="5" t="s">
        <v>15</v>
      </c>
      <c r="B302" s="6" t="s">
        <v>55</v>
      </c>
      <c r="C302" s="6" t="s">
        <v>159</v>
      </c>
      <c r="D302" s="6" t="s">
        <v>160</v>
      </c>
      <c r="E302" s="6" t="s">
        <v>443</v>
      </c>
      <c r="F302" s="6" t="s">
        <v>1672</v>
      </c>
      <c r="G302" s="6">
        <v>38.58</v>
      </c>
      <c r="H302" s="6">
        <v>39</v>
      </c>
      <c r="I302" s="6">
        <v>64</v>
      </c>
      <c r="J302" s="6">
        <v>2000</v>
      </c>
      <c r="K302" s="7">
        <f>(J302-M302)*税费参数!$B$12/(I302*10000*(1+SUM(税费参数!$B$6:$B$8)))</f>
        <v>0.0284503631961259</v>
      </c>
      <c r="L302" s="7">
        <f>J302*税费参数!$B$12/(I302*10000)</f>
        <v>0.03125</v>
      </c>
      <c r="M302" s="6">
        <f>I302*10000*SUM(税费参数!$B$9:$B$10)/税费参数!$B$11</f>
        <v>120</v>
      </c>
    </row>
    <row r="303" ht="21" customHeight="1" spans="1:13">
      <c r="A303" s="5" t="s">
        <v>15</v>
      </c>
      <c r="B303" s="6" t="s">
        <v>55</v>
      </c>
      <c r="C303" s="6" t="s">
        <v>159</v>
      </c>
      <c r="D303" s="6" t="s">
        <v>160</v>
      </c>
      <c r="E303" s="6" t="s">
        <v>433</v>
      </c>
      <c r="F303" s="6" t="s">
        <v>1670</v>
      </c>
      <c r="G303" s="6">
        <v>39.67</v>
      </c>
      <c r="H303" s="6">
        <v>34.93</v>
      </c>
      <c r="I303" s="6">
        <v>72</v>
      </c>
      <c r="J303" s="6">
        <v>2000</v>
      </c>
      <c r="K303" s="7">
        <f>(J303-M303)*税费参数!$B$12/(I303*10000*(1+SUM(税费参数!$B$6:$B$8)))</f>
        <v>0.0250874361043853</v>
      </c>
      <c r="L303" s="7">
        <f>J303*税费参数!$B$12/(I303*10000)</f>
        <v>0.0277777777777778</v>
      </c>
      <c r="M303" s="6">
        <f>I303*10000*SUM(税费参数!$B$9:$B$10)/税费参数!$B$11</f>
        <v>135</v>
      </c>
    </row>
    <row r="304" ht="21" customHeight="1" spans="1:13">
      <c r="A304" s="5" t="s">
        <v>15</v>
      </c>
      <c r="B304" s="6" t="s">
        <v>55</v>
      </c>
      <c r="C304" s="6" t="s">
        <v>159</v>
      </c>
      <c r="D304" s="6" t="s">
        <v>160</v>
      </c>
      <c r="E304" s="6" t="s">
        <v>433</v>
      </c>
      <c r="F304" s="6" t="s">
        <v>1671</v>
      </c>
      <c r="G304" s="6">
        <v>39.67</v>
      </c>
      <c r="H304" s="6">
        <v>39.67</v>
      </c>
      <c r="I304" s="6">
        <v>72</v>
      </c>
      <c r="J304" s="6">
        <v>2000</v>
      </c>
      <c r="K304" s="7">
        <f>(J304-M304)*税费参数!$B$12/(I304*10000*(1+SUM(税费参数!$B$6:$B$8)))</f>
        <v>0.0250874361043853</v>
      </c>
      <c r="L304" s="7">
        <f>J304*税费参数!$B$12/(I304*10000)</f>
        <v>0.0277777777777778</v>
      </c>
      <c r="M304" s="6">
        <f>I304*10000*SUM(税费参数!$B$9:$B$10)/税费参数!$B$11</f>
        <v>135</v>
      </c>
    </row>
    <row r="305" ht="21" customHeight="1" spans="1:13">
      <c r="A305" s="5" t="s">
        <v>15</v>
      </c>
      <c r="B305" s="6" t="s">
        <v>55</v>
      </c>
      <c r="C305" s="6" t="s">
        <v>159</v>
      </c>
      <c r="D305" s="6" t="s">
        <v>160</v>
      </c>
      <c r="E305" s="6" t="s">
        <v>433</v>
      </c>
      <c r="F305" s="6" t="s">
        <v>1672</v>
      </c>
      <c r="G305" s="6">
        <v>39.67</v>
      </c>
      <c r="H305" s="6">
        <v>39</v>
      </c>
      <c r="I305" s="6">
        <v>72</v>
      </c>
      <c r="J305" s="6">
        <v>2000</v>
      </c>
      <c r="K305" s="7">
        <f>(J305-M305)*税费参数!$B$12/(I305*10000*(1+SUM(税费参数!$B$6:$B$8)))</f>
        <v>0.0250874361043853</v>
      </c>
      <c r="L305" s="7">
        <f>J305*税费参数!$B$12/(I305*10000)</f>
        <v>0.0277777777777778</v>
      </c>
      <c r="M305" s="6">
        <f>I305*10000*SUM(税费参数!$B$9:$B$10)/税费参数!$B$11</f>
        <v>135</v>
      </c>
    </row>
    <row r="306" ht="21" customHeight="1" spans="1:13">
      <c r="A306" s="5" t="s">
        <v>15</v>
      </c>
      <c r="B306" s="6" t="s">
        <v>55</v>
      </c>
      <c r="C306" s="6" t="s">
        <v>159</v>
      </c>
      <c r="D306" s="6" t="s">
        <v>160</v>
      </c>
      <c r="E306" s="6" t="s">
        <v>435</v>
      </c>
      <c r="F306" s="6" t="s">
        <v>1670</v>
      </c>
      <c r="G306" s="6">
        <v>39.67</v>
      </c>
      <c r="H306" s="6">
        <v>34.93</v>
      </c>
      <c r="I306" s="6">
        <v>70</v>
      </c>
      <c r="J306" s="6">
        <v>2000</v>
      </c>
      <c r="K306" s="7">
        <f>(J306-M306)*税费参数!$B$12/(I306*10000*(1+SUM(税费参数!$B$6:$B$8)))</f>
        <v>0.025856105153926</v>
      </c>
      <c r="L306" s="7">
        <f>J306*税费参数!$B$12/(I306*10000)</f>
        <v>0.0285714285714286</v>
      </c>
      <c r="M306" s="6">
        <f>I306*10000*SUM(税费参数!$B$9:$B$10)/税费参数!$B$11</f>
        <v>131.25</v>
      </c>
    </row>
    <row r="307" ht="21" customHeight="1" spans="1:13">
      <c r="A307" s="5" t="s">
        <v>15</v>
      </c>
      <c r="B307" s="6" t="s">
        <v>55</v>
      </c>
      <c r="C307" s="6" t="s">
        <v>159</v>
      </c>
      <c r="D307" s="6" t="s">
        <v>160</v>
      </c>
      <c r="E307" s="6" t="s">
        <v>435</v>
      </c>
      <c r="F307" s="6" t="s">
        <v>1671</v>
      </c>
      <c r="G307" s="6">
        <v>39.67</v>
      </c>
      <c r="H307" s="6">
        <v>39.67</v>
      </c>
      <c r="I307" s="6">
        <v>70</v>
      </c>
      <c r="J307" s="6">
        <v>2000</v>
      </c>
      <c r="K307" s="7">
        <f>(J307-M307)*税费参数!$B$12/(I307*10000*(1+SUM(税费参数!$B$6:$B$8)))</f>
        <v>0.025856105153926</v>
      </c>
      <c r="L307" s="7">
        <f>J307*税费参数!$B$12/(I307*10000)</f>
        <v>0.0285714285714286</v>
      </c>
      <c r="M307" s="6">
        <f>I307*10000*SUM(税费参数!$B$9:$B$10)/税费参数!$B$11</f>
        <v>131.25</v>
      </c>
    </row>
    <row r="308" ht="21" customHeight="1" spans="1:13">
      <c r="A308" s="5" t="s">
        <v>15</v>
      </c>
      <c r="B308" s="6" t="s">
        <v>55</v>
      </c>
      <c r="C308" s="6" t="s">
        <v>159</v>
      </c>
      <c r="D308" s="6" t="s">
        <v>160</v>
      </c>
      <c r="E308" s="6" t="s">
        <v>435</v>
      </c>
      <c r="F308" s="6" t="s">
        <v>1672</v>
      </c>
      <c r="G308" s="6">
        <v>39.67</v>
      </c>
      <c r="H308" s="6">
        <v>39</v>
      </c>
      <c r="I308" s="6">
        <v>70</v>
      </c>
      <c r="J308" s="6">
        <v>2000</v>
      </c>
      <c r="K308" s="7">
        <f>(J308-M308)*税费参数!$B$12/(I308*10000*(1+SUM(税费参数!$B$6:$B$8)))</f>
        <v>0.025856105153926</v>
      </c>
      <c r="L308" s="7">
        <f>J308*税费参数!$B$12/(I308*10000)</f>
        <v>0.0285714285714286</v>
      </c>
      <c r="M308" s="6">
        <f>I308*10000*SUM(税费参数!$B$9:$B$10)/税费参数!$B$11</f>
        <v>131.25</v>
      </c>
    </row>
    <row r="309" ht="21" customHeight="1" spans="1:13">
      <c r="A309" s="5" t="s">
        <v>15</v>
      </c>
      <c r="B309" s="6" t="s">
        <v>55</v>
      </c>
      <c r="C309" s="6" t="s">
        <v>159</v>
      </c>
      <c r="D309" s="6" t="s">
        <v>160</v>
      </c>
      <c r="E309" s="6" t="s">
        <v>429</v>
      </c>
      <c r="F309" s="6" t="s">
        <v>1670</v>
      </c>
      <c r="G309" s="6">
        <v>39.67</v>
      </c>
      <c r="H309" s="6">
        <v>34.93</v>
      </c>
      <c r="I309" s="6">
        <v>75</v>
      </c>
      <c r="J309" s="6">
        <v>2000</v>
      </c>
      <c r="K309" s="7">
        <f>(J309-M309)*税费参数!$B$12/(I309*10000*(1+SUM(税费参数!$B$6:$B$8)))</f>
        <v>0.0240112994350282</v>
      </c>
      <c r="L309" s="7">
        <f>J309*税费参数!$B$12/(I309*10000)</f>
        <v>0.0266666666666667</v>
      </c>
      <c r="M309" s="6">
        <f>I309*10000*SUM(税费参数!$B$9:$B$10)/税费参数!$B$11</f>
        <v>140.625</v>
      </c>
    </row>
    <row r="310" ht="21" customHeight="1" spans="1:13">
      <c r="A310" s="5" t="s">
        <v>15</v>
      </c>
      <c r="B310" s="6" t="s">
        <v>55</v>
      </c>
      <c r="C310" s="6" t="s">
        <v>159</v>
      </c>
      <c r="D310" s="6" t="s">
        <v>160</v>
      </c>
      <c r="E310" s="6" t="s">
        <v>429</v>
      </c>
      <c r="F310" s="6" t="s">
        <v>1671</v>
      </c>
      <c r="G310" s="6">
        <v>39.67</v>
      </c>
      <c r="H310" s="6">
        <v>39.67</v>
      </c>
      <c r="I310" s="6">
        <v>75</v>
      </c>
      <c r="J310" s="6">
        <v>2000</v>
      </c>
      <c r="K310" s="7">
        <f>(J310-M310)*税费参数!$B$12/(I310*10000*(1+SUM(税费参数!$B$6:$B$8)))</f>
        <v>0.0240112994350282</v>
      </c>
      <c r="L310" s="7">
        <f>J310*税费参数!$B$12/(I310*10000)</f>
        <v>0.0266666666666667</v>
      </c>
      <c r="M310" s="6">
        <f>I310*10000*SUM(税费参数!$B$9:$B$10)/税费参数!$B$11</f>
        <v>140.625</v>
      </c>
    </row>
    <row r="311" ht="21" customHeight="1" spans="1:13">
      <c r="A311" s="5" t="s">
        <v>15</v>
      </c>
      <c r="B311" s="6" t="s">
        <v>55</v>
      </c>
      <c r="C311" s="6" t="s">
        <v>159</v>
      </c>
      <c r="D311" s="6" t="s">
        <v>160</v>
      </c>
      <c r="E311" s="6" t="s">
        <v>429</v>
      </c>
      <c r="F311" s="6" t="s">
        <v>1672</v>
      </c>
      <c r="G311" s="6">
        <v>39.67</v>
      </c>
      <c r="H311" s="6">
        <v>39</v>
      </c>
      <c r="I311" s="6">
        <v>75</v>
      </c>
      <c r="J311" s="6">
        <v>2000</v>
      </c>
      <c r="K311" s="7">
        <f>(J311-M311)*税费参数!$B$12/(I311*10000*(1+SUM(税费参数!$B$6:$B$8)))</f>
        <v>0.0240112994350282</v>
      </c>
      <c r="L311" s="7">
        <f>J311*税费参数!$B$12/(I311*10000)</f>
        <v>0.0266666666666667</v>
      </c>
      <c r="M311" s="6">
        <f>I311*10000*SUM(税费参数!$B$9:$B$10)/税费参数!$B$11</f>
        <v>140.625</v>
      </c>
    </row>
    <row r="312" ht="21" customHeight="1" spans="1:13">
      <c r="A312" s="5" t="s">
        <v>15</v>
      </c>
      <c r="B312" s="6" t="s">
        <v>55</v>
      </c>
      <c r="C312" s="6" t="s">
        <v>159</v>
      </c>
      <c r="D312" s="6" t="s">
        <v>160</v>
      </c>
      <c r="E312" s="6" t="s">
        <v>437</v>
      </c>
      <c r="F312" s="6" t="s">
        <v>1670</v>
      </c>
      <c r="G312" s="6">
        <v>39.67</v>
      </c>
      <c r="H312" s="6">
        <v>34.93</v>
      </c>
      <c r="I312" s="6">
        <v>78</v>
      </c>
      <c r="J312" s="6">
        <v>2000</v>
      </c>
      <c r="K312" s="7">
        <f>(J312-M312)*税费参数!$B$12/(I312*10000*(1+SUM(税费参数!$B$6:$B$8)))</f>
        <v>0.0230179425094679</v>
      </c>
      <c r="L312" s="7">
        <f>J312*税费参数!$B$12/(I312*10000)</f>
        <v>0.0256410256410256</v>
      </c>
      <c r="M312" s="6">
        <f>I312*10000*SUM(税费参数!$B$9:$B$10)/税费参数!$B$11</f>
        <v>146.25</v>
      </c>
    </row>
    <row r="313" ht="21" customHeight="1" spans="1:13">
      <c r="A313" s="5" t="s">
        <v>15</v>
      </c>
      <c r="B313" s="6" t="s">
        <v>55</v>
      </c>
      <c r="C313" s="6" t="s">
        <v>159</v>
      </c>
      <c r="D313" s="6" t="s">
        <v>160</v>
      </c>
      <c r="E313" s="6" t="s">
        <v>437</v>
      </c>
      <c r="F313" s="6" t="s">
        <v>1671</v>
      </c>
      <c r="G313" s="6">
        <v>39.67</v>
      </c>
      <c r="H313" s="6">
        <v>39.67</v>
      </c>
      <c r="I313" s="6">
        <v>78</v>
      </c>
      <c r="J313" s="6">
        <v>2000</v>
      </c>
      <c r="K313" s="7">
        <f>(J313-M313)*税费参数!$B$12/(I313*10000*(1+SUM(税费参数!$B$6:$B$8)))</f>
        <v>0.0230179425094679</v>
      </c>
      <c r="L313" s="7">
        <f>J313*税费参数!$B$12/(I313*10000)</f>
        <v>0.0256410256410256</v>
      </c>
      <c r="M313" s="6">
        <f>I313*10000*SUM(税费参数!$B$9:$B$10)/税费参数!$B$11</f>
        <v>146.25</v>
      </c>
    </row>
    <row r="314" ht="21" customHeight="1" spans="1:13">
      <c r="A314" s="5" t="s">
        <v>15</v>
      </c>
      <c r="B314" s="6" t="s">
        <v>55</v>
      </c>
      <c r="C314" s="6" t="s">
        <v>159</v>
      </c>
      <c r="D314" s="6" t="s">
        <v>160</v>
      </c>
      <c r="E314" s="6" t="s">
        <v>437</v>
      </c>
      <c r="F314" s="6" t="s">
        <v>1672</v>
      </c>
      <c r="G314" s="6">
        <v>39.67</v>
      </c>
      <c r="H314" s="6">
        <v>39</v>
      </c>
      <c r="I314" s="6">
        <v>78</v>
      </c>
      <c r="J314" s="6">
        <v>2000</v>
      </c>
      <c r="K314" s="7">
        <f>(J314-M314)*税费参数!$B$12/(I314*10000*(1+SUM(税费参数!$B$6:$B$8)))</f>
        <v>0.0230179425094679</v>
      </c>
      <c r="L314" s="7">
        <f>J314*税费参数!$B$12/(I314*10000)</f>
        <v>0.0256410256410256</v>
      </c>
      <c r="M314" s="6">
        <f>I314*10000*SUM(税费参数!$B$9:$B$10)/税费参数!$B$11</f>
        <v>146.25</v>
      </c>
    </row>
    <row r="315" ht="21" customHeight="1" spans="1:13">
      <c r="A315" s="5" t="s">
        <v>15</v>
      </c>
      <c r="B315" s="6" t="s">
        <v>55</v>
      </c>
      <c r="C315" s="6" t="s">
        <v>159</v>
      </c>
      <c r="D315" s="6" t="s">
        <v>160</v>
      </c>
      <c r="E315" s="6" t="s">
        <v>431</v>
      </c>
      <c r="F315" s="6" t="s">
        <v>1670</v>
      </c>
      <c r="G315" s="6">
        <v>39.67</v>
      </c>
      <c r="H315" s="6">
        <v>34.93</v>
      </c>
      <c r="I315" s="6">
        <v>68</v>
      </c>
      <c r="J315" s="6">
        <v>2000</v>
      </c>
      <c r="K315" s="7">
        <f>(J315-M315)*税费参数!$B$12/(I315*10000*(1+SUM(税费参数!$B$6:$B$8)))</f>
        <v>0.0266699900299103</v>
      </c>
      <c r="L315" s="7">
        <f>J315*税费参数!$B$12/(I315*10000)</f>
        <v>0.0294117647058824</v>
      </c>
      <c r="M315" s="6">
        <f>I315*10000*SUM(税费参数!$B$9:$B$10)/税费参数!$B$11</f>
        <v>127.5</v>
      </c>
    </row>
    <row r="316" ht="21" customHeight="1" spans="1:13">
      <c r="A316" s="5" t="s">
        <v>15</v>
      </c>
      <c r="B316" s="6" t="s">
        <v>55</v>
      </c>
      <c r="C316" s="6" t="s">
        <v>159</v>
      </c>
      <c r="D316" s="6" t="s">
        <v>160</v>
      </c>
      <c r="E316" s="6" t="s">
        <v>431</v>
      </c>
      <c r="F316" s="6" t="s">
        <v>1671</v>
      </c>
      <c r="G316" s="6">
        <v>39.67</v>
      </c>
      <c r="H316" s="6">
        <v>39.67</v>
      </c>
      <c r="I316" s="6">
        <v>68</v>
      </c>
      <c r="J316" s="6">
        <v>2000</v>
      </c>
      <c r="K316" s="7">
        <f>(J316-M316)*税费参数!$B$12/(I316*10000*(1+SUM(税费参数!$B$6:$B$8)))</f>
        <v>0.0266699900299103</v>
      </c>
      <c r="L316" s="7">
        <f>J316*税费参数!$B$12/(I316*10000)</f>
        <v>0.0294117647058824</v>
      </c>
      <c r="M316" s="6">
        <f>I316*10000*SUM(税费参数!$B$9:$B$10)/税费参数!$B$11</f>
        <v>127.5</v>
      </c>
    </row>
    <row r="317" ht="21" customHeight="1" spans="1:13">
      <c r="A317" s="5" t="s">
        <v>15</v>
      </c>
      <c r="B317" s="6" t="s">
        <v>55</v>
      </c>
      <c r="C317" s="6" t="s">
        <v>159</v>
      </c>
      <c r="D317" s="6" t="s">
        <v>160</v>
      </c>
      <c r="E317" s="6" t="s">
        <v>431</v>
      </c>
      <c r="F317" s="6" t="s">
        <v>1672</v>
      </c>
      <c r="G317" s="6">
        <v>39.67</v>
      </c>
      <c r="H317" s="6">
        <v>39</v>
      </c>
      <c r="I317" s="6">
        <v>68</v>
      </c>
      <c r="J317" s="6">
        <v>2000</v>
      </c>
      <c r="K317" s="7">
        <f>(J317-M317)*税费参数!$B$12/(I317*10000*(1+SUM(税费参数!$B$6:$B$8)))</f>
        <v>0.0266699900299103</v>
      </c>
      <c r="L317" s="7">
        <f>J317*税费参数!$B$12/(I317*10000)</f>
        <v>0.0294117647058824</v>
      </c>
      <c r="M317" s="6">
        <f>I317*10000*SUM(税费参数!$B$9:$B$10)/税费参数!$B$11</f>
        <v>127.5</v>
      </c>
    </row>
    <row r="318" ht="21" customHeight="1" spans="1:13">
      <c r="A318" s="5" t="s">
        <v>15</v>
      </c>
      <c r="B318" s="6" t="s">
        <v>55</v>
      </c>
      <c r="C318" s="6" t="s">
        <v>159</v>
      </c>
      <c r="D318" s="6" t="s">
        <v>160</v>
      </c>
      <c r="E318" s="6" t="s">
        <v>421</v>
      </c>
      <c r="F318" s="6" t="s">
        <v>1670</v>
      </c>
      <c r="G318" s="6">
        <v>39.67</v>
      </c>
      <c r="H318" s="6">
        <v>34.93</v>
      </c>
      <c r="I318" s="6">
        <v>70</v>
      </c>
      <c r="J318" s="6">
        <v>2000</v>
      </c>
      <c r="K318" s="7">
        <f>(J318-M318)*税费参数!$B$12/(I318*10000*(1+SUM(税费参数!$B$6:$B$8)))</f>
        <v>0.025856105153926</v>
      </c>
      <c r="L318" s="7">
        <f>J318*税费参数!$B$12/(I318*10000)</f>
        <v>0.0285714285714286</v>
      </c>
      <c r="M318" s="6">
        <f>I318*10000*SUM(税费参数!$B$9:$B$10)/税费参数!$B$11</f>
        <v>131.25</v>
      </c>
    </row>
    <row r="319" ht="21" customHeight="1" spans="1:13">
      <c r="A319" s="5" t="s">
        <v>15</v>
      </c>
      <c r="B319" s="6" t="s">
        <v>55</v>
      </c>
      <c r="C319" s="6" t="s">
        <v>159</v>
      </c>
      <c r="D319" s="6" t="s">
        <v>160</v>
      </c>
      <c r="E319" s="6" t="s">
        <v>421</v>
      </c>
      <c r="F319" s="6" t="s">
        <v>1671</v>
      </c>
      <c r="G319" s="6">
        <v>39.67</v>
      </c>
      <c r="H319" s="6">
        <v>39.67</v>
      </c>
      <c r="I319" s="6">
        <v>70</v>
      </c>
      <c r="J319" s="6">
        <v>2000</v>
      </c>
      <c r="K319" s="7">
        <f>(J319-M319)*税费参数!$B$12/(I319*10000*(1+SUM(税费参数!$B$6:$B$8)))</f>
        <v>0.025856105153926</v>
      </c>
      <c r="L319" s="7">
        <f>J319*税费参数!$B$12/(I319*10000)</f>
        <v>0.0285714285714286</v>
      </c>
      <c r="M319" s="6">
        <f>I319*10000*SUM(税费参数!$B$9:$B$10)/税费参数!$B$11</f>
        <v>131.25</v>
      </c>
    </row>
    <row r="320" ht="21" customHeight="1" spans="1:13">
      <c r="A320" s="5" t="s">
        <v>15</v>
      </c>
      <c r="B320" s="6" t="s">
        <v>55</v>
      </c>
      <c r="C320" s="6" t="s">
        <v>159</v>
      </c>
      <c r="D320" s="6" t="s">
        <v>160</v>
      </c>
      <c r="E320" s="6" t="s">
        <v>421</v>
      </c>
      <c r="F320" s="6" t="s">
        <v>1672</v>
      </c>
      <c r="G320" s="6">
        <v>39.67</v>
      </c>
      <c r="H320" s="6">
        <v>39</v>
      </c>
      <c r="I320" s="6">
        <v>70</v>
      </c>
      <c r="J320" s="6">
        <v>2000</v>
      </c>
      <c r="K320" s="7">
        <f>(J320-M320)*税费参数!$B$12/(I320*10000*(1+SUM(税费参数!$B$6:$B$8)))</f>
        <v>0.025856105153926</v>
      </c>
      <c r="L320" s="7">
        <f>J320*税费参数!$B$12/(I320*10000)</f>
        <v>0.0285714285714286</v>
      </c>
      <c r="M320" s="6">
        <f>I320*10000*SUM(税费参数!$B$9:$B$10)/税费参数!$B$11</f>
        <v>131.25</v>
      </c>
    </row>
    <row r="321" ht="21" customHeight="1" spans="1:13">
      <c r="A321" s="5" t="s">
        <v>15</v>
      </c>
      <c r="B321" s="6" t="s">
        <v>55</v>
      </c>
      <c r="C321" s="6" t="s">
        <v>159</v>
      </c>
      <c r="D321" s="6" t="s">
        <v>160</v>
      </c>
      <c r="E321" s="6" t="s">
        <v>447</v>
      </c>
      <c r="F321" s="6" t="s">
        <v>1670</v>
      </c>
      <c r="G321" s="6">
        <v>39.67</v>
      </c>
      <c r="H321" s="6">
        <v>34.93</v>
      </c>
      <c r="I321" s="6">
        <v>74</v>
      </c>
      <c r="J321" s="6">
        <v>2000</v>
      </c>
      <c r="K321" s="7">
        <f>(J321-M321)*税费参数!$B$12/(I321*10000*(1+SUM(税费参数!$B$6:$B$8)))</f>
        <v>0.0243603167331981</v>
      </c>
      <c r="L321" s="7">
        <f>J321*税费参数!$B$12/(I321*10000)</f>
        <v>0.027027027027027</v>
      </c>
      <c r="M321" s="6">
        <f>I321*10000*SUM(税费参数!$B$9:$B$10)/税费参数!$B$11</f>
        <v>138.75</v>
      </c>
    </row>
    <row r="322" ht="21" customHeight="1" spans="1:13">
      <c r="A322" s="5" t="s">
        <v>15</v>
      </c>
      <c r="B322" s="6" t="s">
        <v>55</v>
      </c>
      <c r="C322" s="6" t="s">
        <v>159</v>
      </c>
      <c r="D322" s="6" t="s">
        <v>160</v>
      </c>
      <c r="E322" s="6" t="s">
        <v>447</v>
      </c>
      <c r="F322" s="6" t="s">
        <v>1671</v>
      </c>
      <c r="G322" s="6">
        <v>39.67</v>
      </c>
      <c r="H322" s="6">
        <v>39.67</v>
      </c>
      <c r="I322" s="6">
        <v>74</v>
      </c>
      <c r="J322" s="6">
        <v>2000</v>
      </c>
      <c r="K322" s="7">
        <f>(J322-M322)*税费参数!$B$12/(I322*10000*(1+SUM(税费参数!$B$6:$B$8)))</f>
        <v>0.0243603167331981</v>
      </c>
      <c r="L322" s="7">
        <f>J322*税费参数!$B$12/(I322*10000)</f>
        <v>0.027027027027027</v>
      </c>
      <c r="M322" s="6">
        <f>I322*10000*SUM(税费参数!$B$9:$B$10)/税费参数!$B$11</f>
        <v>138.75</v>
      </c>
    </row>
    <row r="323" ht="21" customHeight="1" spans="1:13">
      <c r="A323" s="5" t="s">
        <v>15</v>
      </c>
      <c r="B323" s="6" t="s">
        <v>55</v>
      </c>
      <c r="C323" s="6" t="s">
        <v>159</v>
      </c>
      <c r="D323" s="6" t="s">
        <v>160</v>
      </c>
      <c r="E323" s="6" t="s">
        <v>447</v>
      </c>
      <c r="F323" s="6" t="s">
        <v>1672</v>
      </c>
      <c r="G323" s="6">
        <v>39.67</v>
      </c>
      <c r="H323" s="6">
        <v>39</v>
      </c>
      <c r="I323" s="6">
        <v>74</v>
      </c>
      <c r="J323" s="6">
        <v>2000</v>
      </c>
      <c r="K323" s="7">
        <f>(J323-M323)*税费参数!$B$12/(I323*10000*(1+SUM(税费参数!$B$6:$B$8)))</f>
        <v>0.0243603167331981</v>
      </c>
      <c r="L323" s="7">
        <f>J323*税费参数!$B$12/(I323*10000)</f>
        <v>0.027027027027027</v>
      </c>
      <c r="M323" s="6">
        <f>I323*10000*SUM(税费参数!$B$9:$B$10)/税费参数!$B$11</f>
        <v>138.75</v>
      </c>
    </row>
    <row r="324" ht="21" customHeight="1" spans="1:13">
      <c r="A324" s="5" t="s">
        <v>15</v>
      </c>
      <c r="B324" s="6" t="s">
        <v>55</v>
      </c>
      <c r="C324" s="6" t="s">
        <v>159</v>
      </c>
      <c r="D324" s="6" t="s">
        <v>160</v>
      </c>
      <c r="E324" s="6" t="s">
        <v>451</v>
      </c>
      <c r="F324" s="6" t="s">
        <v>1670</v>
      </c>
      <c r="G324" s="6">
        <v>39.67</v>
      </c>
      <c r="H324" s="6">
        <v>34.93</v>
      </c>
      <c r="I324" s="6">
        <v>65</v>
      </c>
      <c r="J324" s="6">
        <v>2000</v>
      </c>
      <c r="K324" s="7">
        <f>(J324-M324)*税费参数!$B$12/(I324*10000*(1+SUM(税费参数!$B$6:$B$8)))</f>
        <v>0.0279847271372695</v>
      </c>
      <c r="L324" s="7">
        <f>J324*税费参数!$B$12/(I324*10000)</f>
        <v>0.0307692307692308</v>
      </c>
      <c r="M324" s="6">
        <f>I324*10000*SUM(税费参数!$B$9:$B$10)/税费参数!$B$11</f>
        <v>121.875</v>
      </c>
    </row>
    <row r="325" ht="21" customHeight="1" spans="1:13">
      <c r="A325" s="5" t="s">
        <v>15</v>
      </c>
      <c r="B325" s="6" t="s">
        <v>55</v>
      </c>
      <c r="C325" s="6" t="s">
        <v>159</v>
      </c>
      <c r="D325" s="6" t="s">
        <v>160</v>
      </c>
      <c r="E325" s="6" t="s">
        <v>451</v>
      </c>
      <c r="F325" s="6" t="s">
        <v>1671</v>
      </c>
      <c r="G325" s="6">
        <v>39.67</v>
      </c>
      <c r="H325" s="6">
        <v>39.67</v>
      </c>
      <c r="I325" s="6">
        <v>65</v>
      </c>
      <c r="J325" s="6">
        <v>2000</v>
      </c>
      <c r="K325" s="7">
        <f>(J325-M325)*税费参数!$B$12/(I325*10000*(1+SUM(税费参数!$B$6:$B$8)))</f>
        <v>0.0279847271372695</v>
      </c>
      <c r="L325" s="7">
        <f>J325*税费参数!$B$12/(I325*10000)</f>
        <v>0.0307692307692308</v>
      </c>
      <c r="M325" s="6">
        <f>I325*10000*SUM(税费参数!$B$9:$B$10)/税费参数!$B$11</f>
        <v>121.875</v>
      </c>
    </row>
    <row r="326" ht="21" customHeight="1" spans="1:13">
      <c r="A326" s="5" t="s">
        <v>15</v>
      </c>
      <c r="B326" s="6" t="s">
        <v>55</v>
      </c>
      <c r="C326" s="6" t="s">
        <v>159</v>
      </c>
      <c r="D326" s="6" t="s">
        <v>160</v>
      </c>
      <c r="E326" s="6" t="s">
        <v>451</v>
      </c>
      <c r="F326" s="6" t="s">
        <v>1672</v>
      </c>
      <c r="G326" s="6">
        <v>39.67</v>
      </c>
      <c r="H326" s="6">
        <v>39</v>
      </c>
      <c r="I326" s="6">
        <v>65</v>
      </c>
      <c r="J326" s="6">
        <v>2000</v>
      </c>
      <c r="K326" s="7">
        <f>(J326-M326)*税费参数!$B$12/(I326*10000*(1+SUM(税费参数!$B$6:$B$8)))</f>
        <v>0.0279847271372695</v>
      </c>
      <c r="L326" s="7">
        <f>J326*税费参数!$B$12/(I326*10000)</f>
        <v>0.0307692307692308</v>
      </c>
      <c r="M326" s="6">
        <f>I326*10000*SUM(税费参数!$B$9:$B$10)/税费参数!$B$11</f>
        <v>121.875</v>
      </c>
    </row>
    <row r="327" ht="21" customHeight="1" spans="1:13">
      <c r="A327" s="5" t="s">
        <v>15</v>
      </c>
      <c r="B327" s="6" t="s">
        <v>55</v>
      </c>
      <c r="C327" s="6" t="s">
        <v>159</v>
      </c>
      <c r="D327" s="6" t="s">
        <v>160</v>
      </c>
      <c r="E327" s="6" t="s">
        <v>445</v>
      </c>
      <c r="F327" s="6" t="s">
        <v>1670</v>
      </c>
      <c r="G327" s="6">
        <v>39.67</v>
      </c>
      <c r="H327" s="6">
        <v>34.93</v>
      </c>
      <c r="I327" s="6">
        <v>69</v>
      </c>
      <c r="J327" s="6">
        <v>2000</v>
      </c>
      <c r="K327" s="7">
        <f>(J327-M327)*税费参数!$B$12/(I327*10000*(1+SUM(税费参数!$B$6:$B$8)))</f>
        <v>0.0262571498754255</v>
      </c>
      <c r="L327" s="7">
        <f>J327*税费参数!$B$12/(I327*10000)</f>
        <v>0.0289855072463768</v>
      </c>
      <c r="M327" s="6">
        <f>I327*10000*SUM(税费参数!$B$9:$B$10)/税费参数!$B$11</f>
        <v>129.375</v>
      </c>
    </row>
    <row r="328" ht="21" customHeight="1" spans="1:13">
      <c r="A328" s="5" t="s">
        <v>15</v>
      </c>
      <c r="B328" s="6" t="s">
        <v>55</v>
      </c>
      <c r="C328" s="6" t="s">
        <v>159</v>
      </c>
      <c r="D328" s="6" t="s">
        <v>160</v>
      </c>
      <c r="E328" s="6" t="s">
        <v>445</v>
      </c>
      <c r="F328" s="6" t="s">
        <v>1671</v>
      </c>
      <c r="G328" s="6">
        <v>39.67</v>
      </c>
      <c r="H328" s="6">
        <v>39.67</v>
      </c>
      <c r="I328" s="6">
        <v>69</v>
      </c>
      <c r="J328" s="6">
        <v>2000</v>
      </c>
      <c r="K328" s="7">
        <f>(J328-M328)*税费参数!$B$12/(I328*10000*(1+SUM(税费参数!$B$6:$B$8)))</f>
        <v>0.0262571498754255</v>
      </c>
      <c r="L328" s="7">
        <f>J328*税费参数!$B$12/(I328*10000)</f>
        <v>0.0289855072463768</v>
      </c>
      <c r="M328" s="6">
        <f>I328*10000*SUM(税费参数!$B$9:$B$10)/税费参数!$B$11</f>
        <v>129.375</v>
      </c>
    </row>
    <row r="329" ht="21" customHeight="1" spans="1:13">
      <c r="A329" s="5" t="s">
        <v>15</v>
      </c>
      <c r="B329" s="6" t="s">
        <v>55</v>
      </c>
      <c r="C329" s="6" t="s">
        <v>159</v>
      </c>
      <c r="D329" s="6" t="s">
        <v>160</v>
      </c>
      <c r="E329" s="6" t="s">
        <v>445</v>
      </c>
      <c r="F329" s="6" t="s">
        <v>1672</v>
      </c>
      <c r="G329" s="6">
        <v>39.67</v>
      </c>
      <c r="H329" s="6">
        <v>39</v>
      </c>
      <c r="I329" s="6">
        <v>69</v>
      </c>
      <c r="J329" s="6">
        <v>2000</v>
      </c>
      <c r="K329" s="7">
        <f>(J329-M329)*税费参数!$B$12/(I329*10000*(1+SUM(税费参数!$B$6:$B$8)))</f>
        <v>0.0262571498754255</v>
      </c>
      <c r="L329" s="7">
        <f>J329*税费参数!$B$12/(I329*10000)</f>
        <v>0.0289855072463768</v>
      </c>
      <c r="M329" s="6">
        <f>I329*10000*SUM(税费参数!$B$9:$B$10)/税费参数!$B$11</f>
        <v>129.375</v>
      </c>
    </row>
    <row r="330" ht="21" customHeight="1" spans="1:13">
      <c r="A330" s="5" t="s">
        <v>15</v>
      </c>
      <c r="B330" s="6" t="s">
        <v>55</v>
      </c>
      <c r="C330" s="6" t="s">
        <v>159</v>
      </c>
      <c r="D330" s="6" t="s">
        <v>160</v>
      </c>
      <c r="E330" s="6" t="s">
        <v>441</v>
      </c>
      <c r="F330" s="6" t="s">
        <v>1670</v>
      </c>
      <c r="G330" s="6">
        <v>39.67</v>
      </c>
      <c r="H330" s="6">
        <v>34.93</v>
      </c>
      <c r="I330" s="6">
        <v>69</v>
      </c>
      <c r="J330" s="6">
        <v>2000</v>
      </c>
      <c r="K330" s="7">
        <f>(J330-M330)*税费参数!$B$12/(I330*10000*(1+SUM(税费参数!$B$6:$B$8)))</f>
        <v>0.0262571498754255</v>
      </c>
      <c r="L330" s="7">
        <f>J330*税费参数!$B$12/(I330*10000)</f>
        <v>0.0289855072463768</v>
      </c>
      <c r="M330" s="6">
        <f>I330*10000*SUM(税费参数!$B$9:$B$10)/税费参数!$B$11</f>
        <v>129.375</v>
      </c>
    </row>
    <row r="331" ht="21" customHeight="1" spans="1:13">
      <c r="A331" s="5" t="s">
        <v>15</v>
      </c>
      <c r="B331" s="6" t="s">
        <v>55</v>
      </c>
      <c r="C331" s="6" t="s">
        <v>159</v>
      </c>
      <c r="D331" s="6" t="s">
        <v>160</v>
      </c>
      <c r="E331" s="6" t="s">
        <v>441</v>
      </c>
      <c r="F331" s="6" t="s">
        <v>1671</v>
      </c>
      <c r="G331" s="6">
        <v>39.67</v>
      </c>
      <c r="H331" s="6">
        <v>39.67</v>
      </c>
      <c r="I331" s="6">
        <v>69</v>
      </c>
      <c r="J331" s="6">
        <v>2000</v>
      </c>
      <c r="K331" s="7">
        <f>(J331-M331)*税费参数!$B$12/(I331*10000*(1+SUM(税费参数!$B$6:$B$8)))</f>
        <v>0.0262571498754255</v>
      </c>
      <c r="L331" s="7">
        <f>J331*税费参数!$B$12/(I331*10000)</f>
        <v>0.0289855072463768</v>
      </c>
      <c r="M331" s="6">
        <f>I331*10000*SUM(税费参数!$B$9:$B$10)/税费参数!$B$11</f>
        <v>129.375</v>
      </c>
    </row>
    <row r="332" ht="21" customHeight="1" spans="1:13">
      <c r="A332" s="5" t="s">
        <v>15</v>
      </c>
      <c r="B332" s="6" t="s">
        <v>55</v>
      </c>
      <c r="C332" s="6" t="s">
        <v>159</v>
      </c>
      <c r="D332" s="6" t="s">
        <v>160</v>
      </c>
      <c r="E332" s="6" t="s">
        <v>441</v>
      </c>
      <c r="F332" s="6" t="s">
        <v>1672</v>
      </c>
      <c r="G332" s="6">
        <v>39.67</v>
      </c>
      <c r="H332" s="6">
        <v>39</v>
      </c>
      <c r="I332" s="6">
        <v>69</v>
      </c>
      <c r="J332" s="6">
        <v>2000</v>
      </c>
      <c r="K332" s="7">
        <f>(J332-M332)*税费参数!$B$12/(I332*10000*(1+SUM(税费参数!$B$6:$B$8)))</f>
        <v>0.0262571498754255</v>
      </c>
      <c r="L332" s="7">
        <f>J332*税费参数!$B$12/(I332*10000)</f>
        <v>0.0289855072463768</v>
      </c>
      <c r="M332" s="6">
        <f>I332*10000*SUM(税费参数!$B$9:$B$10)/税费参数!$B$11</f>
        <v>129.375</v>
      </c>
    </row>
    <row r="333" ht="21" customHeight="1" spans="1:13">
      <c r="A333" s="5" t="s">
        <v>15</v>
      </c>
      <c r="B333" s="6" t="s">
        <v>55</v>
      </c>
      <c r="C333" s="6" t="s">
        <v>159</v>
      </c>
      <c r="D333" s="6" t="s">
        <v>160</v>
      </c>
      <c r="E333" s="6" t="s">
        <v>427</v>
      </c>
      <c r="F333" s="6" t="s">
        <v>1670</v>
      </c>
      <c r="G333" s="6">
        <v>33.67</v>
      </c>
      <c r="H333" s="6">
        <v>34.93</v>
      </c>
      <c r="I333" s="6">
        <v>67</v>
      </c>
      <c r="J333" s="6">
        <v>2000</v>
      </c>
      <c r="K333" s="7">
        <f>(J333-M333)*税费参数!$B$12/(I333*10000*(1+SUM(税费参数!$B$6:$B$8)))</f>
        <v>0.0270951537710961</v>
      </c>
      <c r="L333" s="7">
        <f>J333*税费参数!$B$12/(I333*10000)</f>
        <v>0.0298507462686567</v>
      </c>
      <c r="M333" s="6">
        <f>I333*10000*SUM(税费参数!$B$9:$B$10)/税费参数!$B$11</f>
        <v>125.625</v>
      </c>
    </row>
    <row r="334" ht="21" customHeight="1" spans="1:13">
      <c r="A334" s="5" t="s">
        <v>15</v>
      </c>
      <c r="B334" s="6" t="s">
        <v>55</v>
      </c>
      <c r="C334" s="6" t="s">
        <v>159</v>
      </c>
      <c r="D334" s="6" t="s">
        <v>160</v>
      </c>
      <c r="E334" s="6" t="s">
        <v>439</v>
      </c>
      <c r="F334" s="6" t="s">
        <v>1670</v>
      </c>
      <c r="G334" s="6">
        <v>33.67</v>
      </c>
      <c r="H334" s="6">
        <v>34.93</v>
      </c>
      <c r="I334" s="6">
        <v>65</v>
      </c>
      <c r="J334" s="6">
        <v>2000</v>
      </c>
      <c r="K334" s="7">
        <f>(J334-M334)*税费参数!$B$12/(I334*10000*(1+SUM(税费参数!$B$6:$B$8)))</f>
        <v>0.0279847271372695</v>
      </c>
      <c r="L334" s="7">
        <f>J334*税费参数!$B$12/(I334*10000)</f>
        <v>0.0307692307692308</v>
      </c>
      <c r="M334" s="6">
        <f>I334*10000*SUM(税费参数!$B$9:$B$10)/税费参数!$B$11</f>
        <v>121.875</v>
      </c>
    </row>
    <row r="335" ht="21" customHeight="1" spans="1:13">
      <c r="A335" s="5" t="s">
        <v>15</v>
      </c>
      <c r="B335" s="6" t="s">
        <v>55</v>
      </c>
      <c r="C335" s="6" t="s">
        <v>159</v>
      </c>
      <c r="D335" s="6" t="s">
        <v>160</v>
      </c>
      <c r="E335" s="6" t="s">
        <v>449</v>
      </c>
      <c r="F335" s="6" t="s">
        <v>1670</v>
      </c>
      <c r="G335" s="6">
        <v>39.42</v>
      </c>
      <c r="H335" s="6">
        <v>34.93</v>
      </c>
      <c r="I335" s="6">
        <v>72</v>
      </c>
      <c r="J335" s="6">
        <v>2000</v>
      </c>
      <c r="K335" s="7">
        <f>(J335-M335)*税费参数!$B$12/(I335*10000*(1+SUM(税费参数!$B$6:$B$8)))</f>
        <v>0.0250874361043853</v>
      </c>
      <c r="L335" s="7">
        <f>J335*税费参数!$B$12/(I335*10000)</f>
        <v>0.0277777777777778</v>
      </c>
      <c r="M335" s="6">
        <f>I335*10000*SUM(税费参数!$B$9:$B$10)/税费参数!$B$11</f>
        <v>135</v>
      </c>
    </row>
    <row r="336" ht="21" customHeight="1" spans="1:13">
      <c r="A336" s="5" t="s">
        <v>15</v>
      </c>
      <c r="B336" s="6" t="s">
        <v>55</v>
      </c>
      <c r="C336" s="6" t="s">
        <v>159</v>
      </c>
      <c r="D336" s="6" t="s">
        <v>160</v>
      </c>
      <c r="E336" s="6" t="s">
        <v>449</v>
      </c>
      <c r="F336" s="6" t="s">
        <v>1671</v>
      </c>
      <c r="G336" s="6">
        <v>39.42</v>
      </c>
      <c r="H336" s="6">
        <v>39.67</v>
      </c>
      <c r="I336" s="6">
        <v>72</v>
      </c>
      <c r="J336" s="6">
        <v>2000</v>
      </c>
      <c r="K336" s="7">
        <f>(J336-M336)*税费参数!$B$12/(I336*10000*(1+SUM(税费参数!$B$6:$B$8)))</f>
        <v>0.0250874361043853</v>
      </c>
      <c r="L336" s="7">
        <f>J336*税费参数!$B$12/(I336*10000)</f>
        <v>0.0277777777777778</v>
      </c>
      <c r="M336" s="6">
        <f>I336*10000*SUM(税费参数!$B$9:$B$10)/税费参数!$B$11</f>
        <v>135</v>
      </c>
    </row>
    <row r="337" ht="21" customHeight="1" spans="1:13">
      <c r="A337" s="5" t="s">
        <v>15</v>
      </c>
      <c r="B337" s="6" t="s">
        <v>55</v>
      </c>
      <c r="C337" s="6" t="s">
        <v>159</v>
      </c>
      <c r="D337" s="6" t="s">
        <v>160</v>
      </c>
      <c r="E337" s="6" t="s">
        <v>449</v>
      </c>
      <c r="F337" s="6" t="s">
        <v>1672</v>
      </c>
      <c r="G337" s="6">
        <v>39.42</v>
      </c>
      <c r="H337" s="6">
        <v>39</v>
      </c>
      <c r="I337" s="6">
        <v>72</v>
      </c>
      <c r="J337" s="6">
        <v>2000</v>
      </c>
      <c r="K337" s="7">
        <f>(J337-M337)*税费参数!$B$12/(I337*10000*(1+SUM(税费参数!$B$6:$B$8)))</f>
        <v>0.0250874361043853</v>
      </c>
      <c r="L337" s="7">
        <f>J337*税费参数!$B$12/(I337*10000)</f>
        <v>0.0277777777777778</v>
      </c>
      <c r="M337" s="6">
        <f>I337*10000*SUM(税费参数!$B$9:$B$10)/税费参数!$B$11</f>
        <v>135</v>
      </c>
    </row>
    <row r="338" ht="21" customHeight="1" spans="1:13">
      <c r="A338" s="5" t="s">
        <v>15</v>
      </c>
      <c r="B338" s="6" t="s">
        <v>55</v>
      </c>
      <c r="C338" s="6" t="s">
        <v>159</v>
      </c>
      <c r="D338" s="6" t="s">
        <v>160</v>
      </c>
      <c r="E338" s="6" t="s">
        <v>423</v>
      </c>
      <c r="F338" s="6" t="s">
        <v>1670</v>
      </c>
      <c r="G338" s="6">
        <v>39.67</v>
      </c>
      <c r="H338" s="6">
        <v>34.93</v>
      </c>
      <c r="I338" s="6">
        <v>78</v>
      </c>
      <c r="J338" s="6">
        <v>2000</v>
      </c>
      <c r="K338" s="7">
        <f>(J338-M338)*税费参数!$B$12/(I338*10000*(1+SUM(税费参数!$B$6:$B$8)))</f>
        <v>0.0230179425094679</v>
      </c>
      <c r="L338" s="7">
        <f>J338*税费参数!$B$12/(I338*10000)</f>
        <v>0.0256410256410256</v>
      </c>
      <c r="M338" s="6">
        <f>I338*10000*SUM(税费参数!$B$9:$B$10)/税费参数!$B$11</f>
        <v>146.25</v>
      </c>
    </row>
    <row r="339" ht="21" customHeight="1" spans="1:13">
      <c r="A339" s="5" t="s">
        <v>15</v>
      </c>
      <c r="B339" s="6" t="s">
        <v>55</v>
      </c>
      <c r="C339" s="6" t="s">
        <v>159</v>
      </c>
      <c r="D339" s="6" t="s">
        <v>160</v>
      </c>
      <c r="E339" s="6" t="s">
        <v>423</v>
      </c>
      <c r="F339" s="6" t="s">
        <v>1671</v>
      </c>
      <c r="G339" s="6">
        <v>39.67</v>
      </c>
      <c r="H339" s="6">
        <v>39.67</v>
      </c>
      <c r="I339" s="6">
        <v>78</v>
      </c>
      <c r="J339" s="6">
        <v>2000</v>
      </c>
      <c r="K339" s="7">
        <f>(J339-M339)*税费参数!$B$12/(I339*10000*(1+SUM(税费参数!$B$6:$B$8)))</f>
        <v>0.0230179425094679</v>
      </c>
      <c r="L339" s="7">
        <f>J339*税费参数!$B$12/(I339*10000)</f>
        <v>0.0256410256410256</v>
      </c>
      <c r="M339" s="6">
        <f>I339*10000*SUM(税费参数!$B$9:$B$10)/税费参数!$B$11</f>
        <v>146.25</v>
      </c>
    </row>
    <row r="340" ht="21" customHeight="1" spans="1:13">
      <c r="A340" s="5" t="s">
        <v>15</v>
      </c>
      <c r="B340" s="6" t="s">
        <v>55</v>
      </c>
      <c r="C340" s="6" t="s">
        <v>159</v>
      </c>
      <c r="D340" s="6" t="s">
        <v>160</v>
      </c>
      <c r="E340" s="6" t="s">
        <v>423</v>
      </c>
      <c r="F340" s="6" t="s">
        <v>1672</v>
      </c>
      <c r="G340" s="6">
        <v>39.67</v>
      </c>
      <c r="H340" s="6">
        <v>39</v>
      </c>
      <c r="I340" s="6">
        <v>78</v>
      </c>
      <c r="J340" s="6">
        <v>2000</v>
      </c>
      <c r="K340" s="7">
        <f>(J340-M340)*税费参数!$B$12/(I340*10000*(1+SUM(税费参数!$B$6:$B$8)))</f>
        <v>0.0230179425094679</v>
      </c>
      <c r="L340" s="7">
        <f>J340*税费参数!$B$12/(I340*10000)</f>
        <v>0.0256410256410256</v>
      </c>
      <c r="M340" s="6">
        <f>I340*10000*SUM(税费参数!$B$9:$B$10)/税费参数!$B$11</f>
        <v>146.25</v>
      </c>
    </row>
    <row r="341" ht="21" customHeight="1" spans="1:13">
      <c r="A341" s="5" t="s">
        <v>15</v>
      </c>
      <c r="B341" s="6" t="s">
        <v>55</v>
      </c>
      <c r="C341" s="6" t="s">
        <v>159</v>
      </c>
      <c r="D341" s="6" t="s">
        <v>160</v>
      </c>
      <c r="E341" s="6" t="s">
        <v>425</v>
      </c>
      <c r="F341" s="6" t="s">
        <v>1670</v>
      </c>
      <c r="G341" s="6">
        <v>39.67</v>
      </c>
      <c r="H341" s="6">
        <v>34.93</v>
      </c>
      <c r="I341" s="6">
        <v>72</v>
      </c>
      <c r="J341" s="6">
        <v>2000</v>
      </c>
      <c r="K341" s="7">
        <f>(J341-M341)*税费参数!$B$12/(I341*10000*(1+SUM(税费参数!$B$6:$B$8)))</f>
        <v>0.0250874361043853</v>
      </c>
      <c r="L341" s="7">
        <f>J341*税费参数!$B$12/(I341*10000)</f>
        <v>0.0277777777777778</v>
      </c>
      <c r="M341" s="6">
        <f>I341*10000*SUM(税费参数!$B$9:$B$10)/税费参数!$B$11</f>
        <v>135</v>
      </c>
    </row>
    <row r="342" ht="21" customHeight="1" spans="1:13">
      <c r="A342" s="5" t="s">
        <v>15</v>
      </c>
      <c r="B342" s="6" t="s">
        <v>55</v>
      </c>
      <c r="C342" s="6" t="s">
        <v>159</v>
      </c>
      <c r="D342" s="6" t="s">
        <v>160</v>
      </c>
      <c r="E342" s="6" t="s">
        <v>425</v>
      </c>
      <c r="F342" s="6" t="s">
        <v>1671</v>
      </c>
      <c r="G342" s="6">
        <v>39.67</v>
      </c>
      <c r="H342" s="6">
        <v>39.67</v>
      </c>
      <c r="I342" s="6">
        <v>72</v>
      </c>
      <c r="J342" s="6">
        <v>2000</v>
      </c>
      <c r="K342" s="7">
        <f>(J342-M342)*税费参数!$B$12/(I342*10000*(1+SUM(税费参数!$B$6:$B$8)))</f>
        <v>0.0250874361043853</v>
      </c>
      <c r="L342" s="7">
        <f>J342*税费参数!$B$12/(I342*10000)</f>
        <v>0.0277777777777778</v>
      </c>
      <c r="M342" s="6">
        <f>I342*10000*SUM(税费参数!$B$9:$B$10)/税费参数!$B$11</f>
        <v>135</v>
      </c>
    </row>
    <row r="343" ht="21" customHeight="1" spans="1:13">
      <c r="A343" s="5" t="s">
        <v>15</v>
      </c>
      <c r="B343" s="6" t="s">
        <v>55</v>
      </c>
      <c r="C343" s="6" t="s">
        <v>159</v>
      </c>
      <c r="D343" s="6" t="s">
        <v>160</v>
      </c>
      <c r="E343" s="6" t="s">
        <v>425</v>
      </c>
      <c r="F343" s="6" t="s">
        <v>1672</v>
      </c>
      <c r="G343" s="6">
        <v>39.67</v>
      </c>
      <c r="H343" s="6">
        <v>39</v>
      </c>
      <c r="I343" s="6">
        <v>72</v>
      </c>
      <c r="J343" s="6">
        <v>2000</v>
      </c>
      <c r="K343" s="7">
        <f>(J343-M343)*税费参数!$B$12/(I343*10000*(1+SUM(税费参数!$B$6:$B$8)))</f>
        <v>0.0250874361043853</v>
      </c>
      <c r="L343" s="7">
        <f>J343*税费参数!$B$12/(I343*10000)</f>
        <v>0.0277777777777778</v>
      </c>
      <c r="M343" s="6">
        <f>I343*10000*SUM(税费参数!$B$9:$B$10)/税费参数!$B$11</f>
        <v>135</v>
      </c>
    </row>
    <row r="344" ht="21" customHeight="1" spans="1:13">
      <c r="A344" s="5" t="s">
        <v>15</v>
      </c>
      <c r="B344" s="6" t="s">
        <v>55</v>
      </c>
      <c r="C344" s="6" t="s">
        <v>159</v>
      </c>
      <c r="D344" s="6" t="s">
        <v>153</v>
      </c>
      <c r="E344" s="6" t="s">
        <v>455</v>
      </c>
      <c r="F344" s="6" t="s">
        <v>1673</v>
      </c>
      <c r="G344" s="6">
        <v>39.67</v>
      </c>
      <c r="H344" s="6">
        <v>39.67</v>
      </c>
      <c r="I344" s="6">
        <v>79</v>
      </c>
      <c r="J344" s="6">
        <v>2100</v>
      </c>
      <c r="K344" s="7">
        <f>(J344-M344)*税费参数!$B$12/(I344*10000*(1+SUM(税费参数!$B$6:$B$8)))</f>
        <v>0.0239295675360897</v>
      </c>
      <c r="L344" s="7">
        <f>J344*税费参数!$B$12/(I344*10000)</f>
        <v>0.0265822784810127</v>
      </c>
      <c r="M344" s="6">
        <f>I344*10000*SUM(税费参数!$B$9:$B$10)/税费参数!$B$11</f>
        <v>148.125</v>
      </c>
    </row>
    <row r="345" ht="21" customHeight="1" spans="1:13">
      <c r="A345" s="5" t="s">
        <v>15</v>
      </c>
      <c r="B345" s="6" t="s">
        <v>55</v>
      </c>
      <c r="C345" s="6" t="s">
        <v>159</v>
      </c>
      <c r="D345" s="6" t="s">
        <v>153</v>
      </c>
      <c r="E345" s="6" t="s">
        <v>455</v>
      </c>
      <c r="F345" s="6" t="s">
        <v>1674</v>
      </c>
      <c r="G345" s="6">
        <v>39.67</v>
      </c>
      <c r="H345" s="6">
        <v>39.67</v>
      </c>
      <c r="I345" s="6">
        <v>79</v>
      </c>
      <c r="J345" s="6">
        <v>2000</v>
      </c>
      <c r="K345" s="7">
        <f>(J345-M345)*税费参数!$B$12/(I345*10000*(1+SUM(税费参数!$B$6:$B$8)))</f>
        <v>0.0227035890520121</v>
      </c>
      <c r="L345" s="7">
        <f>J345*税费参数!$B$12/(I345*10000)</f>
        <v>0.0253164556962025</v>
      </c>
      <c r="M345" s="6">
        <f>I345*10000*SUM(税费参数!$B$9:$B$10)/税费参数!$B$11</f>
        <v>148.125</v>
      </c>
    </row>
    <row r="346" ht="21" customHeight="1" spans="1:13">
      <c r="A346" s="5" t="s">
        <v>15</v>
      </c>
      <c r="B346" s="6" t="s">
        <v>55</v>
      </c>
      <c r="C346" s="6" t="s">
        <v>159</v>
      </c>
      <c r="D346" s="6" t="s">
        <v>153</v>
      </c>
      <c r="E346" s="6" t="s">
        <v>453</v>
      </c>
      <c r="F346" s="6" t="s">
        <v>1673</v>
      </c>
      <c r="G346" s="6">
        <v>39.42</v>
      </c>
      <c r="H346" s="6">
        <v>39.67</v>
      </c>
      <c r="I346" s="6">
        <v>69</v>
      </c>
      <c r="J346" s="6">
        <v>2100</v>
      </c>
      <c r="K346" s="7">
        <f>(J346-M346)*税费参数!$B$12/(I346*10000*(1+SUM(税费参数!$B$6:$B$8)))</f>
        <v>0.0276608064006738</v>
      </c>
      <c r="L346" s="7">
        <f>J346*税费参数!$B$12/(I346*10000)</f>
        <v>0.0304347826086957</v>
      </c>
      <c r="M346" s="6">
        <f>I346*10000*SUM(税费参数!$B$9:$B$10)/税费参数!$B$11</f>
        <v>129.375</v>
      </c>
    </row>
    <row r="347" ht="21" customHeight="1" spans="1:13">
      <c r="A347" s="5" t="s">
        <v>15</v>
      </c>
      <c r="B347" s="6" t="s">
        <v>55</v>
      </c>
      <c r="C347" s="6" t="s">
        <v>159</v>
      </c>
      <c r="D347" s="6" t="s">
        <v>153</v>
      </c>
      <c r="E347" s="6" t="s">
        <v>453</v>
      </c>
      <c r="F347" s="6" t="s">
        <v>1674</v>
      </c>
      <c r="G347" s="6">
        <v>39.42</v>
      </c>
      <c r="H347" s="6">
        <v>39.67</v>
      </c>
      <c r="I347" s="6">
        <v>69</v>
      </c>
      <c r="J347" s="6">
        <v>2000</v>
      </c>
      <c r="K347" s="7">
        <f>(J347-M347)*税费参数!$B$12/(I347*10000*(1+SUM(税费参数!$B$6:$B$8)))</f>
        <v>0.0262571498754255</v>
      </c>
      <c r="L347" s="7">
        <f>J347*税费参数!$B$12/(I347*10000)</f>
        <v>0.0289855072463768</v>
      </c>
      <c r="M347" s="6">
        <f>I347*10000*SUM(税费参数!$B$9:$B$10)/税费参数!$B$11</f>
        <v>129.375</v>
      </c>
    </row>
    <row r="348" ht="21" customHeight="1" spans="1:13">
      <c r="A348" s="5" t="s">
        <v>15</v>
      </c>
      <c r="B348" s="6" t="s">
        <v>55</v>
      </c>
      <c r="C348" s="6" t="s">
        <v>152</v>
      </c>
      <c r="D348" s="6" t="s">
        <v>160</v>
      </c>
      <c r="E348" s="6" t="s">
        <v>411</v>
      </c>
      <c r="F348" s="6" t="s">
        <v>1675</v>
      </c>
      <c r="G348" s="6">
        <v>41.95</v>
      </c>
      <c r="H348" s="6">
        <v>41.53</v>
      </c>
      <c r="I348" s="6">
        <v>73.5</v>
      </c>
      <c r="J348" s="6">
        <v>1960</v>
      </c>
      <c r="K348" s="7">
        <f>(J348-M348)*税费参数!$B$12/(I348*10000*(1+SUM(税费参数!$B$6:$B$8)))</f>
        <v>0.0240112994350282</v>
      </c>
      <c r="L348" s="7">
        <f>J348*税费参数!$B$12/(I348*10000)</f>
        <v>0.0266666666666667</v>
      </c>
      <c r="M348" s="6">
        <f>I348*10000*SUM(税费参数!$B$9:$B$10)/税费参数!$B$11</f>
        <v>137.8125</v>
      </c>
    </row>
    <row r="349" ht="21" customHeight="1" spans="1:13">
      <c r="A349" s="5" t="s">
        <v>15</v>
      </c>
      <c r="B349" s="6" t="s">
        <v>55</v>
      </c>
      <c r="C349" s="6" t="s">
        <v>152</v>
      </c>
      <c r="D349" s="6" t="s">
        <v>160</v>
      </c>
      <c r="E349" s="6" t="s">
        <v>411</v>
      </c>
      <c r="F349" s="6" t="s">
        <v>1676</v>
      </c>
      <c r="G349" s="6">
        <v>41.95</v>
      </c>
      <c r="H349" s="6">
        <v>40.25</v>
      </c>
      <c r="I349" s="6">
        <v>73.5</v>
      </c>
      <c r="J349" s="6">
        <v>2200</v>
      </c>
      <c r="K349" s="7">
        <f>(J349-M349)*税费参数!$B$12/(I349*10000*(1+SUM(税费参数!$B$6:$B$8)))</f>
        <v>0.0271738235245672</v>
      </c>
      <c r="L349" s="7">
        <f>J349*税费参数!$B$12/(I349*10000)</f>
        <v>0.0299319727891156</v>
      </c>
      <c r="M349" s="6">
        <f>I349*10000*SUM(税费参数!$B$9:$B$10)/税费参数!$B$11</f>
        <v>137.8125</v>
      </c>
    </row>
    <row r="350" ht="21" customHeight="1" spans="1:13">
      <c r="A350" s="5" t="s">
        <v>15</v>
      </c>
      <c r="B350" s="6" t="s">
        <v>55</v>
      </c>
      <c r="C350" s="6" t="s">
        <v>152</v>
      </c>
      <c r="D350" s="6" t="s">
        <v>160</v>
      </c>
      <c r="E350" s="6" t="s">
        <v>407</v>
      </c>
      <c r="F350" s="6" t="s">
        <v>1675</v>
      </c>
      <c r="G350" s="6">
        <v>41.37</v>
      </c>
      <c r="H350" s="6">
        <v>41.53</v>
      </c>
      <c r="I350" s="6">
        <v>74.5</v>
      </c>
      <c r="J350" s="6">
        <v>1960</v>
      </c>
      <c r="K350" s="7">
        <f>(J350-M350)*税费参数!$B$12/(I350*10000*(1+SUM(税费参数!$B$6:$B$8)))</f>
        <v>0.0236646245348327</v>
      </c>
      <c r="L350" s="7">
        <f>J350*税费参数!$B$12/(I350*10000)</f>
        <v>0.0263087248322148</v>
      </c>
      <c r="M350" s="6">
        <f>I350*10000*SUM(税费参数!$B$9:$B$10)/税费参数!$B$11</f>
        <v>139.6875</v>
      </c>
    </row>
    <row r="351" ht="21" customHeight="1" spans="1:13">
      <c r="A351" s="5" t="s">
        <v>15</v>
      </c>
      <c r="B351" s="6" t="s">
        <v>55</v>
      </c>
      <c r="C351" s="6" t="s">
        <v>152</v>
      </c>
      <c r="D351" s="6" t="s">
        <v>160</v>
      </c>
      <c r="E351" s="6" t="s">
        <v>407</v>
      </c>
      <c r="F351" s="6" t="s">
        <v>1676</v>
      </c>
      <c r="G351" s="6">
        <v>41.37</v>
      </c>
      <c r="H351" s="6">
        <v>40.25</v>
      </c>
      <c r="I351" s="6">
        <v>74.5</v>
      </c>
      <c r="J351" s="6">
        <v>2200</v>
      </c>
      <c r="K351" s="7">
        <f>(J351-M351)*税费参数!$B$12/(I351*10000*(1+SUM(税费参数!$B$6:$B$8)))</f>
        <v>0.0267846986365926</v>
      </c>
      <c r="L351" s="7">
        <f>J351*税费参数!$B$12/(I351*10000)</f>
        <v>0.0295302013422819</v>
      </c>
      <c r="M351" s="6">
        <f>I351*10000*SUM(税费参数!$B$9:$B$10)/税费参数!$B$11</f>
        <v>139.6875</v>
      </c>
    </row>
    <row r="352" ht="21" customHeight="1" spans="1:13">
      <c r="A352" s="5" t="s">
        <v>15</v>
      </c>
      <c r="B352" s="6" t="s">
        <v>55</v>
      </c>
      <c r="C352" s="6" t="s">
        <v>152</v>
      </c>
      <c r="D352" s="6" t="s">
        <v>160</v>
      </c>
      <c r="E352" s="6" t="s">
        <v>409</v>
      </c>
      <c r="F352" s="6" t="s">
        <v>1675</v>
      </c>
      <c r="G352" s="6">
        <v>41.37</v>
      </c>
      <c r="H352" s="6">
        <v>41.53</v>
      </c>
      <c r="I352" s="6">
        <v>71</v>
      </c>
      <c r="J352" s="6">
        <v>1960</v>
      </c>
      <c r="K352" s="7">
        <f>(J352-M352)*税费参数!$B$12/(I352*10000*(1+SUM(税费参数!$B$6:$B$8)))</f>
        <v>0.0249207107049074</v>
      </c>
      <c r="L352" s="7">
        <f>J352*税费参数!$B$12/(I352*10000)</f>
        <v>0.0276056338028169</v>
      </c>
      <c r="M352" s="6">
        <f>I352*10000*SUM(税费参数!$B$9:$B$10)/税费参数!$B$11</f>
        <v>133.125</v>
      </c>
    </row>
    <row r="353" ht="21" customHeight="1" spans="1:13">
      <c r="A353" s="5" t="s">
        <v>15</v>
      </c>
      <c r="B353" s="6" t="s">
        <v>55</v>
      </c>
      <c r="C353" s="6" t="s">
        <v>152</v>
      </c>
      <c r="D353" s="6" t="s">
        <v>160</v>
      </c>
      <c r="E353" s="6" t="s">
        <v>409</v>
      </c>
      <c r="F353" s="6" t="s">
        <v>1676</v>
      </c>
      <c r="G353" s="6">
        <v>41.37</v>
      </c>
      <c r="H353" s="6">
        <v>40.25</v>
      </c>
      <c r="I353" s="6">
        <v>71</v>
      </c>
      <c r="J353" s="6">
        <v>2200</v>
      </c>
      <c r="K353" s="7">
        <f>(J353-M353)*税费参数!$B$12/(I353*10000*(1+SUM(税费参数!$B$6:$B$8)))</f>
        <v>0.0281945912764724</v>
      </c>
      <c r="L353" s="7">
        <f>J353*税费参数!$B$12/(I353*10000)</f>
        <v>0.0309859154929577</v>
      </c>
      <c r="M353" s="6">
        <f>I353*10000*SUM(税费参数!$B$9:$B$10)/税费参数!$B$11</f>
        <v>133.125</v>
      </c>
    </row>
    <row r="354" ht="21" customHeight="1" spans="1:13">
      <c r="A354" s="5" t="s">
        <v>15</v>
      </c>
      <c r="B354" s="6" t="s">
        <v>55</v>
      </c>
      <c r="C354" s="6" t="s">
        <v>152</v>
      </c>
      <c r="D354" s="6" t="s">
        <v>160</v>
      </c>
      <c r="E354" s="6" t="s">
        <v>405</v>
      </c>
      <c r="F354" s="6" t="s">
        <v>1675</v>
      </c>
      <c r="G354" s="6">
        <v>41.17</v>
      </c>
      <c r="H354" s="6">
        <v>41.53</v>
      </c>
      <c r="I354" s="6">
        <v>75</v>
      </c>
      <c r="J354" s="6">
        <v>1960</v>
      </c>
      <c r="K354" s="7">
        <f>(J354-M354)*税费参数!$B$12/(I354*10000*(1+SUM(税费参数!$B$6:$B$8)))</f>
        <v>0.0234947538337369</v>
      </c>
      <c r="L354" s="7">
        <f>J354*税费参数!$B$12/(I354*10000)</f>
        <v>0.0261333333333333</v>
      </c>
      <c r="M354" s="6">
        <f>I354*10000*SUM(税费参数!$B$9:$B$10)/税费参数!$B$11</f>
        <v>140.625</v>
      </c>
    </row>
    <row r="355" ht="21" customHeight="1" spans="1:13">
      <c r="A355" s="5" t="s">
        <v>15</v>
      </c>
      <c r="B355" s="6" t="s">
        <v>55</v>
      </c>
      <c r="C355" s="6" t="s">
        <v>152</v>
      </c>
      <c r="D355" s="6" t="s">
        <v>160</v>
      </c>
      <c r="E355" s="6" t="s">
        <v>405</v>
      </c>
      <c r="F355" s="6" t="s">
        <v>1676</v>
      </c>
      <c r="G355" s="6">
        <v>41.17</v>
      </c>
      <c r="H355" s="6">
        <v>40.25</v>
      </c>
      <c r="I355" s="6">
        <v>75</v>
      </c>
      <c r="J355" s="6">
        <v>2200</v>
      </c>
      <c r="K355" s="7">
        <f>(J355-M355)*税费参数!$B$12/(I355*10000*(1+SUM(税费参数!$B$6:$B$8)))</f>
        <v>0.0265940274414851</v>
      </c>
      <c r="L355" s="7">
        <f>J355*税费参数!$B$12/(I355*10000)</f>
        <v>0.0293333333333333</v>
      </c>
      <c r="M355" s="6">
        <f>I355*10000*SUM(税费参数!$B$9:$B$10)/税费参数!$B$11</f>
        <v>140.625</v>
      </c>
    </row>
    <row r="356" ht="21" customHeight="1" spans="1:13">
      <c r="A356" s="5" t="s">
        <v>15</v>
      </c>
      <c r="B356" s="6" t="s">
        <v>55</v>
      </c>
      <c r="C356" s="6" t="s">
        <v>152</v>
      </c>
      <c r="D356" s="6" t="s">
        <v>153</v>
      </c>
      <c r="E356" s="6" t="s">
        <v>415</v>
      </c>
      <c r="F356" s="6" t="s">
        <v>1677</v>
      </c>
      <c r="G356" s="6">
        <v>50.19</v>
      </c>
      <c r="H356" s="6">
        <v>50.19</v>
      </c>
      <c r="I356" s="6">
        <v>89</v>
      </c>
      <c r="J356" s="6">
        <v>2200</v>
      </c>
      <c r="K356" s="7">
        <f>(J356-M356)*税费参数!$B$12/(I356*10000*(1+SUM(税费参数!$B$6:$B$8)))</f>
        <v>0.0221250374078407</v>
      </c>
      <c r="L356" s="7">
        <f>J356*税费参数!$B$12/(I356*10000)</f>
        <v>0.0247191011235955</v>
      </c>
      <c r="M356" s="6">
        <f>I356*10000*SUM(税费参数!$B$9:$B$10)/税费参数!$B$11</f>
        <v>166.875</v>
      </c>
    </row>
    <row r="357" ht="21" customHeight="1" spans="1:13">
      <c r="A357" s="5" t="s">
        <v>15</v>
      </c>
      <c r="B357" s="6" t="s">
        <v>55</v>
      </c>
      <c r="C357" s="6" t="s">
        <v>152</v>
      </c>
      <c r="D357" s="6" t="s">
        <v>153</v>
      </c>
      <c r="E357" s="6" t="s">
        <v>413</v>
      </c>
      <c r="F357" s="6" t="s">
        <v>1677</v>
      </c>
      <c r="G357" s="6">
        <v>50.19</v>
      </c>
      <c r="H357" s="6">
        <v>50.19</v>
      </c>
      <c r="I357" s="6">
        <v>115</v>
      </c>
      <c r="J357" s="6">
        <v>2200</v>
      </c>
      <c r="K357" s="7">
        <f>(J357-M357)*税费参数!$B$12/(I357*10000*(1+SUM(税费参数!$B$6:$B$8)))</f>
        <v>0.0167122855037372</v>
      </c>
      <c r="L357" s="7">
        <f>J357*税费参数!$B$12/(I357*10000)</f>
        <v>0.0191304347826087</v>
      </c>
      <c r="M357" s="6">
        <f>I357*10000*SUM(税费参数!$B$9:$B$10)/税费参数!$B$11</f>
        <v>215.625</v>
      </c>
    </row>
    <row r="358" ht="21" customHeight="1" spans="1:13">
      <c r="A358" s="5" t="s">
        <v>15</v>
      </c>
      <c r="B358" s="6" t="s">
        <v>55</v>
      </c>
      <c r="C358" s="6" t="s">
        <v>157</v>
      </c>
      <c r="D358" s="6" t="s">
        <v>153</v>
      </c>
      <c r="E358" s="6" t="s">
        <v>419</v>
      </c>
      <c r="F358" s="6" t="s">
        <v>1678</v>
      </c>
      <c r="G358" s="6">
        <v>63.31</v>
      </c>
      <c r="H358" s="6">
        <v>63.16</v>
      </c>
      <c r="I358" s="6">
        <v>110</v>
      </c>
      <c r="J358" s="6">
        <v>3000</v>
      </c>
      <c r="K358" s="7">
        <f>(J358-M358)*税费参数!$B$12/(I358*10000*(1+SUM(税费参数!$B$6:$B$8)))</f>
        <v>0.0245982830728593</v>
      </c>
      <c r="L358" s="7">
        <f>J358*税费参数!$B$12/(I358*10000)</f>
        <v>0.0272727272727273</v>
      </c>
      <c r="M358" s="6">
        <f>I358*10000*SUM(税费参数!$B$9:$B$10)/税费参数!$B$11</f>
        <v>206.25</v>
      </c>
    </row>
    <row r="359" ht="21" customHeight="1" spans="1:13">
      <c r="A359" s="5" t="s">
        <v>15</v>
      </c>
      <c r="B359" s="6" t="s">
        <v>67</v>
      </c>
      <c r="C359" s="6" t="s">
        <v>152</v>
      </c>
      <c r="D359" s="6" t="s">
        <v>153</v>
      </c>
      <c r="E359" s="6" t="s">
        <v>459</v>
      </c>
      <c r="F359" s="6" t="s">
        <v>1679</v>
      </c>
      <c r="G359" s="6">
        <v>52.38</v>
      </c>
      <c r="H359" s="6">
        <v>53.15</v>
      </c>
      <c r="I359" s="6">
        <v>120</v>
      </c>
      <c r="J359" s="6">
        <v>2300</v>
      </c>
      <c r="K359" s="7">
        <f>(J359-M359)*税费参数!$B$12/(I359*10000*(1+SUM(税费参数!$B$6:$B$8)))</f>
        <v>0.0167473769168684</v>
      </c>
      <c r="L359" s="7">
        <f>J359*税费参数!$B$12/(I359*10000)</f>
        <v>0.0191666666666667</v>
      </c>
      <c r="M359" s="6">
        <f>I359*10000*SUM(税费参数!$B$9:$B$10)/税费参数!$B$11</f>
        <v>225</v>
      </c>
    </row>
    <row r="360" ht="21" customHeight="1" spans="1:13">
      <c r="A360" s="5" t="s">
        <v>15</v>
      </c>
      <c r="B360" s="6" t="s">
        <v>67</v>
      </c>
      <c r="C360" s="6" t="s">
        <v>152</v>
      </c>
      <c r="D360" s="6" t="s">
        <v>153</v>
      </c>
      <c r="E360" s="6" t="s">
        <v>459</v>
      </c>
      <c r="F360" s="6" t="s">
        <v>1680</v>
      </c>
      <c r="G360" s="6">
        <v>52.38</v>
      </c>
      <c r="H360" s="6">
        <v>55.38</v>
      </c>
      <c r="I360" s="6">
        <v>120</v>
      </c>
      <c r="J360" s="6">
        <v>2000</v>
      </c>
      <c r="K360" s="7">
        <f>(J360-M360)*税费参数!$B$12/(I360*10000*(1+SUM(税费参数!$B$6:$B$8)))</f>
        <v>0.0143260694108152</v>
      </c>
      <c r="L360" s="7">
        <f>J360*税费参数!$B$12/(I360*10000)</f>
        <v>0.0166666666666667</v>
      </c>
      <c r="M360" s="6">
        <f>I360*10000*SUM(税费参数!$B$9:$B$10)/税费参数!$B$11</f>
        <v>225</v>
      </c>
    </row>
    <row r="361" ht="21" customHeight="1" spans="1:13">
      <c r="A361" s="5" t="s">
        <v>15</v>
      </c>
      <c r="B361" s="6" t="s">
        <v>67</v>
      </c>
      <c r="C361" s="6" t="s">
        <v>152</v>
      </c>
      <c r="D361" s="6" t="s">
        <v>153</v>
      </c>
      <c r="E361" s="6" t="s">
        <v>459</v>
      </c>
      <c r="F361" s="6" t="s">
        <v>1681</v>
      </c>
      <c r="G361" s="6">
        <v>52.38</v>
      </c>
      <c r="H361" s="6">
        <v>50.38</v>
      </c>
      <c r="I361" s="6">
        <v>120</v>
      </c>
      <c r="J361" s="6">
        <v>2200</v>
      </c>
      <c r="K361" s="7">
        <f>(J361-M361)*税费参数!$B$12/(I361*10000*(1+SUM(税费参数!$B$6:$B$8)))</f>
        <v>0.0159402744148507</v>
      </c>
      <c r="L361" s="7">
        <f>J361*税费参数!$B$12/(I361*10000)</f>
        <v>0.0183333333333333</v>
      </c>
      <c r="M361" s="6">
        <f>I361*10000*SUM(税费参数!$B$9:$B$10)/税费参数!$B$11</f>
        <v>225</v>
      </c>
    </row>
    <row r="362" ht="21" customHeight="1" spans="1:13">
      <c r="A362" s="5" t="s">
        <v>15</v>
      </c>
      <c r="B362" s="6" t="s">
        <v>67</v>
      </c>
      <c r="C362" s="6" t="s">
        <v>152</v>
      </c>
      <c r="D362" s="6" t="s">
        <v>153</v>
      </c>
      <c r="E362" s="6" t="s">
        <v>459</v>
      </c>
      <c r="F362" s="6" t="s">
        <v>1682</v>
      </c>
      <c r="G362" s="6">
        <v>52.38</v>
      </c>
      <c r="H362" s="6">
        <v>55.38</v>
      </c>
      <c r="I362" s="6">
        <v>120</v>
      </c>
      <c r="J362" s="6">
        <v>2200</v>
      </c>
      <c r="K362" s="7">
        <f>(J362-M362)*税费参数!$B$12/(I362*10000*(1+SUM(税费参数!$B$6:$B$8)))</f>
        <v>0.0159402744148507</v>
      </c>
      <c r="L362" s="7">
        <f>J362*税费参数!$B$12/(I362*10000)</f>
        <v>0.0183333333333333</v>
      </c>
      <c r="M362" s="6">
        <f>I362*10000*SUM(税费参数!$B$9:$B$10)/税费参数!$B$11</f>
        <v>225</v>
      </c>
    </row>
    <row r="363" ht="21" customHeight="1" spans="1:13">
      <c r="A363" s="5" t="s">
        <v>15</v>
      </c>
      <c r="B363" s="6" t="s">
        <v>67</v>
      </c>
      <c r="C363" s="6" t="s">
        <v>152</v>
      </c>
      <c r="D363" s="6" t="s">
        <v>153</v>
      </c>
      <c r="E363" s="6" t="s">
        <v>457</v>
      </c>
      <c r="F363" s="6" t="s">
        <v>1679</v>
      </c>
      <c r="G363" s="6">
        <v>53.95</v>
      </c>
      <c r="H363" s="6">
        <v>53.15</v>
      </c>
      <c r="I363" s="6">
        <v>110</v>
      </c>
      <c r="J363" s="6">
        <v>2300</v>
      </c>
      <c r="K363" s="7">
        <f>(J363-M363)*税费参数!$B$12/(I363*10000*(1+SUM(税费参数!$B$6:$B$8)))</f>
        <v>0.0184349548756328</v>
      </c>
      <c r="L363" s="7">
        <f>J363*税费参数!$B$12/(I363*10000)</f>
        <v>0.0209090909090909</v>
      </c>
      <c r="M363" s="6">
        <f>I363*10000*SUM(税费参数!$B$9:$B$10)/税费参数!$B$11</f>
        <v>206.25</v>
      </c>
    </row>
    <row r="364" ht="21" customHeight="1" spans="1:13">
      <c r="A364" s="5" t="s">
        <v>15</v>
      </c>
      <c r="B364" s="6" t="s">
        <v>67</v>
      </c>
      <c r="C364" s="6" t="s">
        <v>152</v>
      </c>
      <c r="D364" s="6" t="s">
        <v>153</v>
      </c>
      <c r="E364" s="6" t="s">
        <v>457</v>
      </c>
      <c r="F364" s="6" t="s">
        <v>1680</v>
      </c>
      <c r="G364" s="6">
        <v>53.95</v>
      </c>
      <c r="H364" s="6">
        <v>55.38</v>
      </c>
      <c r="I364" s="6">
        <v>110</v>
      </c>
      <c r="J364" s="6">
        <v>2000</v>
      </c>
      <c r="K364" s="7">
        <f>(J364-M364)*税费参数!$B$12/(I364*10000*(1+SUM(税费参数!$B$6:$B$8)))</f>
        <v>0.0157935285053929</v>
      </c>
      <c r="L364" s="7">
        <f>J364*税费参数!$B$12/(I364*10000)</f>
        <v>0.0181818181818182</v>
      </c>
      <c r="M364" s="6">
        <f>I364*10000*SUM(税费参数!$B$9:$B$10)/税费参数!$B$11</f>
        <v>206.25</v>
      </c>
    </row>
    <row r="365" ht="21" customHeight="1" spans="1:13">
      <c r="A365" s="5" t="s">
        <v>15</v>
      </c>
      <c r="B365" s="6" t="s">
        <v>67</v>
      </c>
      <c r="C365" s="6" t="s">
        <v>152</v>
      </c>
      <c r="D365" s="6" t="s">
        <v>153</v>
      </c>
      <c r="E365" s="6" t="s">
        <v>457</v>
      </c>
      <c r="F365" s="6" t="s">
        <v>1681</v>
      </c>
      <c r="G365" s="6">
        <v>53.95</v>
      </c>
      <c r="H365" s="6">
        <v>50.38</v>
      </c>
      <c r="I365" s="6">
        <v>110</v>
      </c>
      <c r="J365" s="6">
        <v>2200</v>
      </c>
      <c r="K365" s="7">
        <f>(J365-M365)*税费参数!$B$12/(I365*10000*(1+SUM(税费参数!$B$6:$B$8)))</f>
        <v>0.0175544794188862</v>
      </c>
      <c r="L365" s="7">
        <f>J365*税费参数!$B$12/(I365*10000)</f>
        <v>0.02</v>
      </c>
      <c r="M365" s="6">
        <f>I365*10000*SUM(税费参数!$B$9:$B$10)/税费参数!$B$11</f>
        <v>206.25</v>
      </c>
    </row>
    <row r="366" ht="21" customHeight="1" spans="1:13">
      <c r="A366" s="5" t="s">
        <v>15</v>
      </c>
      <c r="B366" s="6" t="s">
        <v>67</v>
      </c>
      <c r="C366" s="6" t="s">
        <v>152</v>
      </c>
      <c r="D366" s="6" t="s">
        <v>153</v>
      </c>
      <c r="E366" s="6" t="s">
        <v>457</v>
      </c>
      <c r="F366" s="6" t="s">
        <v>1682</v>
      </c>
      <c r="G366" s="6">
        <v>53.95</v>
      </c>
      <c r="H366" s="6">
        <v>55.38</v>
      </c>
      <c r="I366" s="6">
        <v>110</v>
      </c>
      <c r="J366" s="6">
        <v>2200</v>
      </c>
      <c r="K366" s="7">
        <f>(J366-M366)*税费参数!$B$12/(I366*10000*(1+SUM(税费参数!$B$6:$B$8)))</f>
        <v>0.0175544794188862</v>
      </c>
      <c r="L366" s="7">
        <f>J366*税费参数!$B$12/(I366*10000)</f>
        <v>0.02</v>
      </c>
      <c r="M366" s="6">
        <f>I366*10000*SUM(税费参数!$B$9:$B$10)/税费参数!$B$11</f>
        <v>206.25</v>
      </c>
    </row>
    <row r="367" ht="21" customHeight="1" spans="1:13">
      <c r="A367" s="5" t="s">
        <v>15</v>
      </c>
      <c r="B367" s="6" t="s">
        <v>67</v>
      </c>
      <c r="C367" s="6" t="s">
        <v>152</v>
      </c>
      <c r="D367" s="6" t="s">
        <v>153</v>
      </c>
      <c r="E367" s="6" t="s">
        <v>461</v>
      </c>
      <c r="F367" s="6" t="s">
        <v>1679</v>
      </c>
      <c r="G367" s="6">
        <v>52.23</v>
      </c>
      <c r="H367" s="6">
        <v>53.15</v>
      </c>
      <c r="I367" s="6">
        <v>100</v>
      </c>
      <c r="J367" s="6">
        <v>2300</v>
      </c>
      <c r="K367" s="7">
        <f>(J367-M367)*税费参数!$B$12/(I367*10000*(1+SUM(税费参数!$B$6:$B$8)))</f>
        <v>0.0204600484261501</v>
      </c>
      <c r="L367" s="7">
        <f>J367*税费参数!$B$12/(I367*10000)</f>
        <v>0.023</v>
      </c>
      <c r="M367" s="6">
        <f>I367*10000*SUM(税费参数!$B$9:$B$10)/税费参数!$B$11</f>
        <v>187.5</v>
      </c>
    </row>
    <row r="368" ht="21" customHeight="1" spans="1:13">
      <c r="A368" s="5" t="s">
        <v>15</v>
      </c>
      <c r="B368" s="6" t="s">
        <v>67</v>
      </c>
      <c r="C368" s="6" t="s">
        <v>152</v>
      </c>
      <c r="D368" s="6" t="s">
        <v>153</v>
      </c>
      <c r="E368" s="6" t="s">
        <v>461</v>
      </c>
      <c r="F368" s="6" t="s">
        <v>1680</v>
      </c>
      <c r="G368" s="6">
        <v>52.23</v>
      </c>
      <c r="H368" s="6">
        <v>55.38</v>
      </c>
      <c r="I368" s="6">
        <v>100</v>
      </c>
      <c r="J368" s="6">
        <v>2000</v>
      </c>
      <c r="K368" s="7">
        <f>(J368-M368)*税费参数!$B$12/(I368*10000*(1+SUM(税费参数!$B$6:$B$8)))</f>
        <v>0.0175544794188862</v>
      </c>
      <c r="L368" s="7">
        <f>J368*税费参数!$B$12/(I368*10000)</f>
        <v>0.02</v>
      </c>
      <c r="M368" s="6">
        <f>I368*10000*SUM(税费参数!$B$9:$B$10)/税费参数!$B$11</f>
        <v>187.5</v>
      </c>
    </row>
    <row r="369" ht="21" customHeight="1" spans="1:13">
      <c r="A369" s="5" t="s">
        <v>15</v>
      </c>
      <c r="B369" s="6" t="s">
        <v>67</v>
      </c>
      <c r="C369" s="6" t="s">
        <v>152</v>
      </c>
      <c r="D369" s="6" t="s">
        <v>153</v>
      </c>
      <c r="E369" s="6" t="s">
        <v>461</v>
      </c>
      <c r="F369" s="6" t="s">
        <v>1681</v>
      </c>
      <c r="G369" s="6">
        <v>52.23</v>
      </c>
      <c r="H369" s="6">
        <v>50.38</v>
      </c>
      <c r="I369" s="6">
        <v>100</v>
      </c>
      <c r="J369" s="6">
        <v>2200</v>
      </c>
      <c r="K369" s="7">
        <f>(J369-M369)*税费参数!$B$12/(I369*10000*(1+SUM(税费参数!$B$6:$B$8)))</f>
        <v>0.0194915254237288</v>
      </c>
      <c r="L369" s="7">
        <f>J369*税费参数!$B$12/(I369*10000)</f>
        <v>0.022</v>
      </c>
      <c r="M369" s="6">
        <f>I369*10000*SUM(税费参数!$B$9:$B$10)/税费参数!$B$11</f>
        <v>187.5</v>
      </c>
    </row>
    <row r="370" ht="21" customHeight="1" spans="1:13">
      <c r="A370" s="5" t="s">
        <v>15</v>
      </c>
      <c r="B370" s="6" t="s">
        <v>67</v>
      </c>
      <c r="C370" s="6" t="s">
        <v>152</v>
      </c>
      <c r="D370" s="6" t="s">
        <v>153</v>
      </c>
      <c r="E370" s="6" t="s">
        <v>461</v>
      </c>
      <c r="F370" s="6" t="s">
        <v>1682</v>
      </c>
      <c r="G370" s="6">
        <v>52.23</v>
      </c>
      <c r="H370" s="6">
        <v>55.38</v>
      </c>
      <c r="I370" s="6">
        <v>100</v>
      </c>
      <c r="J370" s="6">
        <v>2200</v>
      </c>
      <c r="K370" s="7">
        <f>(J370-M370)*税费参数!$B$12/(I370*10000*(1+SUM(税费参数!$B$6:$B$8)))</f>
        <v>0.0194915254237288</v>
      </c>
      <c r="L370" s="7">
        <f>J370*税费参数!$B$12/(I370*10000)</f>
        <v>0.022</v>
      </c>
      <c r="M370" s="6">
        <f>I370*10000*SUM(税费参数!$B$9:$B$10)/税费参数!$B$11</f>
        <v>187.5</v>
      </c>
    </row>
    <row r="371" ht="21" customHeight="1" spans="1:13">
      <c r="A371" s="5" t="s">
        <v>15</v>
      </c>
      <c r="B371" s="6" t="s">
        <v>59</v>
      </c>
      <c r="C371" s="6" t="s">
        <v>152</v>
      </c>
      <c r="D371" s="6" t="s">
        <v>153</v>
      </c>
      <c r="E371" s="6" t="s">
        <v>463</v>
      </c>
      <c r="F371" s="6" t="s">
        <v>1683</v>
      </c>
      <c r="G371" s="6">
        <v>50.44</v>
      </c>
      <c r="H371" s="6">
        <v>50.01</v>
      </c>
      <c r="I371" s="6">
        <v>85</v>
      </c>
      <c r="J371" s="6">
        <v>2390</v>
      </c>
      <c r="K371" s="7">
        <f>(J371-M371)*税费参数!$B$12/(I371*10000*(1+SUM(税费参数!$B$6:$B$8)))</f>
        <v>0.0254166073208945</v>
      </c>
      <c r="L371" s="7">
        <f>J371*税费参数!$B$12/(I371*10000)</f>
        <v>0.0281176470588235</v>
      </c>
      <c r="M371" s="6">
        <f>I371*10000*SUM(税费参数!$B$9:$B$10)/税费参数!$B$11</f>
        <v>159.375</v>
      </c>
    </row>
    <row r="372" ht="21" customHeight="1" spans="1:13">
      <c r="A372" s="5" t="s">
        <v>15</v>
      </c>
      <c r="B372" s="6" t="s">
        <v>59</v>
      </c>
      <c r="C372" s="6" t="s">
        <v>152</v>
      </c>
      <c r="D372" s="6" t="s">
        <v>153</v>
      </c>
      <c r="E372" s="6" t="s">
        <v>463</v>
      </c>
      <c r="F372" s="6" t="s">
        <v>1684</v>
      </c>
      <c r="G372" s="6">
        <v>50.44</v>
      </c>
      <c r="H372" s="6">
        <v>46.61</v>
      </c>
      <c r="I372" s="6">
        <v>85</v>
      </c>
      <c r="J372" s="6">
        <v>2830</v>
      </c>
      <c r="K372" s="7">
        <f>(J372-M372)*税费参数!$B$12/(I372*10000*(1+SUM(税费参数!$B$6:$B$8)))</f>
        <v>0.0304301381569577</v>
      </c>
      <c r="L372" s="7">
        <f>J372*税费参数!$B$12/(I372*10000)</f>
        <v>0.0332941176470588</v>
      </c>
      <c r="M372" s="6">
        <f>I372*10000*SUM(税费参数!$B$9:$B$10)/税费参数!$B$11</f>
        <v>159.375</v>
      </c>
    </row>
    <row r="373" ht="21" customHeight="1" spans="1:13">
      <c r="A373" s="5" t="s">
        <v>15</v>
      </c>
      <c r="B373" s="6" t="s">
        <v>59</v>
      </c>
      <c r="C373" s="6" t="s">
        <v>152</v>
      </c>
      <c r="D373" s="6" t="s">
        <v>153</v>
      </c>
      <c r="E373" s="6" t="s">
        <v>463</v>
      </c>
      <c r="F373" s="6" t="s">
        <v>1685</v>
      </c>
      <c r="G373" s="6">
        <v>50.44</v>
      </c>
      <c r="H373" s="6">
        <v>50.01</v>
      </c>
      <c r="I373" s="6">
        <v>85</v>
      </c>
      <c r="J373" s="6">
        <v>2200</v>
      </c>
      <c r="K373" s="7">
        <f>(J373-M373)*税费参数!$B$12/(I373*10000*(1+SUM(税费参数!$B$6:$B$8)))</f>
        <v>0.0232516735507762</v>
      </c>
      <c r="L373" s="7">
        <f>J373*税费参数!$B$12/(I373*10000)</f>
        <v>0.0258823529411765</v>
      </c>
      <c r="M373" s="6">
        <f>I373*10000*SUM(税费参数!$B$9:$B$10)/税费参数!$B$11</f>
        <v>159.375</v>
      </c>
    </row>
    <row r="374" ht="21" customHeight="1" spans="1:13">
      <c r="A374" s="5" t="s">
        <v>15</v>
      </c>
      <c r="B374" s="6" t="s">
        <v>59</v>
      </c>
      <c r="C374" s="6" t="s">
        <v>152</v>
      </c>
      <c r="D374" s="6" t="s">
        <v>153</v>
      </c>
      <c r="E374" s="6" t="s">
        <v>463</v>
      </c>
      <c r="F374" s="6" t="s">
        <v>1686</v>
      </c>
      <c r="G374" s="6">
        <v>50.44</v>
      </c>
      <c r="H374" s="6">
        <v>50.44</v>
      </c>
      <c r="I374" s="6">
        <v>85</v>
      </c>
      <c r="J374" s="6">
        <v>2400</v>
      </c>
      <c r="K374" s="7">
        <f>(J374-M374)*税费参数!$B$12/(I374*10000*(1+SUM(税费参数!$B$6:$B$8)))</f>
        <v>0.0255305512035323</v>
      </c>
      <c r="L374" s="7">
        <f>J374*税费参数!$B$12/(I374*10000)</f>
        <v>0.0282352941176471</v>
      </c>
      <c r="M374" s="6">
        <f>I374*10000*SUM(税费参数!$B$9:$B$10)/税费参数!$B$11</f>
        <v>159.375</v>
      </c>
    </row>
    <row r="375" ht="21" customHeight="1" spans="1:13">
      <c r="A375" s="5" t="s">
        <v>15</v>
      </c>
      <c r="B375" s="6" t="s">
        <v>59</v>
      </c>
      <c r="C375" s="6" t="s">
        <v>152</v>
      </c>
      <c r="D375" s="6" t="s">
        <v>153</v>
      </c>
      <c r="E375" s="6" t="s">
        <v>463</v>
      </c>
      <c r="F375" s="6" t="s">
        <v>1687</v>
      </c>
      <c r="G375" s="6">
        <v>50.44</v>
      </c>
      <c r="H375" s="6">
        <v>45.55</v>
      </c>
      <c r="I375" s="6">
        <v>85</v>
      </c>
      <c r="J375" s="6">
        <v>2200</v>
      </c>
      <c r="K375" s="7">
        <f>(J375-M375)*税费参数!$B$12/(I375*10000*(1+SUM(税费参数!$B$6:$B$8)))</f>
        <v>0.0232516735507762</v>
      </c>
      <c r="L375" s="7">
        <f>J375*税费参数!$B$12/(I375*10000)</f>
        <v>0.0258823529411765</v>
      </c>
      <c r="M375" s="6">
        <f>I375*10000*SUM(税费参数!$B$9:$B$10)/税费参数!$B$11</f>
        <v>159.375</v>
      </c>
    </row>
    <row r="376" ht="21" customHeight="1" spans="1:13">
      <c r="A376" s="5" t="s">
        <v>15</v>
      </c>
      <c r="B376" s="6" t="s">
        <v>59</v>
      </c>
      <c r="C376" s="6" t="s">
        <v>152</v>
      </c>
      <c r="D376" s="6" t="s">
        <v>153</v>
      </c>
      <c r="E376" s="6" t="s">
        <v>463</v>
      </c>
      <c r="F376" s="6" t="s">
        <v>1688</v>
      </c>
      <c r="G376" s="6">
        <v>50.44</v>
      </c>
      <c r="H376" s="6">
        <v>50.13</v>
      </c>
      <c r="I376" s="6">
        <v>85</v>
      </c>
      <c r="J376" s="6">
        <v>2300</v>
      </c>
      <c r="K376" s="7">
        <f>(J376-M376)*税费参数!$B$12/(I376*10000*(1+SUM(税费参数!$B$6:$B$8)))</f>
        <v>0.0243911123771543</v>
      </c>
      <c r="L376" s="7">
        <f>J376*税费参数!$B$12/(I376*10000)</f>
        <v>0.0270588235294118</v>
      </c>
      <c r="M376" s="6">
        <f>I376*10000*SUM(税费参数!$B$9:$B$10)/税费参数!$B$11</f>
        <v>159.375</v>
      </c>
    </row>
    <row r="377" ht="21" customHeight="1" spans="1:13">
      <c r="A377" s="5" t="s">
        <v>15</v>
      </c>
      <c r="B377" s="6" t="s">
        <v>59</v>
      </c>
      <c r="C377" s="6" t="s">
        <v>152</v>
      </c>
      <c r="D377" s="6" t="s">
        <v>153</v>
      </c>
      <c r="E377" s="6" t="s">
        <v>463</v>
      </c>
      <c r="F377" s="6" t="s">
        <v>1689</v>
      </c>
      <c r="G377" s="6">
        <v>50.44</v>
      </c>
      <c r="H377" s="6">
        <v>50</v>
      </c>
      <c r="I377" s="6">
        <v>85</v>
      </c>
      <c r="J377" s="6">
        <v>2270</v>
      </c>
      <c r="K377" s="7">
        <f>(J377-M377)*税费参数!$B$12/(I377*10000*(1+SUM(税费参数!$B$6:$B$8)))</f>
        <v>0.0240492807292408</v>
      </c>
      <c r="L377" s="7">
        <f>J377*税费参数!$B$12/(I377*10000)</f>
        <v>0.0267058823529412</v>
      </c>
      <c r="M377" s="6">
        <f>I377*10000*SUM(税费参数!$B$9:$B$10)/税费参数!$B$11</f>
        <v>159.375</v>
      </c>
    </row>
    <row r="378" ht="21" customHeight="1" spans="1:13">
      <c r="A378" s="5" t="s">
        <v>15</v>
      </c>
      <c r="B378" s="6" t="s">
        <v>59</v>
      </c>
      <c r="C378" s="6" t="s">
        <v>152</v>
      </c>
      <c r="D378" s="6" t="s">
        <v>153</v>
      </c>
      <c r="E378" s="6" t="s">
        <v>463</v>
      </c>
      <c r="F378" s="6" t="s">
        <v>1690</v>
      </c>
      <c r="G378" s="6">
        <v>50.44</v>
      </c>
      <c r="H378" s="6">
        <v>46.61</v>
      </c>
      <c r="I378" s="6">
        <v>85</v>
      </c>
      <c r="J378" s="6">
        <v>2400</v>
      </c>
      <c r="K378" s="7">
        <f>(J378-M378)*税费参数!$B$12/(I378*10000*(1+SUM(税费参数!$B$6:$B$8)))</f>
        <v>0.0255305512035323</v>
      </c>
      <c r="L378" s="7">
        <f>J378*税费参数!$B$12/(I378*10000)</f>
        <v>0.0282352941176471</v>
      </c>
      <c r="M378" s="6">
        <f>I378*10000*SUM(税费参数!$B$9:$B$10)/税费参数!$B$11</f>
        <v>159.375</v>
      </c>
    </row>
    <row r="379" ht="21" customHeight="1" spans="1:13">
      <c r="A379" s="5" t="s">
        <v>15</v>
      </c>
      <c r="B379" s="6" t="s">
        <v>59</v>
      </c>
      <c r="C379" s="6" t="s">
        <v>152</v>
      </c>
      <c r="D379" s="6" t="s">
        <v>153</v>
      </c>
      <c r="E379" s="6" t="s">
        <v>463</v>
      </c>
      <c r="F379" s="6" t="s">
        <v>1691</v>
      </c>
      <c r="G379" s="6">
        <v>50.44</v>
      </c>
      <c r="H379" s="6">
        <v>50</v>
      </c>
      <c r="I379" s="6">
        <v>85</v>
      </c>
      <c r="J379" s="6">
        <v>2100</v>
      </c>
      <c r="K379" s="7">
        <f>(J379-M379)*税费参数!$B$12/(I379*10000*(1+SUM(税费参数!$B$6:$B$8)))</f>
        <v>0.0221122347243982</v>
      </c>
      <c r="L379" s="7">
        <f>J379*税费参数!$B$12/(I379*10000)</f>
        <v>0.0247058823529412</v>
      </c>
      <c r="M379" s="6">
        <f>I379*10000*SUM(税费参数!$B$9:$B$10)/税费参数!$B$11</f>
        <v>159.375</v>
      </c>
    </row>
    <row r="380" ht="21" customHeight="1" spans="1:13">
      <c r="A380" s="5" t="s">
        <v>15</v>
      </c>
      <c r="B380" s="6" t="s">
        <v>59</v>
      </c>
      <c r="C380" s="6" t="s">
        <v>152</v>
      </c>
      <c r="D380" s="6" t="s">
        <v>153</v>
      </c>
      <c r="E380" s="6" t="s">
        <v>463</v>
      </c>
      <c r="F380" s="6" t="s">
        <v>1692</v>
      </c>
      <c r="G380" s="6">
        <v>50.44</v>
      </c>
      <c r="H380" s="6">
        <v>50.44</v>
      </c>
      <c r="I380" s="6">
        <v>85</v>
      </c>
      <c r="J380" s="6">
        <v>2500</v>
      </c>
      <c r="K380" s="7">
        <f>(J380-M380)*税费参数!$B$12/(I380*10000*(1+SUM(税费参数!$B$6:$B$8)))</f>
        <v>0.0266699900299103</v>
      </c>
      <c r="L380" s="7">
        <f>J380*税费参数!$B$12/(I380*10000)</f>
        <v>0.0294117647058824</v>
      </c>
      <c r="M380" s="6">
        <f>I380*10000*SUM(税费参数!$B$9:$B$10)/税费参数!$B$11</f>
        <v>159.375</v>
      </c>
    </row>
    <row r="381" ht="21" customHeight="1" spans="1:13">
      <c r="A381" s="5" t="s">
        <v>15</v>
      </c>
      <c r="B381" s="6" t="s">
        <v>59</v>
      </c>
      <c r="C381" s="6" t="s">
        <v>152</v>
      </c>
      <c r="D381" s="6" t="s">
        <v>153</v>
      </c>
      <c r="E381" s="6" t="s">
        <v>463</v>
      </c>
      <c r="F381" s="6" t="s">
        <v>1693</v>
      </c>
      <c r="G381" s="6">
        <v>50.44</v>
      </c>
      <c r="H381" s="6">
        <v>50.01</v>
      </c>
      <c r="I381" s="6">
        <v>85</v>
      </c>
      <c r="J381" s="6">
        <v>2500</v>
      </c>
      <c r="K381" s="7">
        <f>(J381-M381)*税费参数!$B$12/(I381*10000*(1+SUM(税费参数!$B$6:$B$8)))</f>
        <v>0.0266699900299103</v>
      </c>
      <c r="L381" s="7">
        <f>J381*税费参数!$B$12/(I381*10000)</f>
        <v>0.0294117647058824</v>
      </c>
      <c r="M381" s="6">
        <f>I381*10000*SUM(税费参数!$B$9:$B$10)/税费参数!$B$11</f>
        <v>159.375</v>
      </c>
    </row>
    <row r="382" ht="21" customHeight="1" spans="1:13">
      <c r="A382" s="5" t="s">
        <v>15</v>
      </c>
      <c r="B382" s="6" t="s">
        <v>59</v>
      </c>
      <c r="C382" s="6" t="s">
        <v>152</v>
      </c>
      <c r="D382" s="6" t="s">
        <v>153</v>
      </c>
      <c r="E382" s="6" t="s">
        <v>463</v>
      </c>
      <c r="F382" s="6" t="s">
        <v>1694</v>
      </c>
      <c r="G382" s="6">
        <v>50.44</v>
      </c>
      <c r="H382" s="6">
        <v>50.56</v>
      </c>
      <c r="I382" s="6">
        <v>85</v>
      </c>
      <c r="J382" s="6">
        <v>2250</v>
      </c>
      <c r="K382" s="7">
        <f>(J382-M382)*税费参数!$B$12/(I382*10000*(1+SUM(税费参数!$B$6:$B$8)))</f>
        <v>0.0238213929639652</v>
      </c>
      <c r="L382" s="7">
        <f>J382*税费参数!$B$12/(I382*10000)</f>
        <v>0.0264705882352941</v>
      </c>
      <c r="M382" s="6">
        <f>I382*10000*SUM(税费参数!$B$9:$B$10)/税费参数!$B$11</f>
        <v>159.375</v>
      </c>
    </row>
    <row r="383" ht="21" customHeight="1" spans="1:13">
      <c r="A383" s="5" t="s">
        <v>15</v>
      </c>
      <c r="B383" s="6" t="s">
        <v>59</v>
      </c>
      <c r="C383" s="6" t="s">
        <v>152</v>
      </c>
      <c r="D383" s="6" t="s">
        <v>153</v>
      </c>
      <c r="E383" s="6" t="s">
        <v>463</v>
      </c>
      <c r="F383" s="6" t="s">
        <v>1695</v>
      </c>
      <c r="G383" s="6">
        <v>50.44</v>
      </c>
      <c r="H383" s="6">
        <v>50.44</v>
      </c>
      <c r="I383" s="6">
        <v>85</v>
      </c>
      <c r="J383" s="6">
        <v>2100</v>
      </c>
      <c r="K383" s="7">
        <f>(J383-M383)*税费参数!$B$12/(I383*10000*(1+SUM(税费参数!$B$6:$B$8)))</f>
        <v>0.0221122347243982</v>
      </c>
      <c r="L383" s="7">
        <f>J383*税费参数!$B$12/(I383*10000)</f>
        <v>0.0247058823529412</v>
      </c>
      <c r="M383" s="6">
        <f>I383*10000*SUM(税费参数!$B$9:$B$10)/税费参数!$B$11</f>
        <v>159.375</v>
      </c>
    </row>
    <row r="384" ht="21" customHeight="1" spans="1:13">
      <c r="A384" s="5" t="s">
        <v>15</v>
      </c>
      <c r="B384" s="6" t="s">
        <v>59</v>
      </c>
      <c r="C384" s="6" t="s">
        <v>152</v>
      </c>
      <c r="D384" s="6" t="s">
        <v>153</v>
      </c>
      <c r="E384" s="6" t="s">
        <v>473</v>
      </c>
      <c r="F384" s="6" t="s">
        <v>1683</v>
      </c>
      <c r="G384" s="6">
        <v>50.44</v>
      </c>
      <c r="H384" s="6">
        <v>50.01</v>
      </c>
      <c r="I384" s="6">
        <v>86</v>
      </c>
      <c r="J384" s="6">
        <v>2390</v>
      </c>
      <c r="K384" s="7">
        <f>(J384-M384)*税费参数!$B$12/(I384*10000*(1+SUM(税费参数!$B$6:$B$8)))</f>
        <v>0.0250999493214708</v>
      </c>
      <c r="L384" s="7">
        <f>J384*税费参数!$B$12/(I384*10000)</f>
        <v>0.0277906976744186</v>
      </c>
      <c r="M384" s="6">
        <f>I384*10000*SUM(税费参数!$B$9:$B$10)/税费参数!$B$11</f>
        <v>161.25</v>
      </c>
    </row>
    <row r="385" ht="21" customHeight="1" spans="1:13">
      <c r="A385" s="5" t="s">
        <v>15</v>
      </c>
      <c r="B385" s="6" t="s">
        <v>59</v>
      </c>
      <c r="C385" s="6" t="s">
        <v>152</v>
      </c>
      <c r="D385" s="6" t="s">
        <v>153</v>
      </c>
      <c r="E385" s="6" t="s">
        <v>473</v>
      </c>
      <c r="F385" s="6" t="s">
        <v>1684</v>
      </c>
      <c r="G385" s="6">
        <v>50.44</v>
      </c>
      <c r="H385" s="6">
        <v>46.61</v>
      </c>
      <c r="I385" s="6">
        <v>86</v>
      </c>
      <c r="J385" s="6">
        <v>2830</v>
      </c>
      <c r="K385" s="7">
        <f>(J385-M385)*税费参数!$B$12/(I385*10000*(1+SUM(税费参数!$B$6:$B$8)))</f>
        <v>0.0300551832873473</v>
      </c>
      <c r="L385" s="7">
        <f>J385*税费参数!$B$12/(I385*10000)</f>
        <v>0.032906976744186</v>
      </c>
      <c r="M385" s="6">
        <f>I385*10000*SUM(税费参数!$B$9:$B$10)/税费参数!$B$11</f>
        <v>161.25</v>
      </c>
    </row>
    <row r="386" ht="21" customHeight="1" spans="1:13">
      <c r="A386" s="5" t="s">
        <v>15</v>
      </c>
      <c r="B386" s="6" t="s">
        <v>59</v>
      </c>
      <c r="C386" s="6" t="s">
        <v>152</v>
      </c>
      <c r="D386" s="6" t="s">
        <v>153</v>
      </c>
      <c r="E386" s="6" t="s">
        <v>473</v>
      </c>
      <c r="F386" s="6" t="s">
        <v>1685</v>
      </c>
      <c r="G386" s="6">
        <v>50.44</v>
      </c>
      <c r="H386" s="6">
        <v>50.01</v>
      </c>
      <c r="I386" s="6">
        <v>86</v>
      </c>
      <c r="J386" s="6">
        <v>2200</v>
      </c>
      <c r="K386" s="7">
        <f>(J386-M386)*税费参数!$B$12/(I386*10000*(1+SUM(税费参数!$B$6:$B$8)))</f>
        <v>0.0229601891998423</v>
      </c>
      <c r="L386" s="7">
        <f>J386*税费参数!$B$12/(I386*10000)</f>
        <v>0.0255813953488372</v>
      </c>
      <c r="M386" s="6">
        <f>I386*10000*SUM(税费参数!$B$9:$B$10)/税费参数!$B$11</f>
        <v>161.25</v>
      </c>
    </row>
    <row r="387" ht="21" customHeight="1" spans="1:13">
      <c r="A387" s="5" t="s">
        <v>15</v>
      </c>
      <c r="B387" s="6" t="s">
        <v>59</v>
      </c>
      <c r="C387" s="6" t="s">
        <v>152</v>
      </c>
      <c r="D387" s="6" t="s">
        <v>153</v>
      </c>
      <c r="E387" s="6" t="s">
        <v>473</v>
      </c>
      <c r="F387" s="6" t="s">
        <v>1686</v>
      </c>
      <c r="G387" s="6">
        <v>50.44</v>
      </c>
      <c r="H387" s="6">
        <v>50.44</v>
      </c>
      <c r="I387" s="6">
        <v>86</v>
      </c>
      <c r="J387" s="6">
        <v>2400</v>
      </c>
      <c r="K387" s="7">
        <f>(J387-M387)*税费参数!$B$12/(I387*10000*(1+SUM(税费参数!$B$6:$B$8)))</f>
        <v>0.0252125682752407</v>
      </c>
      <c r="L387" s="7">
        <f>J387*税费参数!$B$12/(I387*10000)</f>
        <v>0.027906976744186</v>
      </c>
      <c r="M387" s="6">
        <f>I387*10000*SUM(税费参数!$B$9:$B$10)/税费参数!$B$11</f>
        <v>161.25</v>
      </c>
    </row>
    <row r="388" ht="21" customHeight="1" spans="1:13">
      <c r="A388" s="5" t="s">
        <v>15</v>
      </c>
      <c r="B388" s="6" t="s">
        <v>59</v>
      </c>
      <c r="C388" s="6" t="s">
        <v>152</v>
      </c>
      <c r="D388" s="6" t="s">
        <v>153</v>
      </c>
      <c r="E388" s="6" t="s">
        <v>473</v>
      </c>
      <c r="F388" s="6" t="s">
        <v>1687</v>
      </c>
      <c r="G388" s="6">
        <v>50.44</v>
      </c>
      <c r="H388" s="6">
        <v>45.55</v>
      </c>
      <c r="I388" s="6">
        <v>86</v>
      </c>
      <c r="J388" s="6">
        <v>2200</v>
      </c>
      <c r="K388" s="7">
        <f>(J388-M388)*税费参数!$B$12/(I388*10000*(1+SUM(税费参数!$B$6:$B$8)))</f>
        <v>0.0229601891998423</v>
      </c>
      <c r="L388" s="7">
        <f>J388*税费参数!$B$12/(I388*10000)</f>
        <v>0.0255813953488372</v>
      </c>
      <c r="M388" s="6">
        <f>I388*10000*SUM(税费参数!$B$9:$B$10)/税费参数!$B$11</f>
        <v>161.25</v>
      </c>
    </row>
    <row r="389" ht="21" customHeight="1" spans="1:13">
      <c r="A389" s="5" t="s">
        <v>15</v>
      </c>
      <c r="B389" s="6" t="s">
        <v>59</v>
      </c>
      <c r="C389" s="6" t="s">
        <v>152</v>
      </c>
      <c r="D389" s="6" t="s">
        <v>153</v>
      </c>
      <c r="E389" s="6" t="s">
        <v>473</v>
      </c>
      <c r="F389" s="6" t="s">
        <v>1688</v>
      </c>
      <c r="G389" s="6">
        <v>50.44</v>
      </c>
      <c r="H389" s="6">
        <v>50.13</v>
      </c>
      <c r="I389" s="6">
        <v>86</v>
      </c>
      <c r="J389" s="6">
        <v>2300</v>
      </c>
      <c r="K389" s="7">
        <f>(J389-M389)*税费参数!$B$12/(I389*10000*(1+SUM(税费参数!$B$6:$B$8)))</f>
        <v>0.0240863787375415</v>
      </c>
      <c r="L389" s="7">
        <f>J389*税费参数!$B$12/(I389*10000)</f>
        <v>0.0267441860465116</v>
      </c>
      <c r="M389" s="6">
        <f>I389*10000*SUM(税费参数!$B$9:$B$10)/税费参数!$B$11</f>
        <v>161.25</v>
      </c>
    </row>
    <row r="390" ht="21" customHeight="1" spans="1:13">
      <c r="A390" s="5" t="s">
        <v>15</v>
      </c>
      <c r="B390" s="6" t="s">
        <v>59</v>
      </c>
      <c r="C390" s="6" t="s">
        <v>152</v>
      </c>
      <c r="D390" s="6" t="s">
        <v>153</v>
      </c>
      <c r="E390" s="6" t="s">
        <v>473</v>
      </c>
      <c r="F390" s="6" t="s">
        <v>1689</v>
      </c>
      <c r="G390" s="6">
        <v>50.44</v>
      </c>
      <c r="H390" s="6">
        <v>50</v>
      </c>
      <c r="I390" s="6">
        <v>86</v>
      </c>
      <c r="J390" s="6">
        <v>2270</v>
      </c>
      <c r="K390" s="7">
        <f>(J390-M390)*税费参数!$B$12/(I390*10000*(1+SUM(税费参数!$B$6:$B$8)))</f>
        <v>0.0237485218762318</v>
      </c>
      <c r="L390" s="7">
        <f>J390*税费参数!$B$12/(I390*10000)</f>
        <v>0.0263953488372093</v>
      </c>
      <c r="M390" s="6">
        <f>I390*10000*SUM(税费参数!$B$9:$B$10)/税费参数!$B$11</f>
        <v>161.25</v>
      </c>
    </row>
    <row r="391" ht="21" customHeight="1" spans="1:13">
      <c r="A391" s="5" t="s">
        <v>15</v>
      </c>
      <c r="B391" s="6" t="s">
        <v>59</v>
      </c>
      <c r="C391" s="6" t="s">
        <v>152</v>
      </c>
      <c r="D391" s="6" t="s">
        <v>153</v>
      </c>
      <c r="E391" s="6" t="s">
        <v>473</v>
      </c>
      <c r="F391" s="6" t="s">
        <v>1690</v>
      </c>
      <c r="G391" s="6">
        <v>50.44</v>
      </c>
      <c r="H391" s="6">
        <v>46.61</v>
      </c>
      <c r="I391" s="6">
        <v>86</v>
      </c>
      <c r="J391" s="6">
        <v>2400</v>
      </c>
      <c r="K391" s="7">
        <f>(J391-M391)*税费参数!$B$12/(I391*10000*(1+SUM(税费参数!$B$6:$B$8)))</f>
        <v>0.0252125682752407</v>
      </c>
      <c r="L391" s="7">
        <f>J391*税费参数!$B$12/(I391*10000)</f>
        <v>0.027906976744186</v>
      </c>
      <c r="M391" s="6">
        <f>I391*10000*SUM(税费参数!$B$9:$B$10)/税费参数!$B$11</f>
        <v>161.25</v>
      </c>
    </row>
    <row r="392" ht="21" customHeight="1" spans="1:13">
      <c r="A392" s="5" t="s">
        <v>15</v>
      </c>
      <c r="B392" s="6" t="s">
        <v>59</v>
      </c>
      <c r="C392" s="6" t="s">
        <v>152</v>
      </c>
      <c r="D392" s="6" t="s">
        <v>153</v>
      </c>
      <c r="E392" s="6" t="s">
        <v>473</v>
      </c>
      <c r="F392" s="6" t="s">
        <v>1691</v>
      </c>
      <c r="G392" s="6">
        <v>50.44</v>
      </c>
      <c r="H392" s="6">
        <v>50</v>
      </c>
      <c r="I392" s="6">
        <v>86</v>
      </c>
      <c r="J392" s="6">
        <v>2100</v>
      </c>
      <c r="K392" s="7">
        <f>(J392-M392)*税费参数!$B$12/(I392*10000*(1+SUM(税费参数!$B$6:$B$8)))</f>
        <v>0.0218339996621431</v>
      </c>
      <c r="L392" s="7">
        <f>J392*税费参数!$B$12/(I392*10000)</f>
        <v>0.0244186046511628</v>
      </c>
      <c r="M392" s="6">
        <f>I392*10000*SUM(税费参数!$B$9:$B$10)/税费参数!$B$11</f>
        <v>161.25</v>
      </c>
    </row>
    <row r="393" ht="21" customHeight="1" spans="1:13">
      <c r="A393" s="5" t="s">
        <v>15</v>
      </c>
      <c r="B393" s="6" t="s">
        <v>59</v>
      </c>
      <c r="C393" s="6" t="s">
        <v>152</v>
      </c>
      <c r="D393" s="6" t="s">
        <v>153</v>
      </c>
      <c r="E393" s="6" t="s">
        <v>473</v>
      </c>
      <c r="F393" s="6" t="s">
        <v>1692</v>
      </c>
      <c r="G393" s="6">
        <v>50.44</v>
      </c>
      <c r="H393" s="6">
        <v>50.44</v>
      </c>
      <c r="I393" s="6">
        <v>86</v>
      </c>
      <c r="J393" s="6">
        <v>2500</v>
      </c>
      <c r="K393" s="7">
        <f>(J393-M393)*税费参数!$B$12/(I393*10000*(1+SUM(税费参数!$B$6:$B$8)))</f>
        <v>0.0263387578129399</v>
      </c>
      <c r="L393" s="7">
        <f>J393*税费参数!$B$12/(I393*10000)</f>
        <v>0.0290697674418605</v>
      </c>
      <c r="M393" s="6">
        <f>I393*10000*SUM(税费参数!$B$9:$B$10)/税费参数!$B$11</f>
        <v>161.25</v>
      </c>
    </row>
    <row r="394" ht="21" customHeight="1" spans="1:13">
      <c r="A394" s="5" t="s">
        <v>15</v>
      </c>
      <c r="B394" s="6" t="s">
        <v>59</v>
      </c>
      <c r="C394" s="6" t="s">
        <v>152</v>
      </c>
      <c r="D394" s="6" t="s">
        <v>153</v>
      </c>
      <c r="E394" s="6" t="s">
        <v>473</v>
      </c>
      <c r="F394" s="6" t="s">
        <v>1693</v>
      </c>
      <c r="G394" s="6">
        <v>50.44</v>
      </c>
      <c r="H394" s="6">
        <v>50.01</v>
      </c>
      <c r="I394" s="6">
        <v>86</v>
      </c>
      <c r="J394" s="6">
        <v>2500</v>
      </c>
      <c r="K394" s="7">
        <f>(J394-M394)*税费参数!$B$12/(I394*10000*(1+SUM(税费参数!$B$6:$B$8)))</f>
        <v>0.0263387578129399</v>
      </c>
      <c r="L394" s="7">
        <f>J394*税费参数!$B$12/(I394*10000)</f>
        <v>0.0290697674418605</v>
      </c>
      <c r="M394" s="6">
        <f>I394*10000*SUM(税费参数!$B$9:$B$10)/税费参数!$B$11</f>
        <v>161.25</v>
      </c>
    </row>
    <row r="395" ht="21" customHeight="1" spans="1:13">
      <c r="A395" s="5" t="s">
        <v>15</v>
      </c>
      <c r="B395" s="6" t="s">
        <v>59</v>
      </c>
      <c r="C395" s="6" t="s">
        <v>152</v>
      </c>
      <c r="D395" s="6" t="s">
        <v>153</v>
      </c>
      <c r="E395" s="6" t="s">
        <v>473</v>
      </c>
      <c r="F395" s="6" t="s">
        <v>1694</v>
      </c>
      <c r="G395" s="6">
        <v>50.44</v>
      </c>
      <c r="H395" s="6">
        <v>50.56</v>
      </c>
      <c r="I395" s="6">
        <v>86</v>
      </c>
      <c r="J395" s="6">
        <v>2250</v>
      </c>
      <c r="K395" s="7">
        <f>(J395-M395)*税费参数!$B$12/(I395*10000*(1+SUM(税费参数!$B$6:$B$8)))</f>
        <v>0.0235232839686919</v>
      </c>
      <c r="L395" s="7">
        <f>J395*税费参数!$B$12/(I395*10000)</f>
        <v>0.0261627906976744</v>
      </c>
      <c r="M395" s="6">
        <f>I395*10000*SUM(税费参数!$B$9:$B$10)/税费参数!$B$11</f>
        <v>161.25</v>
      </c>
    </row>
    <row r="396" ht="21" customHeight="1" spans="1:13">
      <c r="A396" s="5" t="s">
        <v>15</v>
      </c>
      <c r="B396" s="6" t="s">
        <v>59</v>
      </c>
      <c r="C396" s="6" t="s">
        <v>152</v>
      </c>
      <c r="D396" s="6" t="s">
        <v>153</v>
      </c>
      <c r="E396" s="6" t="s">
        <v>473</v>
      </c>
      <c r="F396" s="6" t="s">
        <v>1695</v>
      </c>
      <c r="G396" s="6">
        <v>50.44</v>
      </c>
      <c r="H396" s="6">
        <v>50.44</v>
      </c>
      <c r="I396" s="6">
        <v>86</v>
      </c>
      <c r="J396" s="6">
        <v>2100</v>
      </c>
      <c r="K396" s="7">
        <f>(J396-M396)*税费参数!$B$12/(I396*10000*(1+SUM(税费参数!$B$6:$B$8)))</f>
        <v>0.0218339996621431</v>
      </c>
      <c r="L396" s="7">
        <f>J396*税费参数!$B$12/(I396*10000)</f>
        <v>0.0244186046511628</v>
      </c>
      <c r="M396" s="6">
        <f>I396*10000*SUM(税费参数!$B$9:$B$10)/税费参数!$B$11</f>
        <v>161.25</v>
      </c>
    </row>
    <row r="397" ht="21" customHeight="1" spans="1:13">
      <c r="A397" s="5" t="s">
        <v>15</v>
      </c>
      <c r="B397" s="6" t="s">
        <v>59</v>
      </c>
      <c r="C397" s="6" t="s">
        <v>152</v>
      </c>
      <c r="D397" s="6" t="s">
        <v>153</v>
      </c>
      <c r="E397" s="6" t="s">
        <v>467</v>
      </c>
      <c r="F397" s="6" t="s">
        <v>1683</v>
      </c>
      <c r="G397" s="6">
        <v>50.44</v>
      </c>
      <c r="H397" s="6">
        <v>50.01</v>
      </c>
      <c r="I397" s="6">
        <v>82</v>
      </c>
      <c r="J397" s="6">
        <v>2390</v>
      </c>
      <c r="K397" s="7">
        <f>(J397-M397)*税费参数!$B$12/(I397*10000*(1+SUM(税费参数!$B$6:$B$8)))</f>
        <v>0.026412921514203</v>
      </c>
      <c r="L397" s="7">
        <f>J397*税费参数!$B$12/(I397*10000)</f>
        <v>0.0291463414634146</v>
      </c>
      <c r="M397" s="6">
        <f>I397*10000*SUM(税费参数!$B$9:$B$10)/税费参数!$B$11</f>
        <v>153.75</v>
      </c>
    </row>
    <row r="398" ht="21" customHeight="1" spans="1:13">
      <c r="A398" s="5" t="s">
        <v>15</v>
      </c>
      <c r="B398" s="6" t="s">
        <v>59</v>
      </c>
      <c r="C398" s="6" t="s">
        <v>152</v>
      </c>
      <c r="D398" s="6" t="s">
        <v>153</v>
      </c>
      <c r="E398" s="6" t="s">
        <v>467</v>
      </c>
      <c r="F398" s="6" t="s">
        <v>1684</v>
      </c>
      <c r="G398" s="6">
        <v>50.44</v>
      </c>
      <c r="H398" s="6">
        <v>46.61</v>
      </c>
      <c r="I398" s="6">
        <v>82</v>
      </c>
      <c r="J398" s="6">
        <v>2830</v>
      </c>
      <c r="K398" s="7">
        <f>(J398-M398)*税费参数!$B$12/(I398*10000*(1+SUM(税费参数!$B$6:$B$8)))</f>
        <v>0.0316098742101222</v>
      </c>
      <c r="L398" s="7">
        <f>J398*税费参数!$B$12/(I398*10000)</f>
        <v>0.0345121951219512</v>
      </c>
      <c r="M398" s="6">
        <f>I398*10000*SUM(税费参数!$B$9:$B$10)/税费参数!$B$11</f>
        <v>153.75</v>
      </c>
    </row>
    <row r="399" ht="21" customHeight="1" spans="1:13">
      <c r="A399" s="5" t="s">
        <v>15</v>
      </c>
      <c r="B399" s="6" t="s">
        <v>59</v>
      </c>
      <c r="C399" s="6" t="s">
        <v>152</v>
      </c>
      <c r="D399" s="6" t="s">
        <v>153</v>
      </c>
      <c r="E399" s="6" t="s">
        <v>467</v>
      </c>
      <c r="F399" s="6" t="s">
        <v>1685</v>
      </c>
      <c r="G399" s="6">
        <v>50.44</v>
      </c>
      <c r="H399" s="6">
        <v>50.01</v>
      </c>
      <c r="I399" s="6">
        <v>82</v>
      </c>
      <c r="J399" s="6">
        <v>2200</v>
      </c>
      <c r="K399" s="7">
        <f>(J399-M399)*税费参数!$B$12/(I399*10000*(1+SUM(税费参数!$B$6:$B$8)))</f>
        <v>0.0241687828500561</v>
      </c>
      <c r="L399" s="7">
        <f>J399*税费参数!$B$12/(I399*10000)</f>
        <v>0.0268292682926829</v>
      </c>
      <c r="M399" s="6">
        <f>I399*10000*SUM(税费参数!$B$9:$B$10)/税费参数!$B$11</f>
        <v>153.75</v>
      </c>
    </row>
    <row r="400" ht="21" customHeight="1" spans="1:13">
      <c r="A400" s="5" t="s">
        <v>15</v>
      </c>
      <c r="B400" s="6" t="s">
        <v>59</v>
      </c>
      <c r="C400" s="6" t="s">
        <v>152</v>
      </c>
      <c r="D400" s="6" t="s">
        <v>153</v>
      </c>
      <c r="E400" s="6" t="s">
        <v>467</v>
      </c>
      <c r="F400" s="6" t="s">
        <v>1686</v>
      </c>
      <c r="G400" s="6">
        <v>50.44</v>
      </c>
      <c r="H400" s="6">
        <v>50.44</v>
      </c>
      <c r="I400" s="6">
        <v>82</v>
      </c>
      <c r="J400" s="6">
        <v>2400</v>
      </c>
      <c r="K400" s="7">
        <f>(J400-M400)*税费参数!$B$12/(I400*10000*(1+SUM(税费参数!$B$6:$B$8)))</f>
        <v>0.0265310340754739</v>
      </c>
      <c r="L400" s="7">
        <f>J400*税费参数!$B$12/(I400*10000)</f>
        <v>0.0292682926829268</v>
      </c>
      <c r="M400" s="6">
        <f>I400*10000*SUM(税费参数!$B$9:$B$10)/税费参数!$B$11</f>
        <v>153.75</v>
      </c>
    </row>
    <row r="401" ht="21" customHeight="1" spans="1:13">
      <c r="A401" s="5" t="s">
        <v>15</v>
      </c>
      <c r="B401" s="6" t="s">
        <v>59</v>
      </c>
      <c r="C401" s="6" t="s">
        <v>152</v>
      </c>
      <c r="D401" s="6" t="s">
        <v>153</v>
      </c>
      <c r="E401" s="6" t="s">
        <v>467</v>
      </c>
      <c r="F401" s="6" t="s">
        <v>1687</v>
      </c>
      <c r="G401" s="6">
        <v>50.44</v>
      </c>
      <c r="H401" s="6">
        <v>45.55</v>
      </c>
      <c r="I401" s="6">
        <v>82</v>
      </c>
      <c r="J401" s="6">
        <v>2200</v>
      </c>
      <c r="K401" s="7">
        <f>(J401-M401)*税费参数!$B$12/(I401*10000*(1+SUM(税费参数!$B$6:$B$8)))</f>
        <v>0.0241687828500561</v>
      </c>
      <c r="L401" s="7">
        <f>J401*税费参数!$B$12/(I401*10000)</f>
        <v>0.0268292682926829</v>
      </c>
      <c r="M401" s="6">
        <f>I401*10000*SUM(税费参数!$B$9:$B$10)/税费参数!$B$11</f>
        <v>153.75</v>
      </c>
    </row>
    <row r="402" ht="21" customHeight="1" spans="1:13">
      <c r="A402" s="5" t="s">
        <v>15</v>
      </c>
      <c r="B402" s="6" t="s">
        <v>59</v>
      </c>
      <c r="C402" s="6" t="s">
        <v>152</v>
      </c>
      <c r="D402" s="6" t="s">
        <v>153</v>
      </c>
      <c r="E402" s="6" t="s">
        <v>467</v>
      </c>
      <c r="F402" s="6" t="s">
        <v>1688</v>
      </c>
      <c r="G402" s="6">
        <v>50.44</v>
      </c>
      <c r="H402" s="6">
        <v>50.13</v>
      </c>
      <c r="I402" s="6">
        <v>82</v>
      </c>
      <c r="J402" s="6">
        <v>2300</v>
      </c>
      <c r="K402" s="7">
        <f>(J402-M402)*税费参数!$B$12/(I402*10000*(1+SUM(税费参数!$B$6:$B$8)))</f>
        <v>0.025349908462765</v>
      </c>
      <c r="L402" s="7">
        <f>J402*税费参数!$B$12/(I402*10000)</f>
        <v>0.0280487804878049</v>
      </c>
      <c r="M402" s="6">
        <f>I402*10000*SUM(税费参数!$B$9:$B$10)/税费参数!$B$11</f>
        <v>153.75</v>
      </c>
    </row>
    <row r="403" ht="21" customHeight="1" spans="1:13">
      <c r="A403" s="5" t="s">
        <v>15</v>
      </c>
      <c r="B403" s="6" t="s">
        <v>59</v>
      </c>
      <c r="C403" s="6" t="s">
        <v>152</v>
      </c>
      <c r="D403" s="6" t="s">
        <v>153</v>
      </c>
      <c r="E403" s="6" t="s">
        <v>467</v>
      </c>
      <c r="F403" s="6" t="s">
        <v>1689</v>
      </c>
      <c r="G403" s="6">
        <v>50.44</v>
      </c>
      <c r="H403" s="6">
        <v>50</v>
      </c>
      <c r="I403" s="6">
        <v>82</v>
      </c>
      <c r="J403" s="6">
        <v>2270</v>
      </c>
      <c r="K403" s="7">
        <f>(J403-M403)*税费参数!$B$12/(I403*10000*(1+SUM(税费参数!$B$6:$B$8)))</f>
        <v>0.0249955707789523</v>
      </c>
      <c r="L403" s="7">
        <f>J403*税费参数!$B$12/(I403*10000)</f>
        <v>0.0276829268292683</v>
      </c>
      <c r="M403" s="6">
        <f>I403*10000*SUM(税费参数!$B$9:$B$10)/税费参数!$B$11</f>
        <v>153.75</v>
      </c>
    </row>
    <row r="404" ht="21" customHeight="1" spans="1:13">
      <c r="A404" s="5" t="s">
        <v>15</v>
      </c>
      <c r="B404" s="6" t="s">
        <v>59</v>
      </c>
      <c r="C404" s="6" t="s">
        <v>152</v>
      </c>
      <c r="D404" s="6" t="s">
        <v>153</v>
      </c>
      <c r="E404" s="6" t="s">
        <v>467</v>
      </c>
      <c r="F404" s="6" t="s">
        <v>1690</v>
      </c>
      <c r="G404" s="6">
        <v>50.44</v>
      </c>
      <c r="H404" s="6">
        <v>46.61</v>
      </c>
      <c r="I404" s="6">
        <v>82</v>
      </c>
      <c r="J404" s="6">
        <v>2400</v>
      </c>
      <c r="K404" s="7">
        <f>(J404-M404)*税费参数!$B$12/(I404*10000*(1+SUM(税费参数!$B$6:$B$8)))</f>
        <v>0.0265310340754739</v>
      </c>
      <c r="L404" s="7">
        <f>J404*税费参数!$B$12/(I404*10000)</f>
        <v>0.0292682926829268</v>
      </c>
      <c r="M404" s="6">
        <f>I404*10000*SUM(税费参数!$B$9:$B$10)/税费参数!$B$11</f>
        <v>153.75</v>
      </c>
    </row>
    <row r="405" ht="21" customHeight="1" spans="1:13">
      <c r="A405" s="5" t="s">
        <v>15</v>
      </c>
      <c r="B405" s="6" t="s">
        <v>59</v>
      </c>
      <c r="C405" s="6" t="s">
        <v>152</v>
      </c>
      <c r="D405" s="6" t="s">
        <v>153</v>
      </c>
      <c r="E405" s="6" t="s">
        <v>467</v>
      </c>
      <c r="F405" s="6" t="s">
        <v>1691</v>
      </c>
      <c r="G405" s="6">
        <v>50.44</v>
      </c>
      <c r="H405" s="6">
        <v>50</v>
      </c>
      <c r="I405" s="6">
        <v>82</v>
      </c>
      <c r="J405" s="6">
        <v>2100</v>
      </c>
      <c r="K405" s="7">
        <f>(J405-M405)*税费参数!$B$12/(I405*10000*(1+SUM(税费参数!$B$6:$B$8)))</f>
        <v>0.0229876572373472</v>
      </c>
      <c r="L405" s="7">
        <f>J405*税费参数!$B$12/(I405*10000)</f>
        <v>0.025609756097561</v>
      </c>
      <c r="M405" s="6">
        <f>I405*10000*SUM(税费参数!$B$9:$B$10)/税费参数!$B$11</f>
        <v>153.75</v>
      </c>
    </row>
    <row r="406" ht="21" customHeight="1" spans="1:13">
      <c r="A406" s="5" t="s">
        <v>15</v>
      </c>
      <c r="B406" s="6" t="s">
        <v>59</v>
      </c>
      <c r="C406" s="6" t="s">
        <v>152</v>
      </c>
      <c r="D406" s="6" t="s">
        <v>153</v>
      </c>
      <c r="E406" s="6" t="s">
        <v>467</v>
      </c>
      <c r="F406" s="6" t="s">
        <v>1692</v>
      </c>
      <c r="G406" s="6">
        <v>50.44</v>
      </c>
      <c r="H406" s="6">
        <v>50.44</v>
      </c>
      <c r="I406" s="6">
        <v>82</v>
      </c>
      <c r="J406" s="6">
        <v>2500</v>
      </c>
      <c r="K406" s="7">
        <f>(J406-M406)*税费参数!$B$12/(I406*10000*(1+SUM(税费参数!$B$6:$B$8)))</f>
        <v>0.0277121596881828</v>
      </c>
      <c r="L406" s="7">
        <f>J406*税费参数!$B$12/(I406*10000)</f>
        <v>0.0304878048780488</v>
      </c>
      <c r="M406" s="6">
        <f>I406*10000*SUM(税费参数!$B$9:$B$10)/税费参数!$B$11</f>
        <v>153.75</v>
      </c>
    </row>
    <row r="407" ht="21" customHeight="1" spans="1:13">
      <c r="A407" s="5" t="s">
        <v>15</v>
      </c>
      <c r="B407" s="6" t="s">
        <v>59</v>
      </c>
      <c r="C407" s="6" t="s">
        <v>152</v>
      </c>
      <c r="D407" s="6" t="s">
        <v>153</v>
      </c>
      <c r="E407" s="6" t="s">
        <v>467</v>
      </c>
      <c r="F407" s="6" t="s">
        <v>1693</v>
      </c>
      <c r="G407" s="6">
        <v>50.44</v>
      </c>
      <c r="H407" s="6">
        <v>50.01</v>
      </c>
      <c r="I407" s="6">
        <v>82</v>
      </c>
      <c r="J407" s="6">
        <v>2500</v>
      </c>
      <c r="K407" s="7">
        <f>(J407-M407)*税费参数!$B$12/(I407*10000*(1+SUM(税费参数!$B$6:$B$8)))</f>
        <v>0.0277121596881828</v>
      </c>
      <c r="L407" s="7">
        <f>J407*税费参数!$B$12/(I407*10000)</f>
        <v>0.0304878048780488</v>
      </c>
      <c r="M407" s="6">
        <f>I407*10000*SUM(税费参数!$B$9:$B$10)/税费参数!$B$11</f>
        <v>153.75</v>
      </c>
    </row>
    <row r="408" ht="21" customHeight="1" spans="1:13">
      <c r="A408" s="5" t="s">
        <v>15</v>
      </c>
      <c r="B408" s="6" t="s">
        <v>59</v>
      </c>
      <c r="C408" s="6" t="s">
        <v>152</v>
      </c>
      <c r="D408" s="6" t="s">
        <v>153</v>
      </c>
      <c r="E408" s="6" t="s">
        <v>467</v>
      </c>
      <c r="F408" s="6" t="s">
        <v>1694</v>
      </c>
      <c r="G408" s="6">
        <v>50.44</v>
      </c>
      <c r="H408" s="6">
        <v>50.56</v>
      </c>
      <c r="I408" s="6">
        <v>82</v>
      </c>
      <c r="J408" s="6">
        <v>2250</v>
      </c>
      <c r="K408" s="7">
        <f>(J408-M408)*税费参数!$B$12/(I408*10000*(1+SUM(税费参数!$B$6:$B$8)))</f>
        <v>0.0247593456564106</v>
      </c>
      <c r="L408" s="7">
        <f>J408*税费参数!$B$12/(I408*10000)</f>
        <v>0.0274390243902439</v>
      </c>
      <c r="M408" s="6">
        <f>I408*10000*SUM(税费参数!$B$9:$B$10)/税费参数!$B$11</f>
        <v>153.75</v>
      </c>
    </row>
    <row r="409" ht="21" customHeight="1" spans="1:13">
      <c r="A409" s="5" t="s">
        <v>15</v>
      </c>
      <c r="B409" s="6" t="s">
        <v>59</v>
      </c>
      <c r="C409" s="6" t="s">
        <v>152</v>
      </c>
      <c r="D409" s="6" t="s">
        <v>153</v>
      </c>
      <c r="E409" s="6" t="s">
        <v>467</v>
      </c>
      <c r="F409" s="6" t="s">
        <v>1695</v>
      </c>
      <c r="G409" s="6">
        <v>50.44</v>
      </c>
      <c r="H409" s="6">
        <v>50.44</v>
      </c>
      <c r="I409" s="6">
        <v>82</v>
      </c>
      <c r="J409" s="6">
        <v>2100</v>
      </c>
      <c r="K409" s="7">
        <f>(J409-M409)*税费参数!$B$12/(I409*10000*(1+SUM(税费参数!$B$6:$B$8)))</f>
        <v>0.0229876572373472</v>
      </c>
      <c r="L409" s="7">
        <f>J409*税费参数!$B$12/(I409*10000)</f>
        <v>0.025609756097561</v>
      </c>
      <c r="M409" s="6">
        <f>I409*10000*SUM(税费参数!$B$9:$B$10)/税费参数!$B$11</f>
        <v>153.75</v>
      </c>
    </row>
    <row r="410" ht="21" customHeight="1" spans="1:13">
      <c r="A410" s="5" t="s">
        <v>15</v>
      </c>
      <c r="B410" s="6" t="s">
        <v>59</v>
      </c>
      <c r="C410" s="6" t="s">
        <v>152</v>
      </c>
      <c r="D410" s="6" t="s">
        <v>153</v>
      </c>
      <c r="E410" s="6" t="s">
        <v>477</v>
      </c>
      <c r="F410" s="6" t="s">
        <v>1683</v>
      </c>
      <c r="G410" s="6">
        <v>50.44</v>
      </c>
      <c r="H410" s="6">
        <v>50.01</v>
      </c>
      <c r="I410" s="6">
        <v>80</v>
      </c>
      <c r="J410" s="6">
        <v>2390</v>
      </c>
      <c r="K410" s="7">
        <f>(J410-M410)*税费参数!$B$12/(I410*10000*(1+SUM(税费参数!$B$6:$B$8)))</f>
        <v>0.0271186440677966</v>
      </c>
      <c r="L410" s="7">
        <f>J410*税费参数!$B$12/(I410*10000)</f>
        <v>0.029875</v>
      </c>
      <c r="M410" s="6">
        <f>I410*10000*SUM(税费参数!$B$9:$B$10)/税费参数!$B$11</f>
        <v>150</v>
      </c>
    </row>
    <row r="411" ht="21" customHeight="1" spans="1:13">
      <c r="A411" s="5" t="s">
        <v>15</v>
      </c>
      <c r="B411" s="6" t="s">
        <v>59</v>
      </c>
      <c r="C411" s="6" t="s">
        <v>152</v>
      </c>
      <c r="D411" s="6" t="s">
        <v>153</v>
      </c>
      <c r="E411" s="6" t="s">
        <v>477</v>
      </c>
      <c r="F411" s="6" t="s">
        <v>1684</v>
      </c>
      <c r="G411" s="6">
        <v>50.44</v>
      </c>
      <c r="H411" s="6">
        <v>46.61</v>
      </c>
      <c r="I411" s="6">
        <v>80</v>
      </c>
      <c r="J411" s="6">
        <v>2830</v>
      </c>
      <c r="K411" s="7">
        <f>(J411-M411)*税费参数!$B$12/(I411*10000*(1+SUM(税费参数!$B$6:$B$8)))</f>
        <v>0.0324455205811138</v>
      </c>
      <c r="L411" s="7">
        <f>J411*税费参数!$B$12/(I411*10000)</f>
        <v>0.035375</v>
      </c>
      <c r="M411" s="6">
        <f>I411*10000*SUM(税费参数!$B$9:$B$10)/税费参数!$B$11</f>
        <v>150</v>
      </c>
    </row>
    <row r="412" ht="21" customHeight="1" spans="1:13">
      <c r="A412" s="5" t="s">
        <v>15</v>
      </c>
      <c r="B412" s="6" t="s">
        <v>59</v>
      </c>
      <c r="C412" s="6" t="s">
        <v>152</v>
      </c>
      <c r="D412" s="6" t="s">
        <v>153</v>
      </c>
      <c r="E412" s="6" t="s">
        <v>477</v>
      </c>
      <c r="F412" s="6" t="s">
        <v>1685</v>
      </c>
      <c r="G412" s="6">
        <v>50.44</v>
      </c>
      <c r="H412" s="6">
        <v>50.01</v>
      </c>
      <c r="I412" s="6">
        <v>80</v>
      </c>
      <c r="J412" s="6">
        <v>2200</v>
      </c>
      <c r="K412" s="7">
        <f>(J412-M412)*税费参数!$B$12/(I412*10000*(1+SUM(税费参数!$B$6:$B$8)))</f>
        <v>0.024818401937046</v>
      </c>
      <c r="L412" s="7">
        <f>J412*税费参数!$B$12/(I412*10000)</f>
        <v>0.0275</v>
      </c>
      <c r="M412" s="6">
        <f>I412*10000*SUM(税费参数!$B$9:$B$10)/税费参数!$B$11</f>
        <v>150</v>
      </c>
    </row>
    <row r="413" ht="21" customHeight="1" spans="1:13">
      <c r="A413" s="5" t="s">
        <v>15</v>
      </c>
      <c r="B413" s="6" t="s">
        <v>59</v>
      </c>
      <c r="C413" s="6" t="s">
        <v>152</v>
      </c>
      <c r="D413" s="6" t="s">
        <v>153</v>
      </c>
      <c r="E413" s="6" t="s">
        <v>477</v>
      </c>
      <c r="F413" s="6" t="s">
        <v>1686</v>
      </c>
      <c r="G413" s="6">
        <v>50.44</v>
      </c>
      <c r="H413" s="6">
        <v>50.44</v>
      </c>
      <c r="I413" s="6">
        <v>80</v>
      </c>
      <c r="J413" s="6">
        <v>2400</v>
      </c>
      <c r="K413" s="7">
        <f>(J413-M413)*税费参数!$B$12/(I413*10000*(1+SUM(税费参数!$B$6:$B$8)))</f>
        <v>0.0272397094430993</v>
      </c>
      <c r="L413" s="7">
        <f>J413*税费参数!$B$12/(I413*10000)</f>
        <v>0.03</v>
      </c>
      <c r="M413" s="6">
        <f>I413*10000*SUM(税费参数!$B$9:$B$10)/税费参数!$B$11</f>
        <v>150</v>
      </c>
    </row>
    <row r="414" ht="21" customHeight="1" spans="1:13">
      <c r="A414" s="5" t="s">
        <v>15</v>
      </c>
      <c r="B414" s="6" t="s">
        <v>59</v>
      </c>
      <c r="C414" s="6" t="s">
        <v>152</v>
      </c>
      <c r="D414" s="6" t="s">
        <v>153</v>
      </c>
      <c r="E414" s="6" t="s">
        <v>477</v>
      </c>
      <c r="F414" s="6" t="s">
        <v>1687</v>
      </c>
      <c r="G414" s="6">
        <v>50.44</v>
      </c>
      <c r="H414" s="6">
        <v>45.55</v>
      </c>
      <c r="I414" s="6">
        <v>80</v>
      </c>
      <c r="J414" s="6">
        <v>2200</v>
      </c>
      <c r="K414" s="7">
        <f>(J414-M414)*税费参数!$B$12/(I414*10000*(1+SUM(税费参数!$B$6:$B$8)))</f>
        <v>0.024818401937046</v>
      </c>
      <c r="L414" s="7">
        <f>J414*税费参数!$B$12/(I414*10000)</f>
        <v>0.0275</v>
      </c>
      <c r="M414" s="6">
        <f>I414*10000*SUM(税费参数!$B$9:$B$10)/税费参数!$B$11</f>
        <v>150</v>
      </c>
    </row>
    <row r="415" ht="21" customHeight="1" spans="1:13">
      <c r="A415" s="5" t="s">
        <v>15</v>
      </c>
      <c r="B415" s="6" t="s">
        <v>59</v>
      </c>
      <c r="C415" s="6" t="s">
        <v>152</v>
      </c>
      <c r="D415" s="6" t="s">
        <v>153</v>
      </c>
      <c r="E415" s="6" t="s">
        <v>477</v>
      </c>
      <c r="F415" s="6" t="s">
        <v>1688</v>
      </c>
      <c r="G415" s="6">
        <v>50.44</v>
      </c>
      <c r="H415" s="6">
        <v>50.13</v>
      </c>
      <c r="I415" s="6">
        <v>80</v>
      </c>
      <c r="J415" s="6">
        <v>2300</v>
      </c>
      <c r="K415" s="7">
        <f>(J415-M415)*税费参数!$B$12/(I415*10000*(1+SUM(税费参数!$B$6:$B$8)))</f>
        <v>0.0260290556900726</v>
      </c>
      <c r="L415" s="7">
        <f>J415*税费参数!$B$12/(I415*10000)</f>
        <v>0.02875</v>
      </c>
      <c r="M415" s="6">
        <f>I415*10000*SUM(税费参数!$B$9:$B$10)/税费参数!$B$11</f>
        <v>150</v>
      </c>
    </row>
    <row r="416" ht="21" customHeight="1" spans="1:13">
      <c r="A416" s="5" t="s">
        <v>15</v>
      </c>
      <c r="B416" s="6" t="s">
        <v>59</v>
      </c>
      <c r="C416" s="6" t="s">
        <v>152</v>
      </c>
      <c r="D416" s="6" t="s">
        <v>153</v>
      </c>
      <c r="E416" s="6" t="s">
        <v>477</v>
      </c>
      <c r="F416" s="6" t="s">
        <v>1689</v>
      </c>
      <c r="G416" s="6">
        <v>50.44</v>
      </c>
      <c r="H416" s="6">
        <v>50</v>
      </c>
      <c r="I416" s="6">
        <v>80</v>
      </c>
      <c r="J416" s="6">
        <v>2270</v>
      </c>
      <c r="K416" s="7">
        <f>(J416-M416)*税费参数!$B$12/(I416*10000*(1+SUM(税费参数!$B$6:$B$8)))</f>
        <v>0.0256658595641646</v>
      </c>
      <c r="L416" s="7">
        <f>J416*税费参数!$B$12/(I416*10000)</f>
        <v>0.028375</v>
      </c>
      <c r="M416" s="6">
        <f>I416*10000*SUM(税费参数!$B$9:$B$10)/税费参数!$B$11</f>
        <v>150</v>
      </c>
    </row>
    <row r="417" ht="21" customHeight="1" spans="1:13">
      <c r="A417" s="5" t="s">
        <v>15</v>
      </c>
      <c r="B417" s="6" t="s">
        <v>59</v>
      </c>
      <c r="C417" s="6" t="s">
        <v>152</v>
      </c>
      <c r="D417" s="6" t="s">
        <v>153</v>
      </c>
      <c r="E417" s="6" t="s">
        <v>477</v>
      </c>
      <c r="F417" s="6" t="s">
        <v>1690</v>
      </c>
      <c r="G417" s="6">
        <v>50.44</v>
      </c>
      <c r="H417" s="6">
        <v>46.61</v>
      </c>
      <c r="I417" s="6">
        <v>80</v>
      </c>
      <c r="J417" s="6">
        <v>2400</v>
      </c>
      <c r="K417" s="7">
        <f>(J417-M417)*税费参数!$B$12/(I417*10000*(1+SUM(税费参数!$B$6:$B$8)))</f>
        <v>0.0272397094430993</v>
      </c>
      <c r="L417" s="7">
        <f>J417*税费参数!$B$12/(I417*10000)</f>
        <v>0.03</v>
      </c>
      <c r="M417" s="6">
        <f>I417*10000*SUM(税费参数!$B$9:$B$10)/税费参数!$B$11</f>
        <v>150</v>
      </c>
    </row>
    <row r="418" ht="21" customHeight="1" spans="1:13">
      <c r="A418" s="5" t="s">
        <v>15</v>
      </c>
      <c r="B418" s="6" t="s">
        <v>59</v>
      </c>
      <c r="C418" s="6" t="s">
        <v>152</v>
      </c>
      <c r="D418" s="6" t="s">
        <v>153</v>
      </c>
      <c r="E418" s="6" t="s">
        <v>477</v>
      </c>
      <c r="F418" s="6" t="s">
        <v>1691</v>
      </c>
      <c r="G418" s="6">
        <v>50.44</v>
      </c>
      <c r="H418" s="6">
        <v>50</v>
      </c>
      <c r="I418" s="6">
        <v>80</v>
      </c>
      <c r="J418" s="6">
        <v>2100</v>
      </c>
      <c r="K418" s="7">
        <f>(J418-M418)*税费参数!$B$12/(I418*10000*(1+SUM(税费参数!$B$6:$B$8)))</f>
        <v>0.0236077481840194</v>
      </c>
      <c r="L418" s="7">
        <f>J418*税费参数!$B$12/(I418*10000)</f>
        <v>0.02625</v>
      </c>
      <c r="M418" s="6">
        <f>I418*10000*SUM(税费参数!$B$9:$B$10)/税费参数!$B$11</f>
        <v>150</v>
      </c>
    </row>
    <row r="419" ht="21" customHeight="1" spans="1:13">
      <c r="A419" s="5" t="s">
        <v>15</v>
      </c>
      <c r="B419" s="6" t="s">
        <v>59</v>
      </c>
      <c r="C419" s="6" t="s">
        <v>152</v>
      </c>
      <c r="D419" s="6" t="s">
        <v>153</v>
      </c>
      <c r="E419" s="6" t="s">
        <v>477</v>
      </c>
      <c r="F419" s="6" t="s">
        <v>1692</v>
      </c>
      <c r="G419" s="6">
        <v>50.44</v>
      </c>
      <c r="H419" s="6">
        <v>50.44</v>
      </c>
      <c r="I419" s="6">
        <v>80</v>
      </c>
      <c r="J419" s="6">
        <v>2500</v>
      </c>
      <c r="K419" s="7">
        <f>(J419-M419)*税费参数!$B$12/(I419*10000*(1+SUM(税费参数!$B$6:$B$8)))</f>
        <v>0.0284503631961259</v>
      </c>
      <c r="L419" s="7">
        <f>J419*税费参数!$B$12/(I419*10000)</f>
        <v>0.03125</v>
      </c>
      <c r="M419" s="6">
        <f>I419*10000*SUM(税费参数!$B$9:$B$10)/税费参数!$B$11</f>
        <v>150</v>
      </c>
    </row>
    <row r="420" ht="21" customHeight="1" spans="1:13">
      <c r="A420" s="5" t="s">
        <v>15</v>
      </c>
      <c r="B420" s="6" t="s">
        <v>59</v>
      </c>
      <c r="C420" s="6" t="s">
        <v>152</v>
      </c>
      <c r="D420" s="6" t="s">
        <v>153</v>
      </c>
      <c r="E420" s="6" t="s">
        <v>477</v>
      </c>
      <c r="F420" s="6" t="s">
        <v>1693</v>
      </c>
      <c r="G420" s="6">
        <v>50.44</v>
      </c>
      <c r="H420" s="6">
        <v>50.01</v>
      </c>
      <c r="I420" s="6">
        <v>80</v>
      </c>
      <c r="J420" s="6">
        <v>2500</v>
      </c>
      <c r="K420" s="7">
        <f>(J420-M420)*税费参数!$B$12/(I420*10000*(1+SUM(税费参数!$B$6:$B$8)))</f>
        <v>0.0284503631961259</v>
      </c>
      <c r="L420" s="7">
        <f>J420*税费参数!$B$12/(I420*10000)</f>
        <v>0.03125</v>
      </c>
      <c r="M420" s="6">
        <f>I420*10000*SUM(税费参数!$B$9:$B$10)/税费参数!$B$11</f>
        <v>150</v>
      </c>
    </row>
    <row r="421" ht="21" customHeight="1" spans="1:13">
      <c r="A421" s="5" t="s">
        <v>15</v>
      </c>
      <c r="B421" s="6" t="s">
        <v>59</v>
      </c>
      <c r="C421" s="6" t="s">
        <v>152</v>
      </c>
      <c r="D421" s="6" t="s">
        <v>153</v>
      </c>
      <c r="E421" s="6" t="s">
        <v>477</v>
      </c>
      <c r="F421" s="6" t="s">
        <v>1694</v>
      </c>
      <c r="G421" s="6">
        <v>50.44</v>
      </c>
      <c r="H421" s="6">
        <v>50.56</v>
      </c>
      <c r="I421" s="6">
        <v>80</v>
      </c>
      <c r="J421" s="6">
        <v>2250</v>
      </c>
      <c r="K421" s="7">
        <f>(J421-M421)*税费参数!$B$12/(I421*10000*(1+SUM(税费参数!$B$6:$B$8)))</f>
        <v>0.0254237288135593</v>
      </c>
      <c r="L421" s="7">
        <f>J421*税费参数!$B$12/(I421*10000)</f>
        <v>0.028125</v>
      </c>
      <c r="M421" s="6">
        <f>I421*10000*SUM(税费参数!$B$9:$B$10)/税费参数!$B$11</f>
        <v>150</v>
      </c>
    </row>
    <row r="422" ht="21" customHeight="1" spans="1:13">
      <c r="A422" s="5" t="s">
        <v>15</v>
      </c>
      <c r="B422" s="6" t="s">
        <v>59</v>
      </c>
      <c r="C422" s="6" t="s">
        <v>152</v>
      </c>
      <c r="D422" s="6" t="s">
        <v>153</v>
      </c>
      <c r="E422" s="6" t="s">
        <v>477</v>
      </c>
      <c r="F422" s="6" t="s">
        <v>1695</v>
      </c>
      <c r="G422" s="6">
        <v>50.44</v>
      </c>
      <c r="H422" s="6">
        <v>50.44</v>
      </c>
      <c r="I422" s="6">
        <v>80</v>
      </c>
      <c r="J422" s="6">
        <v>2100</v>
      </c>
      <c r="K422" s="7">
        <f>(J422-M422)*税费参数!$B$12/(I422*10000*(1+SUM(税费参数!$B$6:$B$8)))</f>
        <v>0.0236077481840194</v>
      </c>
      <c r="L422" s="7">
        <f>J422*税费参数!$B$12/(I422*10000)</f>
        <v>0.02625</v>
      </c>
      <c r="M422" s="6">
        <f>I422*10000*SUM(税费参数!$B$9:$B$10)/税费参数!$B$11</f>
        <v>150</v>
      </c>
    </row>
    <row r="423" ht="21" customHeight="1" spans="1:13">
      <c r="A423" s="5" t="s">
        <v>15</v>
      </c>
      <c r="B423" s="6" t="s">
        <v>59</v>
      </c>
      <c r="C423" s="6" t="s">
        <v>152</v>
      </c>
      <c r="D423" s="6" t="s">
        <v>153</v>
      </c>
      <c r="E423" s="6" t="s">
        <v>469</v>
      </c>
      <c r="F423" s="6" t="s">
        <v>1683</v>
      </c>
      <c r="G423" s="6">
        <v>48.38</v>
      </c>
      <c r="H423" s="6">
        <v>50.01</v>
      </c>
      <c r="I423" s="6">
        <v>120</v>
      </c>
      <c r="J423" s="6">
        <v>2390</v>
      </c>
      <c r="K423" s="7">
        <f>(J423-M423)*税费参数!$B$12/(I423*10000*(1+SUM(税费参数!$B$6:$B$8)))</f>
        <v>0.0174737691686844</v>
      </c>
      <c r="L423" s="7">
        <f>J423*税费参数!$B$12/(I423*10000)</f>
        <v>0.0199166666666667</v>
      </c>
      <c r="M423" s="6">
        <f>I423*10000*SUM(税费参数!$B$9:$B$10)/税费参数!$B$11</f>
        <v>225</v>
      </c>
    </row>
    <row r="424" ht="21" customHeight="1" spans="1:13">
      <c r="A424" s="5" t="s">
        <v>15</v>
      </c>
      <c r="B424" s="6" t="s">
        <v>59</v>
      </c>
      <c r="C424" s="6" t="s">
        <v>152</v>
      </c>
      <c r="D424" s="6" t="s">
        <v>153</v>
      </c>
      <c r="E424" s="6" t="s">
        <v>469</v>
      </c>
      <c r="F424" s="6" t="s">
        <v>1684</v>
      </c>
      <c r="G424" s="6">
        <v>48.38</v>
      </c>
      <c r="H424" s="6">
        <v>46.61</v>
      </c>
      <c r="I424" s="6">
        <v>120</v>
      </c>
      <c r="J424" s="6">
        <v>2830</v>
      </c>
      <c r="K424" s="7">
        <f>(J424-M424)*税费参数!$B$12/(I424*10000*(1+SUM(税费参数!$B$6:$B$8)))</f>
        <v>0.0210250201775625</v>
      </c>
      <c r="L424" s="7">
        <f>J424*税费参数!$B$12/(I424*10000)</f>
        <v>0.0235833333333333</v>
      </c>
      <c r="M424" s="6">
        <f>I424*10000*SUM(税费参数!$B$9:$B$10)/税费参数!$B$11</f>
        <v>225</v>
      </c>
    </row>
    <row r="425" ht="21" customHeight="1" spans="1:13">
      <c r="A425" s="5" t="s">
        <v>15</v>
      </c>
      <c r="B425" s="6" t="s">
        <v>59</v>
      </c>
      <c r="C425" s="6" t="s">
        <v>152</v>
      </c>
      <c r="D425" s="6" t="s">
        <v>153</v>
      </c>
      <c r="E425" s="6" t="s">
        <v>469</v>
      </c>
      <c r="F425" s="6" t="s">
        <v>1685</v>
      </c>
      <c r="G425" s="6">
        <v>48.38</v>
      </c>
      <c r="H425" s="6">
        <v>50.01</v>
      </c>
      <c r="I425" s="6">
        <v>120</v>
      </c>
      <c r="J425" s="6">
        <v>2200</v>
      </c>
      <c r="K425" s="7">
        <f>(J425-M425)*税费参数!$B$12/(I425*10000*(1+SUM(税费参数!$B$6:$B$8)))</f>
        <v>0.0159402744148507</v>
      </c>
      <c r="L425" s="7">
        <f>J425*税费参数!$B$12/(I425*10000)</f>
        <v>0.0183333333333333</v>
      </c>
      <c r="M425" s="6">
        <f>I425*10000*SUM(税费参数!$B$9:$B$10)/税费参数!$B$11</f>
        <v>225</v>
      </c>
    </row>
    <row r="426" ht="21" customHeight="1" spans="1:13">
      <c r="A426" s="5" t="s">
        <v>15</v>
      </c>
      <c r="B426" s="6" t="s">
        <v>59</v>
      </c>
      <c r="C426" s="6" t="s">
        <v>152</v>
      </c>
      <c r="D426" s="6" t="s">
        <v>153</v>
      </c>
      <c r="E426" s="6" t="s">
        <v>469</v>
      </c>
      <c r="F426" s="6" t="s">
        <v>1686</v>
      </c>
      <c r="G426" s="6">
        <v>48.38</v>
      </c>
      <c r="H426" s="6">
        <v>50.44</v>
      </c>
      <c r="I426" s="6">
        <v>120</v>
      </c>
      <c r="J426" s="6">
        <v>2400</v>
      </c>
      <c r="K426" s="7">
        <f>(J426-M426)*税费参数!$B$12/(I426*10000*(1+SUM(税费参数!$B$6:$B$8)))</f>
        <v>0.0175544794188862</v>
      </c>
      <c r="L426" s="7">
        <f>J426*税费参数!$B$12/(I426*10000)</f>
        <v>0.02</v>
      </c>
      <c r="M426" s="6">
        <f>I426*10000*SUM(税费参数!$B$9:$B$10)/税费参数!$B$11</f>
        <v>225</v>
      </c>
    </row>
    <row r="427" ht="21" customHeight="1" spans="1:13">
      <c r="A427" s="5" t="s">
        <v>15</v>
      </c>
      <c r="B427" s="6" t="s">
        <v>59</v>
      </c>
      <c r="C427" s="6" t="s">
        <v>152</v>
      </c>
      <c r="D427" s="6" t="s">
        <v>153</v>
      </c>
      <c r="E427" s="6" t="s">
        <v>469</v>
      </c>
      <c r="F427" s="6" t="s">
        <v>1687</v>
      </c>
      <c r="G427" s="6">
        <v>48.38</v>
      </c>
      <c r="H427" s="6">
        <v>45.55</v>
      </c>
      <c r="I427" s="6">
        <v>120</v>
      </c>
      <c r="J427" s="6">
        <v>2200</v>
      </c>
      <c r="K427" s="7">
        <f>(J427-M427)*税费参数!$B$12/(I427*10000*(1+SUM(税费参数!$B$6:$B$8)))</f>
        <v>0.0159402744148507</v>
      </c>
      <c r="L427" s="7">
        <f>J427*税费参数!$B$12/(I427*10000)</f>
        <v>0.0183333333333333</v>
      </c>
      <c r="M427" s="6">
        <f>I427*10000*SUM(税费参数!$B$9:$B$10)/税费参数!$B$11</f>
        <v>225</v>
      </c>
    </row>
    <row r="428" ht="21" customHeight="1" spans="1:13">
      <c r="A428" s="5" t="s">
        <v>15</v>
      </c>
      <c r="B428" s="6" t="s">
        <v>59</v>
      </c>
      <c r="C428" s="6" t="s">
        <v>152</v>
      </c>
      <c r="D428" s="6" t="s">
        <v>153</v>
      </c>
      <c r="E428" s="6" t="s">
        <v>469</v>
      </c>
      <c r="F428" s="6" t="s">
        <v>1688</v>
      </c>
      <c r="G428" s="6">
        <v>48.38</v>
      </c>
      <c r="H428" s="6">
        <v>50.13</v>
      </c>
      <c r="I428" s="6">
        <v>120</v>
      </c>
      <c r="J428" s="6">
        <v>2300</v>
      </c>
      <c r="K428" s="7">
        <f>(J428-M428)*税费参数!$B$12/(I428*10000*(1+SUM(税费参数!$B$6:$B$8)))</f>
        <v>0.0167473769168684</v>
      </c>
      <c r="L428" s="7">
        <f>J428*税费参数!$B$12/(I428*10000)</f>
        <v>0.0191666666666667</v>
      </c>
      <c r="M428" s="6">
        <f>I428*10000*SUM(税费参数!$B$9:$B$10)/税费参数!$B$11</f>
        <v>225</v>
      </c>
    </row>
    <row r="429" ht="21" customHeight="1" spans="1:13">
      <c r="A429" s="5" t="s">
        <v>15</v>
      </c>
      <c r="B429" s="6" t="s">
        <v>59</v>
      </c>
      <c r="C429" s="6" t="s">
        <v>152</v>
      </c>
      <c r="D429" s="6" t="s">
        <v>153</v>
      </c>
      <c r="E429" s="6" t="s">
        <v>469</v>
      </c>
      <c r="F429" s="6" t="s">
        <v>1689</v>
      </c>
      <c r="G429" s="6">
        <v>48.38</v>
      </c>
      <c r="H429" s="6">
        <v>50</v>
      </c>
      <c r="I429" s="6">
        <v>120</v>
      </c>
      <c r="J429" s="6">
        <v>2270</v>
      </c>
      <c r="K429" s="7">
        <f>(J429-M429)*税费参数!$B$12/(I429*10000*(1+SUM(税费参数!$B$6:$B$8)))</f>
        <v>0.0165052461662631</v>
      </c>
      <c r="L429" s="7">
        <f>J429*税费参数!$B$12/(I429*10000)</f>
        <v>0.0189166666666667</v>
      </c>
      <c r="M429" s="6">
        <f>I429*10000*SUM(税费参数!$B$9:$B$10)/税费参数!$B$11</f>
        <v>225</v>
      </c>
    </row>
    <row r="430" ht="21" customHeight="1" spans="1:13">
      <c r="A430" s="5" t="s">
        <v>15</v>
      </c>
      <c r="B430" s="6" t="s">
        <v>59</v>
      </c>
      <c r="C430" s="6" t="s">
        <v>152</v>
      </c>
      <c r="D430" s="6" t="s">
        <v>153</v>
      </c>
      <c r="E430" s="6" t="s">
        <v>469</v>
      </c>
      <c r="F430" s="6" t="s">
        <v>1690</v>
      </c>
      <c r="G430" s="6">
        <v>48.38</v>
      </c>
      <c r="H430" s="6">
        <v>46.61</v>
      </c>
      <c r="I430" s="6">
        <v>120</v>
      </c>
      <c r="J430" s="6">
        <v>2400</v>
      </c>
      <c r="K430" s="7">
        <f>(J430-M430)*税费参数!$B$12/(I430*10000*(1+SUM(税费参数!$B$6:$B$8)))</f>
        <v>0.0175544794188862</v>
      </c>
      <c r="L430" s="7">
        <f>J430*税费参数!$B$12/(I430*10000)</f>
        <v>0.02</v>
      </c>
      <c r="M430" s="6">
        <f>I430*10000*SUM(税费参数!$B$9:$B$10)/税费参数!$B$11</f>
        <v>225</v>
      </c>
    </row>
    <row r="431" ht="21" customHeight="1" spans="1:13">
      <c r="A431" s="5" t="s">
        <v>15</v>
      </c>
      <c r="B431" s="6" t="s">
        <v>59</v>
      </c>
      <c r="C431" s="6" t="s">
        <v>152</v>
      </c>
      <c r="D431" s="6" t="s">
        <v>153</v>
      </c>
      <c r="E431" s="6" t="s">
        <v>469</v>
      </c>
      <c r="F431" s="6" t="s">
        <v>1691</v>
      </c>
      <c r="G431" s="6">
        <v>48.38</v>
      </c>
      <c r="H431" s="6">
        <v>50</v>
      </c>
      <c r="I431" s="6">
        <v>120</v>
      </c>
      <c r="J431" s="6">
        <v>2100</v>
      </c>
      <c r="K431" s="7">
        <f>(J431-M431)*税费参数!$B$12/(I431*10000*(1+SUM(税费参数!$B$6:$B$8)))</f>
        <v>0.0151331719128329</v>
      </c>
      <c r="L431" s="7">
        <f>J431*税费参数!$B$12/(I431*10000)</f>
        <v>0.0175</v>
      </c>
      <c r="M431" s="6">
        <f>I431*10000*SUM(税费参数!$B$9:$B$10)/税费参数!$B$11</f>
        <v>225</v>
      </c>
    </row>
    <row r="432" ht="21" customHeight="1" spans="1:13">
      <c r="A432" s="5" t="s">
        <v>15</v>
      </c>
      <c r="B432" s="6" t="s">
        <v>59</v>
      </c>
      <c r="C432" s="6" t="s">
        <v>152</v>
      </c>
      <c r="D432" s="6" t="s">
        <v>153</v>
      </c>
      <c r="E432" s="6" t="s">
        <v>469</v>
      </c>
      <c r="F432" s="6" t="s">
        <v>1692</v>
      </c>
      <c r="G432" s="6">
        <v>48.38</v>
      </c>
      <c r="H432" s="6">
        <v>50.44</v>
      </c>
      <c r="I432" s="6">
        <v>120</v>
      </c>
      <c r="J432" s="6">
        <v>2500</v>
      </c>
      <c r="K432" s="7">
        <f>(J432-M432)*税费参数!$B$12/(I432*10000*(1+SUM(税费参数!$B$6:$B$8)))</f>
        <v>0.018361581920904</v>
      </c>
      <c r="L432" s="7">
        <f>J432*税费参数!$B$12/(I432*10000)</f>
        <v>0.0208333333333333</v>
      </c>
      <c r="M432" s="6">
        <f>I432*10000*SUM(税费参数!$B$9:$B$10)/税费参数!$B$11</f>
        <v>225</v>
      </c>
    </row>
    <row r="433" ht="21" customHeight="1" spans="1:13">
      <c r="A433" s="5" t="s">
        <v>15</v>
      </c>
      <c r="B433" s="6" t="s">
        <v>59</v>
      </c>
      <c r="C433" s="6" t="s">
        <v>152</v>
      </c>
      <c r="D433" s="6" t="s">
        <v>153</v>
      </c>
      <c r="E433" s="6" t="s">
        <v>469</v>
      </c>
      <c r="F433" s="6" t="s">
        <v>1693</v>
      </c>
      <c r="G433" s="6">
        <v>48.38</v>
      </c>
      <c r="H433" s="6">
        <v>50.01</v>
      </c>
      <c r="I433" s="6">
        <v>120</v>
      </c>
      <c r="J433" s="6">
        <v>2500</v>
      </c>
      <c r="K433" s="7">
        <f>(J433-M433)*税费参数!$B$12/(I433*10000*(1+SUM(税费参数!$B$6:$B$8)))</f>
        <v>0.018361581920904</v>
      </c>
      <c r="L433" s="7">
        <f>J433*税费参数!$B$12/(I433*10000)</f>
        <v>0.0208333333333333</v>
      </c>
      <c r="M433" s="6">
        <f>I433*10000*SUM(税费参数!$B$9:$B$10)/税费参数!$B$11</f>
        <v>225</v>
      </c>
    </row>
    <row r="434" ht="21" customHeight="1" spans="1:13">
      <c r="A434" s="5" t="s">
        <v>15</v>
      </c>
      <c r="B434" s="6" t="s">
        <v>59</v>
      </c>
      <c r="C434" s="6" t="s">
        <v>152</v>
      </c>
      <c r="D434" s="6" t="s">
        <v>153</v>
      </c>
      <c r="E434" s="6" t="s">
        <v>469</v>
      </c>
      <c r="F434" s="6" t="s">
        <v>1694</v>
      </c>
      <c r="G434" s="6">
        <v>48.38</v>
      </c>
      <c r="H434" s="6">
        <v>50.56</v>
      </c>
      <c r="I434" s="6">
        <v>120</v>
      </c>
      <c r="J434" s="6">
        <v>2250</v>
      </c>
      <c r="K434" s="7">
        <f>(J434-M434)*税费参数!$B$12/(I434*10000*(1+SUM(税费参数!$B$6:$B$8)))</f>
        <v>0.0163438256658596</v>
      </c>
      <c r="L434" s="7">
        <f>J434*税费参数!$B$12/(I434*10000)</f>
        <v>0.01875</v>
      </c>
      <c r="M434" s="6">
        <f>I434*10000*SUM(税费参数!$B$9:$B$10)/税费参数!$B$11</f>
        <v>225</v>
      </c>
    </row>
    <row r="435" ht="21" customHeight="1" spans="1:13">
      <c r="A435" s="5" t="s">
        <v>15</v>
      </c>
      <c r="B435" s="6" t="s">
        <v>59</v>
      </c>
      <c r="C435" s="6" t="s">
        <v>152</v>
      </c>
      <c r="D435" s="6" t="s">
        <v>153</v>
      </c>
      <c r="E435" s="6" t="s">
        <v>469</v>
      </c>
      <c r="F435" s="6" t="s">
        <v>1695</v>
      </c>
      <c r="G435" s="6">
        <v>48.38</v>
      </c>
      <c r="H435" s="6">
        <v>50.44</v>
      </c>
      <c r="I435" s="6">
        <v>120</v>
      </c>
      <c r="J435" s="6">
        <v>2100</v>
      </c>
      <c r="K435" s="7">
        <f>(J435-M435)*税费参数!$B$12/(I435*10000*(1+SUM(税费参数!$B$6:$B$8)))</f>
        <v>0.0151331719128329</v>
      </c>
      <c r="L435" s="7">
        <f>J435*税费参数!$B$12/(I435*10000)</f>
        <v>0.0175</v>
      </c>
      <c r="M435" s="6">
        <f>I435*10000*SUM(税费参数!$B$9:$B$10)/税费参数!$B$11</f>
        <v>225</v>
      </c>
    </row>
    <row r="436" ht="21" customHeight="1" spans="1:13">
      <c r="A436" s="5" t="s">
        <v>15</v>
      </c>
      <c r="B436" s="6" t="s">
        <v>59</v>
      </c>
      <c r="C436" s="6" t="s">
        <v>152</v>
      </c>
      <c r="D436" s="6" t="s">
        <v>153</v>
      </c>
      <c r="E436" s="6" t="s">
        <v>475</v>
      </c>
      <c r="F436" s="6" t="s">
        <v>1683</v>
      </c>
      <c r="G436" s="6">
        <v>48.38</v>
      </c>
      <c r="H436" s="6">
        <v>50.01</v>
      </c>
      <c r="I436" s="6">
        <v>120</v>
      </c>
      <c r="J436" s="6">
        <v>2390</v>
      </c>
      <c r="K436" s="7">
        <f>(J436-M436)*税费参数!$B$12/(I436*10000*(1+SUM(税费参数!$B$6:$B$8)))</f>
        <v>0.0174737691686844</v>
      </c>
      <c r="L436" s="7">
        <f>J436*税费参数!$B$12/(I436*10000)</f>
        <v>0.0199166666666667</v>
      </c>
      <c r="M436" s="6">
        <f>I436*10000*SUM(税费参数!$B$9:$B$10)/税费参数!$B$11</f>
        <v>225</v>
      </c>
    </row>
    <row r="437" ht="21" customHeight="1" spans="1:13">
      <c r="A437" s="5" t="s">
        <v>15</v>
      </c>
      <c r="B437" s="6" t="s">
        <v>59</v>
      </c>
      <c r="C437" s="6" t="s">
        <v>152</v>
      </c>
      <c r="D437" s="6" t="s">
        <v>153</v>
      </c>
      <c r="E437" s="6" t="s">
        <v>475</v>
      </c>
      <c r="F437" s="6" t="s">
        <v>1684</v>
      </c>
      <c r="G437" s="6">
        <v>48.38</v>
      </c>
      <c r="H437" s="6">
        <v>46.61</v>
      </c>
      <c r="I437" s="6">
        <v>120</v>
      </c>
      <c r="J437" s="6">
        <v>2830</v>
      </c>
      <c r="K437" s="7">
        <f>(J437-M437)*税费参数!$B$12/(I437*10000*(1+SUM(税费参数!$B$6:$B$8)))</f>
        <v>0.0210250201775625</v>
      </c>
      <c r="L437" s="7">
        <f>J437*税费参数!$B$12/(I437*10000)</f>
        <v>0.0235833333333333</v>
      </c>
      <c r="M437" s="6">
        <f>I437*10000*SUM(税费参数!$B$9:$B$10)/税费参数!$B$11</f>
        <v>225</v>
      </c>
    </row>
    <row r="438" ht="21" customHeight="1" spans="1:13">
      <c r="A438" s="5" t="s">
        <v>15</v>
      </c>
      <c r="B438" s="6" t="s">
        <v>59</v>
      </c>
      <c r="C438" s="6" t="s">
        <v>152</v>
      </c>
      <c r="D438" s="6" t="s">
        <v>153</v>
      </c>
      <c r="E438" s="6" t="s">
        <v>475</v>
      </c>
      <c r="F438" s="6" t="s">
        <v>1685</v>
      </c>
      <c r="G438" s="6">
        <v>48.38</v>
      </c>
      <c r="H438" s="6">
        <v>50.01</v>
      </c>
      <c r="I438" s="6">
        <v>120</v>
      </c>
      <c r="J438" s="6">
        <v>2200</v>
      </c>
      <c r="K438" s="7">
        <f>(J438-M438)*税费参数!$B$12/(I438*10000*(1+SUM(税费参数!$B$6:$B$8)))</f>
        <v>0.0159402744148507</v>
      </c>
      <c r="L438" s="7">
        <f>J438*税费参数!$B$12/(I438*10000)</f>
        <v>0.0183333333333333</v>
      </c>
      <c r="M438" s="6">
        <f>I438*10000*SUM(税费参数!$B$9:$B$10)/税费参数!$B$11</f>
        <v>225</v>
      </c>
    </row>
    <row r="439" ht="21" customHeight="1" spans="1:13">
      <c r="A439" s="5" t="s">
        <v>15</v>
      </c>
      <c r="B439" s="6" t="s">
        <v>59</v>
      </c>
      <c r="C439" s="6" t="s">
        <v>152</v>
      </c>
      <c r="D439" s="6" t="s">
        <v>153</v>
      </c>
      <c r="E439" s="6" t="s">
        <v>475</v>
      </c>
      <c r="F439" s="6" t="s">
        <v>1686</v>
      </c>
      <c r="G439" s="6">
        <v>48.38</v>
      </c>
      <c r="H439" s="6">
        <v>50.44</v>
      </c>
      <c r="I439" s="6">
        <v>120</v>
      </c>
      <c r="J439" s="6">
        <v>2400</v>
      </c>
      <c r="K439" s="7">
        <f>(J439-M439)*税费参数!$B$12/(I439*10000*(1+SUM(税费参数!$B$6:$B$8)))</f>
        <v>0.0175544794188862</v>
      </c>
      <c r="L439" s="7">
        <f>J439*税费参数!$B$12/(I439*10000)</f>
        <v>0.02</v>
      </c>
      <c r="M439" s="6">
        <f>I439*10000*SUM(税费参数!$B$9:$B$10)/税费参数!$B$11</f>
        <v>225</v>
      </c>
    </row>
    <row r="440" ht="21" customHeight="1" spans="1:13">
      <c r="A440" s="5" t="s">
        <v>15</v>
      </c>
      <c r="B440" s="6" t="s">
        <v>59</v>
      </c>
      <c r="C440" s="6" t="s">
        <v>152</v>
      </c>
      <c r="D440" s="6" t="s">
        <v>153</v>
      </c>
      <c r="E440" s="6" t="s">
        <v>475</v>
      </c>
      <c r="F440" s="6" t="s">
        <v>1687</v>
      </c>
      <c r="G440" s="6">
        <v>48.38</v>
      </c>
      <c r="H440" s="6">
        <v>45.55</v>
      </c>
      <c r="I440" s="6">
        <v>120</v>
      </c>
      <c r="J440" s="6">
        <v>2200</v>
      </c>
      <c r="K440" s="7">
        <f>(J440-M440)*税费参数!$B$12/(I440*10000*(1+SUM(税费参数!$B$6:$B$8)))</f>
        <v>0.0159402744148507</v>
      </c>
      <c r="L440" s="7">
        <f>J440*税费参数!$B$12/(I440*10000)</f>
        <v>0.0183333333333333</v>
      </c>
      <c r="M440" s="6">
        <f>I440*10000*SUM(税费参数!$B$9:$B$10)/税费参数!$B$11</f>
        <v>225</v>
      </c>
    </row>
    <row r="441" ht="21" customHeight="1" spans="1:13">
      <c r="A441" s="5" t="s">
        <v>15</v>
      </c>
      <c r="B441" s="6" t="s">
        <v>59</v>
      </c>
      <c r="C441" s="6" t="s">
        <v>152</v>
      </c>
      <c r="D441" s="6" t="s">
        <v>153</v>
      </c>
      <c r="E441" s="6" t="s">
        <v>475</v>
      </c>
      <c r="F441" s="6" t="s">
        <v>1688</v>
      </c>
      <c r="G441" s="6">
        <v>48.38</v>
      </c>
      <c r="H441" s="6">
        <v>50.13</v>
      </c>
      <c r="I441" s="6">
        <v>120</v>
      </c>
      <c r="J441" s="6">
        <v>2300</v>
      </c>
      <c r="K441" s="7">
        <f>(J441-M441)*税费参数!$B$12/(I441*10000*(1+SUM(税费参数!$B$6:$B$8)))</f>
        <v>0.0167473769168684</v>
      </c>
      <c r="L441" s="7">
        <f>J441*税费参数!$B$12/(I441*10000)</f>
        <v>0.0191666666666667</v>
      </c>
      <c r="M441" s="6">
        <f>I441*10000*SUM(税费参数!$B$9:$B$10)/税费参数!$B$11</f>
        <v>225</v>
      </c>
    </row>
    <row r="442" ht="21" customHeight="1" spans="1:13">
      <c r="A442" s="5" t="s">
        <v>15</v>
      </c>
      <c r="B442" s="6" t="s">
        <v>59</v>
      </c>
      <c r="C442" s="6" t="s">
        <v>152</v>
      </c>
      <c r="D442" s="6" t="s">
        <v>153</v>
      </c>
      <c r="E442" s="6" t="s">
        <v>475</v>
      </c>
      <c r="F442" s="6" t="s">
        <v>1689</v>
      </c>
      <c r="G442" s="6">
        <v>48.38</v>
      </c>
      <c r="H442" s="6">
        <v>50</v>
      </c>
      <c r="I442" s="6">
        <v>120</v>
      </c>
      <c r="J442" s="6">
        <v>2270</v>
      </c>
      <c r="K442" s="7">
        <f>(J442-M442)*税费参数!$B$12/(I442*10000*(1+SUM(税费参数!$B$6:$B$8)))</f>
        <v>0.0165052461662631</v>
      </c>
      <c r="L442" s="7">
        <f>J442*税费参数!$B$12/(I442*10000)</f>
        <v>0.0189166666666667</v>
      </c>
      <c r="M442" s="6">
        <f>I442*10000*SUM(税费参数!$B$9:$B$10)/税费参数!$B$11</f>
        <v>225</v>
      </c>
    </row>
    <row r="443" ht="21" customHeight="1" spans="1:13">
      <c r="A443" s="5" t="s">
        <v>15</v>
      </c>
      <c r="B443" s="6" t="s">
        <v>59</v>
      </c>
      <c r="C443" s="6" t="s">
        <v>152</v>
      </c>
      <c r="D443" s="6" t="s">
        <v>153</v>
      </c>
      <c r="E443" s="6" t="s">
        <v>475</v>
      </c>
      <c r="F443" s="6" t="s">
        <v>1690</v>
      </c>
      <c r="G443" s="6">
        <v>48.38</v>
      </c>
      <c r="H443" s="6">
        <v>46.61</v>
      </c>
      <c r="I443" s="6">
        <v>120</v>
      </c>
      <c r="J443" s="6">
        <v>2400</v>
      </c>
      <c r="K443" s="7">
        <f>(J443-M443)*税费参数!$B$12/(I443*10000*(1+SUM(税费参数!$B$6:$B$8)))</f>
        <v>0.0175544794188862</v>
      </c>
      <c r="L443" s="7">
        <f>J443*税费参数!$B$12/(I443*10000)</f>
        <v>0.02</v>
      </c>
      <c r="M443" s="6">
        <f>I443*10000*SUM(税费参数!$B$9:$B$10)/税费参数!$B$11</f>
        <v>225</v>
      </c>
    </row>
    <row r="444" ht="21" customHeight="1" spans="1:13">
      <c r="A444" s="5" t="s">
        <v>15</v>
      </c>
      <c r="B444" s="6" t="s">
        <v>59</v>
      </c>
      <c r="C444" s="6" t="s">
        <v>152</v>
      </c>
      <c r="D444" s="6" t="s">
        <v>153</v>
      </c>
      <c r="E444" s="6" t="s">
        <v>475</v>
      </c>
      <c r="F444" s="6" t="s">
        <v>1691</v>
      </c>
      <c r="G444" s="6">
        <v>48.38</v>
      </c>
      <c r="H444" s="6">
        <v>50</v>
      </c>
      <c r="I444" s="6">
        <v>120</v>
      </c>
      <c r="J444" s="6">
        <v>2100</v>
      </c>
      <c r="K444" s="7">
        <f>(J444-M444)*税费参数!$B$12/(I444*10000*(1+SUM(税费参数!$B$6:$B$8)))</f>
        <v>0.0151331719128329</v>
      </c>
      <c r="L444" s="7">
        <f>J444*税费参数!$B$12/(I444*10000)</f>
        <v>0.0175</v>
      </c>
      <c r="M444" s="6">
        <f>I444*10000*SUM(税费参数!$B$9:$B$10)/税费参数!$B$11</f>
        <v>225</v>
      </c>
    </row>
    <row r="445" ht="21" customHeight="1" spans="1:13">
      <c r="A445" s="5" t="s">
        <v>15</v>
      </c>
      <c r="B445" s="6" t="s">
        <v>59</v>
      </c>
      <c r="C445" s="6" t="s">
        <v>152</v>
      </c>
      <c r="D445" s="6" t="s">
        <v>153</v>
      </c>
      <c r="E445" s="6" t="s">
        <v>475</v>
      </c>
      <c r="F445" s="6" t="s">
        <v>1692</v>
      </c>
      <c r="G445" s="6">
        <v>48.38</v>
      </c>
      <c r="H445" s="6">
        <v>50.44</v>
      </c>
      <c r="I445" s="6">
        <v>120</v>
      </c>
      <c r="J445" s="6">
        <v>2500</v>
      </c>
      <c r="K445" s="7">
        <f>(J445-M445)*税费参数!$B$12/(I445*10000*(1+SUM(税费参数!$B$6:$B$8)))</f>
        <v>0.018361581920904</v>
      </c>
      <c r="L445" s="7">
        <f>J445*税费参数!$B$12/(I445*10000)</f>
        <v>0.0208333333333333</v>
      </c>
      <c r="M445" s="6">
        <f>I445*10000*SUM(税费参数!$B$9:$B$10)/税费参数!$B$11</f>
        <v>225</v>
      </c>
    </row>
    <row r="446" ht="21" customHeight="1" spans="1:13">
      <c r="A446" s="5" t="s">
        <v>15</v>
      </c>
      <c r="B446" s="6" t="s">
        <v>59</v>
      </c>
      <c r="C446" s="6" t="s">
        <v>152</v>
      </c>
      <c r="D446" s="6" t="s">
        <v>153</v>
      </c>
      <c r="E446" s="6" t="s">
        <v>475</v>
      </c>
      <c r="F446" s="6" t="s">
        <v>1693</v>
      </c>
      <c r="G446" s="6">
        <v>48.38</v>
      </c>
      <c r="H446" s="6">
        <v>50.01</v>
      </c>
      <c r="I446" s="6">
        <v>120</v>
      </c>
      <c r="J446" s="6">
        <v>2500</v>
      </c>
      <c r="K446" s="7">
        <f>(J446-M446)*税费参数!$B$12/(I446*10000*(1+SUM(税费参数!$B$6:$B$8)))</f>
        <v>0.018361581920904</v>
      </c>
      <c r="L446" s="7">
        <f>J446*税费参数!$B$12/(I446*10000)</f>
        <v>0.0208333333333333</v>
      </c>
      <c r="M446" s="6">
        <f>I446*10000*SUM(税费参数!$B$9:$B$10)/税费参数!$B$11</f>
        <v>225</v>
      </c>
    </row>
    <row r="447" ht="21" customHeight="1" spans="1:13">
      <c r="A447" s="5" t="s">
        <v>15</v>
      </c>
      <c r="B447" s="6" t="s">
        <v>59</v>
      </c>
      <c r="C447" s="6" t="s">
        <v>152</v>
      </c>
      <c r="D447" s="6" t="s">
        <v>153</v>
      </c>
      <c r="E447" s="6" t="s">
        <v>475</v>
      </c>
      <c r="F447" s="6" t="s">
        <v>1694</v>
      </c>
      <c r="G447" s="6">
        <v>48.38</v>
      </c>
      <c r="H447" s="6">
        <v>50.56</v>
      </c>
      <c r="I447" s="6">
        <v>120</v>
      </c>
      <c r="J447" s="6">
        <v>2250</v>
      </c>
      <c r="K447" s="7">
        <f>(J447-M447)*税费参数!$B$12/(I447*10000*(1+SUM(税费参数!$B$6:$B$8)))</f>
        <v>0.0163438256658596</v>
      </c>
      <c r="L447" s="7">
        <f>J447*税费参数!$B$12/(I447*10000)</f>
        <v>0.01875</v>
      </c>
      <c r="M447" s="6">
        <f>I447*10000*SUM(税费参数!$B$9:$B$10)/税费参数!$B$11</f>
        <v>225</v>
      </c>
    </row>
    <row r="448" ht="21" customHeight="1" spans="1:13">
      <c r="A448" s="5" t="s">
        <v>15</v>
      </c>
      <c r="B448" s="6" t="s">
        <v>59</v>
      </c>
      <c r="C448" s="6" t="s">
        <v>152</v>
      </c>
      <c r="D448" s="6" t="s">
        <v>153</v>
      </c>
      <c r="E448" s="6" t="s">
        <v>475</v>
      </c>
      <c r="F448" s="6" t="s">
        <v>1695</v>
      </c>
      <c r="G448" s="6">
        <v>48.38</v>
      </c>
      <c r="H448" s="6">
        <v>50.44</v>
      </c>
      <c r="I448" s="6">
        <v>120</v>
      </c>
      <c r="J448" s="6">
        <v>2100</v>
      </c>
      <c r="K448" s="7">
        <f>(J448-M448)*税费参数!$B$12/(I448*10000*(1+SUM(税费参数!$B$6:$B$8)))</f>
        <v>0.0151331719128329</v>
      </c>
      <c r="L448" s="7">
        <f>J448*税费参数!$B$12/(I448*10000)</f>
        <v>0.0175</v>
      </c>
      <c r="M448" s="6">
        <f>I448*10000*SUM(税费参数!$B$9:$B$10)/税费参数!$B$11</f>
        <v>225</v>
      </c>
    </row>
    <row r="449" ht="21" customHeight="1" spans="1:13">
      <c r="A449" s="5" t="s">
        <v>15</v>
      </c>
      <c r="B449" s="6" t="s">
        <v>59</v>
      </c>
      <c r="C449" s="6" t="s">
        <v>152</v>
      </c>
      <c r="D449" s="6" t="s">
        <v>153</v>
      </c>
      <c r="E449" s="6" t="s">
        <v>471</v>
      </c>
      <c r="F449" s="6" t="s">
        <v>1683</v>
      </c>
      <c r="G449" s="6">
        <v>50.01</v>
      </c>
      <c r="H449" s="6">
        <v>50.01</v>
      </c>
      <c r="I449" s="6">
        <v>86</v>
      </c>
      <c r="J449" s="6">
        <v>2390</v>
      </c>
      <c r="K449" s="7">
        <f>(J449-M449)*税费参数!$B$12/(I449*10000*(1+SUM(税费参数!$B$6:$B$8)))</f>
        <v>0.0250999493214708</v>
      </c>
      <c r="L449" s="7">
        <f>J449*税费参数!$B$12/(I449*10000)</f>
        <v>0.0277906976744186</v>
      </c>
      <c r="M449" s="6">
        <f>I449*10000*SUM(税费参数!$B$9:$B$10)/税费参数!$B$11</f>
        <v>161.25</v>
      </c>
    </row>
    <row r="450" ht="21" customHeight="1" spans="1:13">
      <c r="A450" s="5" t="s">
        <v>15</v>
      </c>
      <c r="B450" s="6" t="s">
        <v>59</v>
      </c>
      <c r="C450" s="6" t="s">
        <v>152</v>
      </c>
      <c r="D450" s="6" t="s">
        <v>153</v>
      </c>
      <c r="E450" s="6" t="s">
        <v>471</v>
      </c>
      <c r="F450" s="6" t="s">
        <v>1684</v>
      </c>
      <c r="G450" s="6">
        <v>50.01</v>
      </c>
      <c r="H450" s="6">
        <v>46.61</v>
      </c>
      <c r="I450" s="6">
        <v>86</v>
      </c>
      <c r="J450" s="6">
        <v>2830</v>
      </c>
      <c r="K450" s="7">
        <f>(J450-M450)*税费参数!$B$12/(I450*10000*(1+SUM(税费参数!$B$6:$B$8)))</f>
        <v>0.0300551832873473</v>
      </c>
      <c r="L450" s="7">
        <f>J450*税费参数!$B$12/(I450*10000)</f>
        <v>0.032906976744186</v>
      </c>
      <c r="M450" s="6">
        <f>I450*10000*SUM(税费参数!$B$9:$B$10)/税费参数!$B$11</f>
        <v>161.25</v>
      </c>
    </row>
    <row r="451" ht="21" customHeight="1" spans="1:13">
      <c r="A451" s="5" t="s">
        <v>15</v>
      </c>
      <c r="B451" s="6" t="s">
        <v>59</v>
      </c>
      <c r="C451" s="6" t="s">
        <v>152</v>
      </c>
      <c r="D451" s="6" t="s">
        <v>153</v>
      </c>
      <c r="E451" s="6" t="s">
        <v>471</v>
      </c>
      <c r="F451" s="6" t="s">
        <v>1685</v>
      </c>
      <c r="G451" s="6">
        <v>50.01</v>
      </c>
      <c r="H451" s="6">
        <v>50.01</v>
      </c>
      <c r="I451" s="6">
        <v>86</v>
      </c>
      <c r="J451" s="6">
        <v>2200</v>
      </c>
      <c r="K451" s="7">
        <f>(J451-M451)*税费参数!$B$12/(I451*10000*(1+SUM(税费参数!$B$6:$B$8)))</f>
        <v>0.0229601891998423</v>
      </c>
      <c r="L451" s="7">
        <f>J451*税费参数!$B$12/(I451*10000)</f>
        <v>0.0255813953488372</v>
      </c>
      <c r="M451" s="6">
        <f>I451*10000*SUM(税费参数!$B$9:$B$10)/税费参数!$B$11</f>
        <v>161.25</v>
      </c>
    </row>
    <row r="452" ht="21" customHeight="1" spans="1:13">
      <c r="A452" s="5" t="s">
        <v>15</v>
      </c>
      <c r="B452" s="6" t="s">
        <v>59</v>
      </c>
      <c r="C452" s="6" t="s">
        <v>152</v>
      </c>
      <c r="D452" s="6" t="s">
        <v>153</v>
      </c>
      <c r="E452" s="6" t="s">
        <v>471</v>
      </c>
      <c r="F452" s="6" t="s">
        <v>1686</v>
      </c>
      <c r="G452" s="6">
        <v>50.01</v>
      </c>
      <c r="H452" s="6">
        <v>50.44</v>
      </c>
      <c r="I452" s="6">
        <v>86</v>
      </c>
      <c r="J452" s="6">
        <v>2400</v>
      </c>
      <c r="K452" s="7">
        <f>(J452-M452)*税费参数!$B$12/(I452*10000*(1+SUM(税费参数!$B$6:$B$8)))</f>
        <v>0.0252125682752407</v>
      </c>
      <c r="L452" s="7">
        <f>J452*税费参数!$B$12/(I452*10000)</f>
        <v>0.027906976744186</v>
      </c>
      <c r="M452" s="6">
        <f>I452*10000*SUM(税费参数!$B$9:$B$10)/税费参数!$B$11</f>
        <v>161.25</v>
      </c>
    </row>
    <row r="453" ht="21" customHeight="1" spans="1:13">
      <c r="A453" s="5" t="s">
        <v>15</v>
      </c>
      <c r="B453" s="6" t="s">
        <v>59</v>
      </c>
      <c r="C453" s="6" t="s">
        <v>152</v>
      </c>
      <c r="D453" s="6" t="s">
        <v>153</v>
      </c>
      <c r="E453" s="6" t="s">
        <v>471</v>
      </c>
      <c r="F453" s="6" t="s">
        <v>1687</v>
      </c>
      <c r="G453" s="6">
        <v>50.01</v>
      </c>
      <c r="H453" s="6">
        <v>45.55</v>
      </c>
      <c r="I453" s="6">
        <v>86</v>
      </c>
      <c r="J453" s="6">
        <v>2200</v>
      </c>
      <c r="K453" s="7">
        <f>(J453-M453)*税费参数!$B$12/(I453*10000*(1+SUM(税费参数!$B$6:$B$8)))</f>
        <v>0.0229601891998423</v>
      </c>
      <c r="L453" s="7">
        <f>J453*税费参数!$B$12/(I453*10000)</f>
        <v>0.0255813953488372</v>
      </c>
      <c r="M453" s="6">
        <f>I453*10000*SUM(税费参数!$B$9:$B$10)/税费参数!$B$11</f>
        <v>161.25</v>
      </c>
    </row>
    <row r="454" ht="21" customHeight="1" spans="1:13">
      <c r="A454" s="5" t="s">
        <v>15</v>
      </c>
      <c r="B454" s="6" t="s">
        <v>59</v>
      </c>
      <c r="C454" s="6" t="s">
        <v>152</v>
      </c>
      <c r="D454" s="6" t="s">
        <v>153</v>
      </c>
      <c r="E454" s="6" t="s">
        <v>471</v>
      </c>
      <c r="F454" s="6" t="s">
        <v>1688</v>
      </c>
      <c r="G454" s="6">
        <v>50.01</v>
      </c>
      <c r="H454" s="6">
        <v>50.13</v>
      </c>
      <c r="I454" s="6">
        <v>86</v>
      </c>
      <c r="J454" s="6">
        <v>2300</v>
      </c>
      <c r="K454" s="7">
        <f>(J454-M454)*税费参数!$B$12/(I454*10000*(1+SUM(税费参数!$B$6:$B$8)))</f>
        <v>0.0240863787375415</v>
      </c>
      <c r="L454" s="7">
        <f>J454*税费参数!$B$12/(I454*10000)</f>
        <v>0.0267441860465116</v>
      </c>
      <c r="M454" s="6">
        <f>I454*10000*SUM(税费参数!$B$9:$B$10)/税费参数!$B$11</f>
        <v>161.25</v>
      </c>
    </row>
    <row r="455" ht="21" customHeight="1" spans="1:13">
      <c r="A455" s="5" t="s">
        <v>15</v>
      </c>
      <c r="B455" s="6" t="s">
        <v>59</v>
      </c>
      <c r="C455" s="6" t="s">
        <v>152</v>
      </c>
      <c r="D455" s="6" t="s">
        <v>153</v>
      </c>
      <c r="E455" s="6" t="s">
        <v>471</v>
      </c>
      <c r="F455" s="6" t="s">
        <v>1689</v>
      </c>
      <c r="G455" s="6">
        <v>50.01</v>
      </c>
      <c r="H455" s="6">
        <v>50</v>
      </c>
      <c r="I455" s="6">
        <v>86</v>
      </c>
      <c r="J455" s="6">
        <v>2270</v>
      </c>
      <c r="K455" s="7">
        <f>(J455-M455)*税费参数!$B$12/(I455*10000*(1+SUM(税费参数!$B$6:$B$8)))</f>
        <v>0.0237485218762318</v>
      </c>
      <c r="L455" s="7">
        <f>J455*税费参数!$B$12/(I455*10000)</f>
        <v>0.0263953488372093</v>
      </c>
      <c r="M455" s="6">
        <f>I455*10000*SUM(税费参数!$B$9:$B$10)/税费参数!$B$11</f>
        <v>161.25</v>
      </c>
    </row>
    <row r="456" ht="21" customHeight="1" spans="1:13">
      <c r="A456" s="5" t="s">
        <v>15</v>
      </c>
      <c r="B456" s="6" t="s">
        <v>59</v>
      </c>
      <c r="C456" s="6" t="s">
        <v>152</v>
      </c>
      <c r="D456" s="6" t="s">
        <v>153</v>
      </c>
      <c r="E456" s="6" t="s">
        <v>471</v>
      </c>
      <c r="F456" s="6" t="s">
        <v>1690</v>
      </c>
      <c r="G456" s="6">
        <v>50.01</v>
      </c>
      <c r="H456" s="6">
        <v>46.61</v>
      </c>
      <c r="I456" s="6">
        <v>86</v>
      </c>
      <c r="J456" s="6">
        <v>2400</v>
      </c>
      <c r="K456" s="7">
        <f>(J456-M456)*税费参数!$B$12/(I456*10000*(1+SUM(税费参数!$B$6:$B$8)))</f>
        <v>0.0252125682752407</v>
      </c>
      <c r="L456" s="7">
        <f>J456*税费参数!$B$12/(I456*10000)</f>
        <v>0.027906976744186</v>
      </c>
      <c r="M456" s="6">
        <f>I456*10000*SUM(税费参数!$B$9:$B$10)/税费参数!$B$11</f>
        <v>161.25</v>
      </c>
    </row>
    <row r="457" ht="21" customHeight="1" spans="1:13">
      <c r="A457" s="5" t="s">
        <v>15</v>
      </c>
      <c r="B457" s="6" t="s">
        <v>59</v>
      </c>
      <c r="C457" s="6" t="s">
        <v>152</v>
      </c>
      <c r="D457" s="6" t="s">
        <v>153</v>
      </c>
      <c r="E457" s="6" t="s">
        <v>471</v>
      </c>
      <c r="F457" s="6" t="s">
        <v>1691</v>
      </c>
      <c r="G457" s="6">
        <v>50.01</v>
      </c>
      <c r="H457" s="6">
        <v>50</v>
      </c>
      <c r="I457" s="6">
        <v>86</v>
      </c>
      <c r="J457" s="6">
        <v>2100</v>
      </c>
      <c r="K457" s="7">
        <f>(J457-M457)*税费参数!$B$12/(I457*10000*(1+SUM(税费参数!$B$6:$B$8)))</f>
        <v>0.0218339996621431</v>
      </c>
      <c r="L457" s="7">
        <f>J457*税费参数!$B$12/(I457*10000)</f>
        <v>0.0244186046511628</v>
      </c>
      <c r="M457" s="6">
        <f>I457*10000*SUM(税费参数!$B$9:$B$10)/税费参数!$B$11</f>
        <v>161.25</v>
      </c>
    </row>
    <row r="458" ht="21" customHeight="1" spans="1:13">
      <c r="A458" s="5" t="s">
        <v>15</v>
      </c>
      <c r="B458" s="6" t="s">
        <v>59</v>
      </c>
      <c r="C458" s="6" t="s">
        <v>152</v>
      </c>
      <c r="D458" s="6" t="s">
        <v>153</v>
      </c>
      <c r="E458" s="6" t="s">
        <v>471</v>
      </c>
      <c r="F458" s="6" t="s">
        <v>1692</v>
      </c>
      <c r="G458" s="6">
        <v>50.01</v>
      </c>
      <c r="H458" s="6">
        <v>50.44</v>
      </c>
      <c r="I458" s="6">
        <v>86</v>
      </c>
      <c r="J458" s="6">
        <v>2500</v>
      </c>
      <c r="K458" s="7">
        <f>(J458-M458)*税费参数!$B$12/(I458*10000*(1+SUM(税费参数!$B$6:$B$8)))</f>
        <v>0.0263387578129399</v>
      </c>
      <c r="L458" s="7">
        <f>J458*税费参数!$B$12/(I458*10000)</f>
        <v>0.0290697674418605</v>
      </c>
      <c r="M458" s="6">
        <f>I458*10000*SUM(税费参数!$B$9:$B$10)/税费参数!$B$11</f>
        <v>161.25</v>
      </c>
    </row>
    <row r="459" ht="21" customHeight="1" spans="1:13">
      <c r="A459" s="5" t="s">
        <v>15</v>
      </c>
      <c r="B459" s="6" t="s">
        <v>59</v>
      </c>
      <c r="C459" s="6" t="s">
        <v>152</v>
      </c>
      <c r="D459" s="6" t="s">
        <v>153</v>
      </c>
      <c r="E459" s="6" t="s">
        <v>471</v>
      </c>
      <c r="F459" s="6" t="s">
        <v>1693</v>
      </c>
      <c r="G459" s="6">
        <v>50.01</v>
      </c>
      <c r="H459" s="6">
        <v>50.01</v>
      </c>
      <c r="I459" s="6">
        <v>86</v>
      </c>
      <c r="J459" s="6">
        <v>2500</v>
      </c>
      <c r="K459" s="7">
        <f>(J459-M459)*税费参数!$B$12/(I459*10000*(1+SUM(税费参数!$B$6:$B$8)))</f>
        <v>0.0263387578129399</v>
      </c>
      <c r="L459" s="7">
        <f>J459*税费参数!$B$12/(I459*10000)</f>
        <v>0.0290697674418605</v>
      </c>
      <c r="M459" s="6">
        <f>I459*10000*SUM(税费参数!$B$9:$B$10)/税费参数!$B$11</f>
        <v>161.25</v>
      </c>
    </row>
    <row r="460" ht="21" customHeight="1" spans="1:13">
      <c r="A460" s="5" t="s">
        <v>15</v>
      </c>
      <c r="B460" s="6" t="s">
        <v>59</v>
      </c>
      <c r="C460" s="6" t="s">
        <v>152</v>
      </c>
      <c r="D460" s="6" t="s">
        <v>153</v>
      </c>
      <c r="E460" s="6" t="s">
        <v>471</v>
      </c>
      <c r="F460" s="6" t="s">
        <v>1694</v>
      </c>
      <c r="G460" s="6">
        <v>50.01</v>
      </c>
      <c r="H460" s="6">
        <v>50.56</v>
      </c>
      <c r="I460" s="6">
        <v>86</v>
      </c>
      <c r="J460" s="6">
        <v>2250</v>
      </c>
      <c r="K460" s="7">
        <f>(J460-M460)*税费参数!$B$12/(I460*10000*(1+SUM(税费参数!$B$6:$B$8)))</f>
        <v>0.0235232839686919</v>
      </c>
      <c r="L460" s="7">
        <f>J460*税费参数!$B$12/(I460*10000)</f>
        <v>0.0261627906976744</v>
      </c>
      <c r="M460" s="6">
        <f>I460*10000*SUM(税费参数!$B$9:$B$10)/税费参数!$B$11</f>
        <v>161.25</v>
      </c>
    </row>
    <row r="461" ht="21" customHeight="1" spans="1:13">
      <c r="A461" s="5" t="s">
        <v>15</v>
      </c>
      <c r="B461" s="6" t="s">
        <v>59</v>
      </c>
      <c r="C461" s="6" t="s">
        <v>152</v>
      </c>
      <c r="D461" s="6" t="s">
        <v>153</v>
      </c>
      <c r="E461" s="6" t="s">
        <v>471</v>
      </c>
      <c r="F461" s="6" t="s">
        <v>1695</v>
      </c>
      <c r="G461" s="6">
        <v>50.01</v>
      </c>
      <c r="H461" s="6">
        <v>50.44</v>
      </c>
      <c r="I461" s="6">
        <v>86</v>
      </c>
      <c r="J461" s="6">
        <v>2100</v>
      </c>
      <c r="K461" s="7">
        <f>(J461-M461)*税费参数!$B$12/(I461*10000*(1+SUM(税费参数!$B$6:$B$8)))</f>
        <v>0.0218339996621431</v>
      </c>
      <c r="L461" s="7">
        <f>J461*税费参数!$B$12/(I461*10000)</f>
        <v>0.0244186046511628</v>
      </c>
      <c r="M461" s="6">
        <f>I461*10000*SUM(税费参数!$B$9:$B$10)/税费参数!$B$11</f>
        <v>161.25</v>
      </c>
    </row>
    <row r="462" ht="21" customHeight="1" spans="1:13">
      <c r="A462" s="5" t="s">
        <v>15</v>
      </c>
      <c r="B462" s="6" t="s">
        <v>59</v>
      </c>
      <c r="C462" s="6" t="s">
        <v>152</v>
      </c>
      <c r="D462" s="6" t="s">
        <v>153</v>
      </c>
      <c r="E462" s="6" t="s">
        <v>465</v>
      </c>
      <c r="F462" s="6" t="s">
        <v>1683</v>
      </c>
      <c r="G462" s="6">
        <v>50.01</v>
      </c>
      <c r="H462" s="6">
        <v>50.01</v>
      </c>
      <c r="I462" s="6">
        <v>88</v>
      </c>
      <c r="J462" s="6">
        <v>2390</v>
      </c>
      <c r="K462" s="7">
        <f>(J462-M462)*税费参数!$B$12/(I462*10000*(1+SUM(税费参数!$B$6:$B$8)))</f>
        <v>0.024488223640766</v>
      </c>
      <c r="L462" s="7">
        <f>J462*税费参数!$B$12/(I462*10000)</f>
        <v>0.0271590909090909</v>
      </c>
      <c r="M462" s="6">
        <f>I462*10000*SUM(税费参数!$B$9:$B$10)/税费参数!$B$11</f>
        <v>165</v>
      </c>
    </row>
    <row r="463" ht="21" customHeight="1" spans="1:13">
      <c r="A463" s="5" t="s">
        <v>15</v>
      </c>
      <c r="B463" s="6" t="s">
        <v>59</v>
      </c>
      <c r="C463" s="6" t="s">
        <v>152</v>
      </c>
      <c r="D463" s="6" t="s">
        <v>153</v>
      </c>
      <c r="E463" s="6" t="s">
        <v>465</v>
      </c>
      <c r="F463" s="6" t="s">
        <v>1684</v>
      </c>
      <c r="G463" s="6">
        <v>50.01</v>
      </c>
      <c r="H463" s="6">
        <v>46.61</v>
      </c>
      <c r="I463" s="6">
        <v>88</v>
      </c>
      <c r="J463" s="6">
        <v>2830</v>
      </c>
      <c r="K463" s="7">
        <f>(J463-M463)*税费参数!$B$12/(I463*10000*(1+SUM(税费参数!$B$6:$B$8)))</f>
        <v>0.0293308386528726</v>
      </c>
      <c r="L463" s="7">
        <f>J463*税费参数!$B$12/(I463*10000)</f>
        <v>0.0321590909090909</v>
      </c>
      <c r="M463" s="6">
        <f>I463*10000*SUM(税费参数!$B$9:$B$10)/税费参数!$B$11</f>
        <v>165</v>
      </c>
    </row>
    <row r="464" ht="21" customHeight="1" spans="1:13">
      <c r="A464" s="5" t="s">
        <v>15</v>
      </c>
      <c r="B464" s="6" t="s">
        <v>59</v>
      </c>
      <c r="C464" s="6" t="s">
        <v>152</v>
      </c>
      <c r="D464" s="6" t="s">
        <v>153</v>
      </c>
      <c r="E464" s="6" t="s">
        <v>465</v>
      </c>
      <c r="F464" s="6" t="s">
        <v>1685</v>
      </c>
      <c r="G464" s="6">
        <v>50.01</v>
      </c>
      <c r="H464" s="6">
        <v>50.01</v>
      </c>
      <c r="I464" s="6">
        <v>88</v>
      </c>
      <c r="J464" s="6">
        <v>2200</v>
      </c>
      <c r="K464" s="7">
        <f>(J464-M464)*税费参数!$B$12/(I464*10000*(1+SUM(税费参数!$B$6:$B$8)))</f>
        <v>0.0223970944309927</v>
      </c>
      <c r="L464" s="7">
        <f>J464*税费参数!$B$12/(I464*10000)</f>
        <v>0.025</v>
      </c>
      <c r="M464" s="6">
        <f>I464*10000*SUM(税费参数!$B$9:$B$10)/税费参数!$B$11</f>
        <v>165</v>
      </c>
    </row>
    <row r="465" ht="21" customHeight="1" spans="1:13">
      <c r="A465" s="5" t="s">
        <v>15</v>
      </c>
      <c r="B465" s="6" t="s">
        <v>59</v>
      </c>
      <c r="C465" s="6" t="s">
        <v>152</v>
      </c>
      <c r="D465" s="6" t="s">
        <v>153</v>
      </c>
      <c r="E465" s="6" t="s">
        <v>465</v>
      </c>
      <c r="F465" s="6" t="s">
        <v>1686</v>
      </c>
      <c r="G465" s="6">
        <v>50.01</v>
      </c>
      <c r="H465" s="6">
        <v>50.44</v>
      </c>
      <c r="I465" s="6">
        <v>88</v>
      </c>
      <c r="J465" s="6">
        <v>2400</v>
      </c>
      <c r="K465" s="7">
        <f>(J465-M465)*税费参数!$B$12/(I465*10000*(1+SUM(税费参数!$B$6:$B$8)))</f>
        <v>0.0245982830728593</v>
      </c>
      <c r="L465" s="7">
        <f>J465*税费参数!$B$12/(I465*10000)</f>
        <v>0.0272727272727273</v>
      </c>
      <c r="M465" s="6">
        <f>I465*10000*SUM(税费参数!$B$9:$B$10)/税费参数!$B$11</f>
        <v>165</v>
      </c>
    </row>
    <row r="466" ht="21" customHeight="1" spans="1:13">
      <c r="A466" s="5" t="s">
        <v>15</v>
      </c>
      <c r="B466" s="6" t="s">
        <v>59</v>
      </c>
      <c r="C466" s="6" t="s">
        <v>152</v>
      </c>
      <c r="D466" s="6" t="s">
        <v>153</v>
      </c>
      <c r="E466" s="6" t="s">
        <v>465</v>
      </c>
      <c r="F466" s="6" t="s">
        <v>1687</v>
      </c>
      <c r="G466" s="6">
        <v>50.01</v>
      </c>
      <c r="H466" s="6">
        <v>45.55</v>
      </c>
      <c r="I466" s="6">
        <v>88</v>
      </c>
      <c r="J466" s="6">
        <v>2200</v>
      </c>
      <c r="K466" s="7">
        <f>(J466-M466)*税费参数!$B$12/(I466*10000*(1+SUM(税费参数!$B$6:$B$8)))</f>
        <v>0.0223970944309927</v>
      </c>
      <c r="L466" s="7">
        <f>J466*税费参数!$B$12/(I466*10000)</f>
        <v>0.025</v>
      </c>
      <c r="M466" s="6">
        <f>I466*10000*SUM(税费参数!$B$9:$B$10)/税费参数!$B$11</f>
        <v>165</v>
      </c>
    </row>
    <row r="467" ht="21" customHeight="1" spans="1:13">
      <c r="A467" s="5" t="s">
        <v>15</v>
      </c>
      <c r="B467" s="6" t="s">
        <v>59</v>
      </c>
      <c r="C467" s="6" t="s">
        <v>152</v>
      </c>
      <c r="D467" s="6" t="s">
        <v>153</v>
      </c>
      <c r="E467" s="6" t="s">
        <v>465</v>
      </c>
      <c r="F467" s="6" t="s">
        <v>1688</v>
      </c>
      <c r="G467" s="6">
        <v>50.01</v>
      </c>
      <c r="H467" s="6">
        <v>50.13</v>
      </c>
      <c r="I467" s="6">
        <v>88</v>
      </c>
      <c r="J467" s="6">
        <v>2300</v>
      </c>
      <c r="K467" s="7">
        <f>(J467-M467)*税费参数!$B$12/(I467*10000*(1+SUM(税费参数!$B$6:$B$8)))</f>
        <v>0.023497688751926</v>
      </c>
      <c r="L467" s="7">
        <f>J467*税费参数!$B$12/(I467*10000)</f>
        <v>0.0261363636363636</v>
      </c>
      <c r="M467" s="6">
        <f>I467*10000*SUM(税费参数!$B$9:$B$10)/税费参数!$B$11</f>
        <v>165</v>
      </c>
    </row>
    <row r="468" ht="21" customHeight="1" spans="1:13">
      <c r="A468" s="5" t="s">
        <v>15</v>
      </c>
      <c r="B468" s="6" t="s">
        <v>59</v>
      </c>
      <c r="C468" s="6" t="s">
        <v>152</v>
      </c>
      <c r="D468" s="6" t="s">
        <v>153</v>
      </c>
      <c r="E468" s="6" t="s">
        <v>465</v>
      </c>
      <c r="F468" s="6" t="s">
        <v>1689</v>
      </c>
      <c r="G468" s="6">
        <v>50.01</v>
      </c>
      <c r="H468" s="6">
        <v>50</v>
      </c>
      <c r="I468" s="6">
        <v>88</v>
      </c>
      <c r="J468" s="6">
        <v>2270</v>
      </c>
      <c r="K468" s="7">
        <f>(J468-M468)*税费参数!$B$12/(I468*10000*(1+SUM(税费参数!$B$6:$B$8)))</f>
        <v>0.023167510455646</v>
      </c>
      <c r="L468" s="7">
        <f>J468*税费参数!$B$12/(I468*10000)</f>
        <v>0.0257954545454545</v>
      </c>
      <c r="M468" s="6">
        <f>I468*10000*SUM(税费参数!$B$9:$B$10)/税费参数!$B$11</f>
        <v>165</v>
      </c>
    </row>
    <row r="469" ht="21" customHeight="1" spans="1:13">
      <c r="A469" s="5" t="s">
        <v>15</v>
      </c>
      <c r="B469" s="6" t="s">
        <v>59</v>
      </c>
      <c r="C469" s="6" t="s">
        <v>152</v>
      </c>
      <c r="D469" s="6" t="s">
        <v>153</v>
      </c>
      <c r="E469" s="6" t="s">
        <v>465</v>
      </c>
      <c r="F469" s="6" t="s">
        <v>1690</v>
      </c>
      <c r="G469" s="6">
        <v>50.01</v>
      </c>
      <c r="H469" s="6">
        <v>46.61</v>
      </c>
      <c r="I469" s="6">
        <v>88</v>
      </c>
      <c r="J469" s="6">
        <v>2400</v>
      </c>
      <c r="K469" s="7">
        <f>(J469-M469)*税费参数!$B$12/(I469*10000*(1+SUM(税费参数!$B$6:$B$8)))</f>
        <v>0.0245982830728593</v>
      </c>
      <c r="L469" s="7">
        <f>J469*税费参数!$B$12/(I469*10000)</f>
        <v>0.0272727272727273</v>
      </c>
      <c r="M469" s="6">
        <f>I469*10000*SUM(税费参数!$B$9:$B$10)/税费参数!$B$11</f>
        <v>165</v>
      </c>
    </row>
    <row r="470" ht="21" customHeight="1" spans="1:13">
      <c r="A470" s="5" t="s">
        <v>15</v>
      </c>
      <c r="B470" s="6" t="s">
        <v>59</v>
      </c>
      <c r="C470" s="6" t="s">
        <v>152</v>
      </c>
      <c r="D470" s="6" t="s">
        <v>153</v>
      </c>
      <c r="E470" s="6" t="s">
        <v>465</v>
      </c>
      <c r="F470" s="6" t="s">
        <v>1691</v>
      </c>
      <c r="G470" s="6">
        <v>50.01</v>
      </c>
      <c r="H470" s="6">
        <v>50</v>
      </c>
      <c r="I470" s="6">
        <v>88</v>
      </c>
      <c r="J470" s="6">
        <v>2100</v>
      </c>
      <c r="K470" s="7">
        <f>(J470-M470)*税费参数!$B$12/(I470*10000*(1+SUM(税费参数!$B$6:$B$8)))</f>
        <v>0.0212965001100594</v>
      </c>
      <c r="L470" s="7">
        <f>J470*税费参数!$B$12/(I470*10000)</f>
        <v>0.0238636363636364</v>
      </c>
      <c r="M470" s="6">
        <f>I470*10000*SUM(税费参数!$B$9:$B$10)/税费参数!$B$11</f>
        <v>165</v>
      </c>
    </row>
    <row r="471" ht="21" customHeight="1" spans="1:13">
      <c r="A471" s="5" t="s">
        <v>15</v>
      </c>
      <c r="B471" s="6" t="s">
        <v>59</v>
      </c>
      <c r="C471" s="6" t="s">
        <v>152</v>
      </c>
      <c r="D471" s="6" t="s">
        <v>153</v>
      </c>
      <c r="E471" s="6" t="s">
        <v>465</v>
      </c>
      <c r="F471" s="6" t="s">
        <v>1692</v>
      </c>
      <c r="G471" s="6">
        <v>50.01</v>
      </c>
      <c r="H471" s="6">
        <v>50.44</v>
      </c>
      <c r="I471" s="6">
        <v>88</v>
      </c>
      <c r="J471" s="6">
        <v>2500</v>
      </c>
      <c r="K471" s="7">
        <f>(J471-M471)*税费参数!$B$12/(I471*10000*(1+SUM(税费参数!$B$6:$B$8)))</f>
        <v>0.0256988773937926</v>
      </c>
      <c r="L471" s="7">
        <f>J471*税费参数!$B$12/(I471*10000)</f>
        <v>0.0284090909090909</v>
      </c>
      <c r="M471" s="6">
        <f>I471*10000*SUM(税费参数!$B$9:$B$10)/税费参数!$B$11</f>
        <v>165</v>
      </c>
    </row>
    <row r="472" ht="21" customHeight="1" spans="1:13">
      <c r="A472" s="5" t="s">
        <v>15</v>
      </c>
      <c r="B472" s="6" t="s">
        <v>59</v>
      </c>
      <c r="C472" s="6" t="s">
        <v>152</v>
      </c>
      <c r="D472" s="6" t="s">
        <v>153</v>
      </c>
      <c r="E472" s="6" t="s">
        <v>465</v>
      </c>
      <c r="F472" s="6" t="s">
        <v>1693</v>
      </c>
      <c r="G472" s="6">
        <v>50.01</v>
      </c>
      <c r="H472" s="6">
        <v>50.01</v>
      </c>
      <c r="I472" s="6">
        <v>88</v>
      </c>
      <c r="J472" s="6">
        <v>2500</v>
      </c>
      <c r="K472" s="7">
        <f>(J472-M472)*税费参数!$B$12/(I472*10000*(1+SUM(税费参数!$B$6:$B$8)))</f>
        <v>0.0256988773937926</v>
      </c>
      <c r="L472" s="7">
        <f>J472*税费参数!$B$12/(I472*10000)</f>
        <v>0.0284090909090909</v>
      </c>
      <c r="M472" s="6">
        <f>I472*10000*SUM(税费参数!$B$9:$B$10)/税费参数!$B$11</f>
        <v>165</v>
      </c>
    </row>
    <row r="473" ht="21" customHeight="1" spans="1:13">
      <c r="A473" s="5" t="s">
        <v>15</v>
      </c>
      <c r="B473" s="6" t="s">
        <v>59</v>
      </c>
      <c r="C473" s="6" t="s">
        <v>152</v>
      </c>
      <c r="D473" s="6" t="s">
        <v>153</v>
      </c>
      <c r="E473" s="6" t="s">
        <v>465</v>
      </c>
      <c r="F473" s="6" t="s">
        <v>1694</v>
      </c>
      <c r="G473" s="6">
        <v>50.01</v>
      </c>
      <c r="H473" s="6">
        <v>50.56</v>
      </c>
      <c r="I473" s="6">
        <v>88</v>
      </c>
      <c r="J473" s="6">
        <v>2250</v>
      </c>
      <c r="K473" s="7">
        <f>(J473-M473)*税费参数!$B$12/(I473*10000*(1+SUM(税费参数!$B$6:$B$8)))</f>
        <v>0.0229473915914594</v>
      </c>
      <c r="L473" s="7">
        <f>J473*税费参数!$B$12/(I473*10000)</f>
        <v>0.0255681818181818</v>
      </c>
      <c r="M473" s="6">
        <f>I473*10000*SUM(税费参数!$B$9:$B$10)/税费参数!$B$11</f>
        <v>165</v>
      </c>
    </row>
    <row r="474" ht="21" customHeight="1" spans="1:13">
      <c r="A474" s="5" t="s">
        <v>15</v>
      </c>
      <c r="B474" s="6" t="s">
        <v>59</v>
      </c>
      <c r="C474" s="6" t="s">
        <v>152</v>
      </c>
      <c r="D474" s="6" t="s">
        <v>153</v>
      </c>
      <c r="E474" s="6" t="s">
        <v>465</v>
      </c>
      <c r="F474" s="6" t="s">
        <v>1695</v>
      </c>
      <c r="G474" s="6">
        <v>50.01</v>
      </c>
      <c r="H474" s="6">
        <v>50.44</v>
      </c>
      <c r="I474" s="6">
        <v>88</v>
      </c>
      <c r="J474" s="6">
        <v>2100</v>
      </c>
      <c r="K474" s="7">
        <f>(J474-M474)*税费参数!$B$12/(I474*10000*(1+SUM(税费参数!$B$6:$B$8)))</f>
        <v>0.0212965001100594</v>
      </c>
      <c r="L474" s="7">
        <f>J474*税费参数!$B$12/(I474*10000)</f>
        <v>0.0238636363636364</v>
      </c>
      <c r="M474" s="6">
        <f>I474*10000*SUM(税费参数!$B$9:$B$10)/税费参数!$B$11</f>
        <v>165</v>
      </c>
    </row>
    <row r="475" ht="21" customHeight="1" spans="1:13">
      <c r="A475" s="5" t="s">
        <v>15</v>
      </c>
      <c r="B475" s="6" t="s">
        <v>59</v>
      </c>
      <c r="C475" s="6" t="s">
        <v>157</v>
      </c>
      <c r="D475" s="6" t="s">
        <v>153</v>
      </c>
      <c r="E475" s="6" t="s">
        <v>483</v>
      </c>
      <c r="F475" s="6" t="s">
        <v>1696</v>
      </c>
      <c r="G475" s="6">
        <v>60.48</v>
      </c>
      <c r="H475" s="6">
        <v>60.48</v>
      </c>
      <c r="I475" s="6">
        <v>99</v>
      </c>
      <c r="J475" s="6">
        <v>2164</v>
      </c>
      <c r="K475" s="7">
        <f>(J475-M475)*税费参数!$B$12/(I475*10000*(1+SUM(税费参数!$B$6:$B$8)))</f>
        <v>0.0193545625749016</v>
      </c>
      <c r="L475" s="7">
        <f>J475*税费参数!$B$12/(I475*10000)</f>
        <v>0.0218585858585859</v>
      </c>
      <c r="M475" s="6">
        <f>I475*10000*SUM(税费参数!$B$9:$B$10)/税费参数!$B$11</f>
        <v>185.625</v>
      </c>
    </row>
    <row r="476" ht="21" customHeight="1" spans="1:13">
      <c r="A476" s="5" t="s">
        <v>15</v>
      </c>
      <c r="B476" s="6" t="s">
        <v>59</v>
      </c>
      <c r="C476" s="6" t="s">
        <v>157</v>
      </c>
      <c r="D476" s="6" t="s">
        <v>153</v>
      </c>
      <c r="E476" s="6" t="s">
        <v>481</v>
      </c>
      <c r="F476" s="6" t="s">
        <v>1696</v>
      </c>
      <c r="G476" s="6">
        <v>60.78</v>
      </c>
      <c r="H476" s="6">
        <v>60.48</v>
      </c>
      <c r="I476" s="6">
        <v>93</v>
      </c>
      <c r="J476" s="6">
        <v>2164</v>
      </c>
      <c r="K476" s="7">
        <f>(J476-M476)*税费参数!$B$12/(I476*10000*(1+SUM(税费参数!$B$6:$B$8)))</f>
        <v>0.0207204040719623</v>
      </c>
      <c r="L476" s="7">
        <f>J476*税费参数!$B$12/(I476*10000)</f>
        <v>0.0232688172043011</v>
      </c>
      <c r="M476" s="6">
        <f>I476*10000*SUM(税费参数!$B$9:$B$10)/税费参数!$B$11</f>
        <v>174.375</v>
      </c>
    </row>
    <row r="477" ht="21" customHeight="1" spans="1:13">
      <c r="A477" s="5" t="s">
        <v>15</v>
      </c>
      <c r="B477" s="6" t="s">
        <v>59</v>
      </c>
      <c r="C477" s="6" t="s">
        <v>157</v>
      </c>
      <c r="D477" s="6" t="s">
        <v>153</v>
      </c>
      <c r="E477" s="6" t="s">
        <v>485</v>
      </c>
      <c r="F477" s="6" t="s">
        <v>1696</v>
      </c>
      <c r="G477" s="6">
        <v>60.48</v>
      </c>
      <c r="H477" s="6">
        <v>60.48</v>
      </c>
      <c r="I477" s="6">
        <v>112</v>
      </c>
      <c r="J477" s="6">
        <v>2164</v>
      </c>
      <c r="K477" s="7">
        <f>(J477-M477)*税费参数!$B$12/(I477*10000*(1+SUM(税费参数!$B$6:$B$8)))</f>
        <v>0.0168972673815289</v>
      </c>
      <c r="L477" s="7">
        <f>J477*税费参数!$B$12/(I477*10000)</f>
        <v>0.0193214285714286</v>
      </c>
      <c r="M477" s="6">
        <f>I477*10000*SUM(税费参数!$B$9:$B$10)/税费参数!$B$11</f>
        <v>210</v>
      </c>
    </row>
    <row r="478" ht="21" customHeight="1" spans="1:13">
      <c r="A478" s="5" t="s">
        <v>15</v>
      </c>
      <c r="B478" s="6" t="s">
        <v>59</v>
      </c>
      <c r="C478" s="6" t="s">
        <v>157</v>
      </c>
      <c r="D478" s="6" t="s">
        <v>153</v>
      </c>
      <c r="E478" s="6" t="s">
        <v>487</v>
      </c>
      <c r="F478" s="6" t="s">
        <v>1696</v>
      </c>
      <c r="G478" s="6">
        <v>60.78</v>
      </c>
      <c r="H478" s="6">
        <v>60.48</v>
      </c>
      <c r="I478" s="6">
        <v>108</v>
      </c>
      <c r="J478" s="6">
        <v>2164</v>
      </c>
      <c r="K478" s="7">
        <f>(J478-M478)*税费参数!$B$12/(I478*10000*(1+SUM(税费参数!$B$6:$B$8)))</f>
        <v>0.0175903506411981</v>
      </c>
      <c r="L478" s="7">
        <f>J478*税费参数!$B$12/(I478*10000)</f>
        <v>0.020037037037037</v>
      </c>
      <c r="M478" s="6">
        <f>I478*10000*SUM(税费参数!$B$9:$B$10)/税费参数!$B$11</f>
        <v>202.5</v>
      </c>
    </row>
    <row r="479" ht="21" customHeight="1" spans="1:13">
      <c r="A479" s="5" t="s">
        <v>15</v>
      </c>
      <c r="B479" s="6" t="s">
        <v>65</v>
      </c>
      <c r="C479" s="6" t="s">
        <v>152</v>
      </c>
      <c r="D479" s="6" t="s">
        <v>160</v>
      </c>
      <c r="E479" s="6" t="s">
        <v>537</v>
      </c>
      <c r="F479" s="6" t="s">
        <v>1697</v>
      </c>
      <c r="G479" s="6">
        <v>45.58</v>
      </c>
      <c r="H479" s="6">
        <v>41.87</v>
      </c>
      <c r="I479" s="6">
        <v>110</v>
      </c>
      <c r="J479" s="6">
        <v>2100</v>
      </c>
      <c r="K479" s="7">
        <f>(J479-M479)*税费参数!$B$12/(I479*10000*(1+SUM(税费参数!$B$6:$B$8)))</f>
        <v>0.0166740039621396</v>
      </c>
      <c r="L479" s="7">
        <f>J479*税费参数!$B$12/(I479*10000)</f>
        <v>0.0190909090909091</v>
      </c>
      <c r="M479" s="6">
        <f>I479*10000*SUM(税费参数!$B$9:$B$10)/税费参数!$B$11</f>
        <v>206.25</v>
      </c>
    </row>
    <row r="480" ht="21" customHeight="1" spans="1:13">
      <c r="A480" s="5" t="s">
        <v>15</v>
      </c>
      <c r="B480" s="6" t="s">
        <v>65</v>
      </c>
      <c r="C480" s="6" t="s">
        <v>152</v>
      </c>
      <c r="D480" s="6" t="s">
        <v>160</v>
      </c>
      <c r="E480" s="6" t="s">
        <v>537</v>
      </c>
      <c r="F480" s="6" t="s">
        <v>1698</v>
      </c>
      <c r="G480" s="6">
        <v>45.58</v>
      </c>
      <c r="H480" s="6">
        <v>42.77</v>
      </c>
      <c r="I480" s="6">
        <v>110</v>
      </c>
      <c r="J480" s="6">
        <v>2100</v>
      </c>
      <c r="K480" s="7">
        <f>(J480-M480)*税费参数!$B$12/(I480*10000*(1+SUM(税费参数!$B$6:$B$8)))</f>
        <v>0.0166740039621396</v>
      </c>
      <c r="L480" s="7">
        <f>J480*税费参数!$B$12/(I480*10000)</f>
        <v>0.0190909090909091</v>
      </c>
      <c r="M480" s="6">
        <f>I480*10000*SUM(税费参数!$B$9:$B$10)/税费参数!$B$11</f>
        <v>206.25</v>
      </c>
    </row>
    <row r="481" ht="21" customHeight="1" spans="1:13">
      <c r="A481" s="5" t="s">
        <v>15</v>
      </c>
      <c r="B481" s="6" t="s">
        <v>65</v>
      </c>
      <c r="C481" s="6" t="s">
        <v>152</v>
      </c>
      <c r="D481" s="6" t="s">
        <v>160</v>
      </c>
      <c r="E481" s="6" t="s">
        <v>537</v>
      </c>
      <c r="F481" s="6" t="s">
        <v>1699</v>
      </c>
      <c r="G481" s="6">
        <v>45.58</v>
      </c>
      <c r="H481" s="6">
        <v>42.32</v>
      </c>
      <c r="I481" s="6">
        <v>110</v>
      </c>
      <c r="J481" s="6">
        <v>2100</v>
      </c>
      <c r="K481" s="7">
        <f>(J481-M481)*税费参数!$B$12/(I481*10000*(1+SUM(税费参数!$B$6:$B$8)))</f>
        <v>0.0166740039621396</v>
      </c>
      <c r="L481" s="7">
        <f>J481*税费参数!$B$12/(I481*10000)</f>
        <v>0.0190909090909091</v>
      </c>
      <c r="M481" s="6">
        <f>I481*10000*SUM(税费参数!$B$9:$B$10)/税费参数!$B$11</f>
        <v>206.25</v>
      </c>
    </row>
    <row r="482" ht="21" customHeight="1" spans="1:13">
      <c r="A482" s="5" t="s">
        <v>15</v>
      </c>
      <c r="B482" s="6" t="s">
        <v>65</v>
      </c>
      <c r="C482" s="6" t="s">
        <v>152</v>
      </c>
      <c r="D482" s="6" t="s">
        <v>160</v>
      </c>
      <c r="E482" s="6" t="s">
        <v>539</v>
      </c>
      <c r="F482" s="6" t="s">
        <v>1697</v>
      </c>
      <c r="G482" s="6">
        <v>41.41</v>
      </c>
      <c r="H482" s="6">
        <v>41.87</v>
      </c>
      <c r="I482" s="6">
        <v>104</v>
      </c>
      <c r="J482" s="6">
        <v>2100</v>
      </c>
      <c r="K482" s="7">
        <f>(J482-M482)*税费参数!$B$12/(I482*10000*(1+SUM(税费参数!$B$6:$B$8)))</f>
        <v>0.0177407338424288</v>
      </c>
      <c r="L482" s="7">
        <f>J482*税费参数!$B$12/(I482*10000)</f>
        <v>0.0201923076923077</v>
      </c>
      <c r="M482" s="6">
        <f>I482*10000*SUM(税费参数!$B$9:$B$10)/税费参数!$B$11</f>
        <v>195</v>
      </c>
    </row>
    <row r="483" ht="21" customHeight="1" spans="1:13">
      <c r="A483" s="5" t="s">
        <v>15</v>
      </c>
      <c r="B483" s="6" t="s">
        <v>65</v>
      </c>
      <c r="C483" s="6" t="s">
        <v>152</v>
      </c>
      <c r="D483" s="6" t="s">
        <v>160</v>
      </c>
      <c r="E483" s="6" t="s">
        <v>539</v>
      </c>
      <c r="F483" s="6" t="s">
        <v>1698</v>
      </c>
      <c r="G483" s="6">
        <v>41.41</v>
      </c>
      <c r="H483" s="6">
        <v>42.77</v>
      </c>
      <c r="I483" s="6">
        <v>104</v>
      </c>
      <c r="J483" s="6">
        <v>2100</v>
      </c>
      <c r="K483" s="7">
        <f>(J483-M483)*税费参数!$B$12/(I483*10000*(1+SUM(税费参数!$B$6:$B$8)))</f>
        <v>0.0177407338424288</v>
      </c>
      <c r="L483" s="7">
        <f>J483*税费参数!$B$12/(I483*10000)</f>
        <v>0.0201923076923077</v>
      </c>
      <c r="M483" s="6">
        <f>I483*10000*SUM(税费参数!$B$9:$B$10)/税费参数!$B$11</f>
        <v>195</v>
      </c>
    </row>
    <row r="484" ht="21" customHeight="1" spans="1:13">
      <c r="A484" s="5" t="s">
        <v>15</v>
      </c>
      <c r="B484" s="6" t="s">
        <v>65</v>
      </c>
      <c r="C484" s="6" t="s">
        <v>152</v>
      </c>
      <c r="D484" s="6" t="s">
        <v>160</v>
      </c>
      <c r="E484" s="6" t="s">
        <v>539</v>
      </c>
      <c r="F484" s="6" t="s">
        <v>1699</v>
      </c>
      <c r="G484" s="6">
        <v>41.41</v>
      </c>
      <c r="H484" s="6">
        <v>42.32</v>
      </c>
      <c r="I484" s="6">
        <v>104</v>
      </c>
      <c r="J484" s="6">
        <v>2100</v>
      </c>
      <c r="K484" s="7">
        <f>(J484-M484)*税费参数!$B$12/(I484*10000*(1+SUM(税费参数!$B$6:$B$8)))</f>
        <v>0.0177407338424288</v>
      </c>
      <c r="L484" s="7">
        <f>J484*税费参数!$B$12/(I484*10000)</f>
        <v>0.0201923076923077</v>
      </c>
      <c r="M484" s="6">
        <f>I484*10000*SUM(税费参数!$B$9:$B$10)/税费参数!$B$11</f>
        <v>195</v>
      </c>
    </row>
    <row r="485" ht="21" customHeight="1" spans="1:13">
      <c r="A485" s="5" t="s">
        <v>15</v>
      </c>
      <c r="B485" s="6" t="s">
        <v>65</v>
      </c>
      <c r="C485" s="6" t="s">
        <v>152</v>
      </c>
      <c r="D485" s="6" t="s">
        <v>153</v>
      </c>
      <c r="E485" s="6" t="s">
        <v>543</v>
      </c>
      <c r="F485" s="6" t="s">
        <v>1700</v>
      </c>
      <c r="G485" s="6">
        <v>58.91</v>
      </c>
      <c r="H485" s="6">
        <v>58.91</v>
      </c>
      <c r="I485" s="6">
        <v>108</v>
      </c>
      <c r="J485" s="6">
        <v>2200</v>
      </c>
      <c r="K485" s="7">
        <f>(J485-M485)*税费参数!$B$12/(I485*10000*(1+SUM(税费参数!$B$6:$B$8)))</f>
        <v>0.0179131916420052</v>
      </c>
      <c r="L485" s="7">
        <f>J485*税费参数!$B$12/(I485*10000)</f>
        <v>0.0203703703703704</v>
      </c>
      <c r="M485" s="6">
        <f>I485*10000*SUM(税费参数!$B$9:$B$10)/税费参数!$B$11</f>
        <v>202.5</v>
      </c>
    </row>
    <row r="486" ht="21" customHeight="1" spans="1:13">
      <c r="A486" s="5" t="s">
        <v>15</v>
      </c>
      <c r="B486" s="6" t="s">
        <v>65</v>
      </c>
      <c r="C486" s="6" t="s">
        <v>152</v>
      </c>
      <c r="D486" s="6" t="s">
        <v>153</v>
      </c>
      <c r="E486" s="6" t="s">
        <v>543</v>
      </c>
      <c r="F486" s="6" t="s">
        <v>1701</v>
      </c>
      <c r="G486" s="6">
        <v>58.91</v>
      </c>
      <c r="H486" s="6">
        <v>58.63</v>
      </c>
      <c r="I486" s="6">
        <v>108</v>
      </c>
      <c r="J486" s="6">
        <v>2250</v>
      </c>
      <c r="K486" s="7">
        <f>(J486-M486)*税费参数!$B$12/(I486*10000*(1+SUM(税费参数!$B$6:$B$8)))</f>
        <v>0.018361581920904</v>
      </c>
      <c r="L486" s="7">
        <f>J486*税费参数!$B$12/(I486*10000)</f>
        <v>0.0208333333333333</v>
      </c>
      <c r="M486" s="6">
        <f>I486*10000*SUM(税费参数!$B$9:$B$10)/税费参数!$B$11</f>
        <v>202.5</v>
      </c>
    </row>
    <row r="487" ht="21" customHeight="1" spans="1:13">
      <c r="A487" s="5" t="s">
        <v>15</v>
      </c>
      <c r="B487" s="6" t="s">
        <v>65</v>
      </c>
      <c r="C487" s="6" t="s">
        <v>152</v>
      </c>
      <c r="D487" s="6" t="s">
        <v>153</v>
      </c>
      <c r="E487" s="6" t="s">
        <v>543</v>
      </c>
      <c r="F487" s="6" t="s">
        <v>1702</v>
      </c>
      <c r="G487" s="6">
        <v>58.91</v>
      </c>
      <c r="H487" s="6">
        <v>58.51</v>
      </c>
      <c r="I487" s="6">
        <v>108</v>
      </c>
      <c r="J487" s="6">
        <v>2600</v>
      </c>
      <c r="K487" s="7">
        <f>(J487-M487)*税费参数!$B$12/(I487*10000*(1+SUM(税费参数!$B$6:$B$8)))</f>
        <v>0.0215003138731952</v>
      </c>
      <c r="L487" s="7">
        <f>J487*税费参数!$B$12/(I487*10000)</f>
        <v>0.0240740740740741</v>
      </c>
      <c r="M487" s="6">
        <f>I487*10000*SUM(税费参数!$B$9:$B$10)/税费参数!$B$11</f>
        <v>202.5</v>
      </c>
    </row>
    <row r="488" ht="21" customHeight="1" spans="1:13">
      <c r="A488" s="5" t="s">
        <v>15</v>
      </c>
      <c r="B488" s="6" t="s">
        <v>65</v>
      </c>
      <c r="C488" s="6" t="s">
        <v>152</v>
      </c>
      <c r="D488" s="6" t="s">
        <v>153</v>
      </c>
      <c r="E488" s="6" t="s">
        <v>543</v>
      </c>
      <c r="F488" s="6" t="s">
        <v>1703</v>
      </c>
      <c r="G488" s="6">
        <v>58.91</v>
      </c>
      <c r="H488" s="6">
        <v>58.51</v>
      </c>
      <c r="I488" s="6">
        <v>108</v>
      </c>
      <c r="J488" s="6">
        <v>2300</v>
      </c>
      <c r="K488" s="7">
        <f>(J488-M488)*税费参数!$B$12/(I488*10000*(1+SUM(税费参数!$B$6:$B$8)))</f>
        <v>0.0188099721998027</v>
      </c>
      <c r="L488" s="7">
        <f>J488*税费参数!$B$12/(I488*10000)</f>
        <v>0.0212962962962963</v>
      </c>
      <c r="M488" s="6">
        <f>I488*10000*SUM(税费参数!$B$9:$B$10)/税费参数!$B$11</f>
        <v>202.5</v>
      </c>
    </row>
    <row r="489" ht="21" customHeight="1" spans="1:13">
      <c r="A489" s="5" t="s">
        <v>15</v>
      </c>
      <c r="B489" s="6" t="s">
        <v>65</v>
      </c>
      <c r="C489" s="6" t="s">
        <v>152</v>
      </c>
      <c r="D489" s="6" t="s">
        <v>153</v>
      </c>
      <c r="E489" s="6" t="s">
        <v>543</v>
      </c>
      <c r="F489" s="6" t="s">
        <v>1704</v>
      </c>
      <c r="G489" s="6">
        <v>58.91</v>
      </c>
      <c r="H489" s="6">
        <v>58.63</v>
      </c>
      <c r="I489" s="6">
        <v>108</v>
      </c>
      <c r="J489" s="6">
        <v>2400</v>
      </c>
      <c r="K489" s="7">
        <f>(J489-M489)*税费参数!$B$12/(I489*10000*(1+SUM(税费参数!$B$6:$B$8)))</f>
        <v>0.0197067527576002</v>
      </c>
      <c r="L489" s="7">
        <f>J489*税费参数!$B$12/(I489*10000)</f>
        <v>0.0222222222222222</v>
      </c>
      <c r="M489" s="6">
        <f>I489*10000*SUM(税费参数!$B$9:$B$10)/税费参数!$B$11</f>
        <v>202.5</v>
      </c>
    </row>
    <row r="490" ht="21" customHeight="1" spans="1:13">
      <c r="A490" s="5" t="s">
        <v>15</v>
      </c>
      <c r="B490" s="6" t="s">
        <v>65</v>
      </c>
      <c r="C490" s="6" t="s">
        <v>152</v>
      </c>
      <c r="D490" s="6" t="s">
        <v>153</v>
      </c>
      <c r="E490" s="6" t="s">
        <v>543</v>
      </c>
      <c r="F490" s="6" t="s">
        <v>1705</v>
      </c>
      <c r="G490" s="6">
        <v>58.91</v>
      </c>
      <c r="H490" s="6">
        <v>59.02</v>
      </c>
      <c r="I490" s="6">
        <v>108</v>
      </c>
      <c r="J490" s="6">
        <v>2200</v>
      </c>
      <c r="K490" s="7">
        <f>(J490-M490)*税费参数!$B$12/(I490*10000*(1+SUM(税费参数!$B$6:$B$8)))</f>
        <v>0.0179131916420052</v>
      </c>
      <c r="L490" s="7">
        <f>J490*税费参数!$B$12/(I490*10000)</f>
        <v>0.0203703703703704</v>
      </c>
      <c r="M490" s="6">
        <f>I490*10000*SUM(税费参数!$B$9:$B$10)/税费参数!$B$11</f>
        <v>202.5</v>
      </c>
    </row>
    <row r="491" ht="21" customHeight="1" spans="1:13">
      <c r="A491" s="5" t="s">
        <v>15</v>
      </c>
      <c r="B491" s="6" t="s">
        <v>65</v>
      </c>
      <c r="C491" s="6" t="s">
        <v>152</v>
      </c>
      <c r="D491" s="6" t="s">
        <v>153</v>
      </c>
      <c r="E491" s="6" t="s">
        <v>541</v>
      </c>
      <c r="F491" s="6" t="s">
        <v>1700</v>
      </c>
      <c r="G491" s="6">
        <v>58.51</v>
      </c>
      <c r="H491" s="6">
        <v>58.91</v>
      </c>
      <c r="I491" s="6">
        <v>107</v>
      </c>
      <c r="J491" s="6">
        <v>2200</v>
      </c>
      <c r="K491" s="7">
        <f>(J491-M491)*税费参数!$B$12/(I491*10000*(1+SUM(税费参数!$B$6:$B$8)))</f>
        <v>0.0180975764295897</v>
      </c>
      <c r="L491" s="7">
        <f>J491*税费参数!$B$12/(I491*10000)</f>
        <v>0.0205607476635514</v>
      </c>
      <c r="M491" s="6">
        <f>I491*10000*SUM(税费参数!$B$9:$B$10)/税费参数!$B$11</f>
        <v>200.625</v>
      </c>
    </row>
    <row r="492" ht="21" customHeight="1" spans="1:13">
      <c r="A492" s="5" t="s">
        <v>15</v>
      </c>
      <c r="B492" s="6" t="s">
        <v>65</v>
      </c>
      <c r="C492" s="6" t="s">
        <v>152</v>
      </c>
      <c r="D492" s="6" t="s">
        <v>153</v>
      </c>
      <c r="E492" s="6" t="s">
        <v>541</v>
      </c>
      <c r="F492" s="6" t="s">
        <v>1701</v>
      </c>
      <c r="G492" s="6">
        <v>58.51</v>
      </c>
      <c r="H492" s="6">
        <v>58.63</v>
      </c>
      <c r="I492" s="6">
        <v>107</v>
      </c>
      <c r="J492" s="6">
        <v>2250</v>
      </c>
      <c r="K492" s="7">
        <f>(J492-M492)*税费参数!$B$12/(I492*10000*(1+SUM(税费参数!$B$6:$B$8)))</f>
        <v>0.0185501572718427</v>
      </c>
      <c r="L492" s="7">
        <f>J492*税费参数!$B$12/(I492*10000)</f>
        <v>0.0210280373831776</v>
      </c>
      <c r="M492" s="6">
        <f>I492*10000*SUM(税费参数!$B$9:$B$10)/税费参数!$B$11</f>
        <v>200.625</v>
      </c>
    </row>
    <row r="493" ht="21" customHeight="1" spans="1:13">
      <c r="A493" s="5" t="s">
        <v>15</v>
      </c>
      <c r="B493" s="6" t="s">
        <v>65</v>
      </c>
      <c r="C493" s="6" t="s">
        <v>152</v>
      </c>
      <c r="D493" s="6" t="s">
        <v>153</v>
      </c>
      <c r="E493" s="6" t="s">
        <v>541</v>
      </c>
      <c r="F493" s="6" t="s">
        <v>1702</v>
      </c>
      <c r="G493" s="6">
        <v>58.51</v>
      </c>
      <c r="H493" s="6">
        <v>58.51</v>
      </c>
      <c r="I493" s="6">
        <v>107</v>
      </c>
      <c r="J493" s="6">
        <v>2600</v>
      </c>
      <c r="K493" s="7">
        <f>(J493-M493)*税费参数!$B$12/(I493*10000*(1+SUM(税费参数!$B$6:$B$8)))</f>
        <v>0.0217182231676133</v>
      </c>
      <c r="L493" s="7">
        <f>J493*税费参数!$B$12/(I493*10000)</f>
        <v>0.0242990654205607</v>
      </c>
      <c r="M493" s="6">
        <f>I493*10000*SUM(税费参数!$B$9:$B$10)/税费参数!$B$11</f>
        <v>200.625</v>
      </c>
    </row>
    <row r="494" ht="21" customHeight="1" spans="1:13">
      <c r="A494" s="5" t="s">
        <v>15</v>
      </c>
      <c r="B494" s="6" t="s">
        <v>65</v>
      </c>
      <c r="C494" s="6" t="s">
        <v>152</v>
      </c>
      <c r="D494" s="6" t="s">
        <v>153</v>
      </c>
      <c r="E494" s="6" t="s">
        <v>541</v>
      </c>
      <c r="F494" s="6" t="s">
        <v>1703</v>
      </c>
      <c r="G494" s="6">
        <v>58.51</v>
      </c>
      <c r="H494" s="6">
        <v>58.51</v>
      </c>
      <c r="I494" s="6">
        <v>107</v>
      </c>
      <c r="J494" s="6">
        <v>2300</v>
      </c>
      <c r="K494" s="7">
        <f>(J494-M494)*税费参数!$B$12/(I494*10000*(1+SUM(税费参数!$B$6:$B$8)))</f>
        <v>0.0190027381140956</v>
      </c>
      <c r="L494" s="7">
        <f>J494*税费参数!$B$12/(I494*10000)</f>
        <v>0.0214953271028037</v>
      </c>
      <c r="M494" s="6">
        <f>I494*10000*SUM(税费参数!$B$9:$B$10)/税费参数!$B$11</f>
        <v>200.625</v>
      </c>
    </row>
    <row r="495" ht="21" customHeight="1" spans="1:13">
      <c r="A495" s="5" t="s">
        <v>15</v>
      </c>
      <c r="B495" s="6" t="s">
        <v>65</v>
      </c>
      <c r="C495" s="6" t="s">
        <v>152</v>
      </c>
      <c r="D495" s="6" t="s">
        <v>153</v>
      </c>
      <c r="E495" s="6" t="s">
        <v>541</v>
      </c>
      <c r="F495" s="6" t="s">
        <v>1704</v>
      </c>
      <c r="G495" s="6">
        <v>58.51</v>
      </c>
      <c r="H495" s="6">
        <v>58.63</v>
      </c>
      <c r="I495" s="6">
        <v>107</v>
      </c>
      <c r="J495" s="6">
        <v>2400</v>
      </c>
      <c r="K495" s="7">
        <f>(J495-M495)*税费参数!$B$12/(I495*10000*(1+SUM(税费参数!$B$6:$B$8)))</f>
        <v>0.0199078997986015</v>
      </c>
      <c r="L495" s="7">
        <f>J495*税费参数!$B$12/(I495*10000)</f>
        <v>0.0224299065420561</v>
      </c>
      <c r="M495" s="6">
        <f>I495*10000*SUM(税费参数!$B$9:$B$10)/税费参数!$B$11</f>
        <v>200.625</v>
      </c>
    </row>
    <row r="496" ht="21" customHeight="1" spans="1:13">
      <c r="A496" s="5" t="s">
        <v>15</v>
      </c>
      <c r="B496" s="6" t="s">
        <v>65</v>
      </c>
      <c r="C496" s="6" t="s">
        <v>152</v>
      </c>
      <c r="D496" s="6" t="s">
        <v>153</v>
      </c>
      <c r="E496" s="6" t="s">
        <v>541</v>
      </c>
      <c r="F496" s="6" t="s">
        <v>1705</v>
      </c>
      <c r="G496" s="6">
        <v>58.51</v>
      </c>
      <c r="H496" s="6">
        <v>59.02</v>
      </c>
      <c r="I496" s="6">
        <v>107</v>
      </c>
      <c r="J496" s="6">
        <v>2200</v>
      </c>
      <c r="K496" s="7">
        <f>(J496-M496)*税费参数!$B$12/(I496*10000*(1+SUM(税费参数!$B$6:$B$8)))</f>
        <v>0.0180975764295897</v>
      </c>
      <c r="L496" s="7">
        <f>J496*税费参数!$B$12/(I496*10000)</f>
        <v>0.0205607476635514</v>
      </c>
      <c r="M496" s="6">
        <f>I496*10000*SUM(税费参数!$B$9:$B$10)/税费参数!$B$11</f>
        <v>200.625</v>
      </c>
    </row>
    <row r="497" ht="21" customHeight="1" spans="1:13">
      <c r="A497" s="5" t="s">
        <v>15</v>
      </c>
      <c r="B497" s="6" t="s">
        <v>65</v>
      </c>
      <c r="C497" s="6" t="s">
        <v>152</v>
      </c>
      <c r="D497" s="6" t="s">
        <v>153</v>
      </c>
      <c r="E497" s="6" t="s">
        <v>549</v>
      </c>
      <c r="F497" s="6" t="s">
        <v>1700</v>
      </c>
      <c r="G497" s="6">
        <v>59.02</v>
      </c>
      <c r="H497" s="6">
        <v>58.91</v>
      </c>
      <c r="I497" s="6">
        <v>110</v>
      </c>
      <c r="J497" s="6">
        <v>2200</v>
      </c>
      <c r="K497" s="7">
        <f>(J497-M497)*税费参数!$B$12/(I497*10000*(1+SUM(税费参数!$B$6:$B$8)))</f>
        <v>0.0175544794188862</v>
      </c>
      <c r="L497" s="7">
        <f>J497*税费参数!$B$12/(I497*10000)</f>
        <v>0.02</v>
      </c>
      <c r="M497" s="6">
        <f>I497*10000*SUM(税费参数!$B$9:$B$10)/税费参数!$B$11</f>
        <v>206.25</v>
      </c>
    </row>
    <row r="498" ht="21" customHeight="1" spans="1:13">
      <c r="A498" s="5" t="s">
        <v>15</v>
      </c>
      <c r="B498" s="6" t="s">
        <v>65</v>
      </c>
      <c r="C498" s="6" t="s">
        <v>152</v>
      </c>
      <c r="D498" s="6" t="s">
        <v>153</v>
      </c>
      <c r="E498" s="6" t="s">
        <v>549</v>
      </c>
      <c r="F498" s="6" t="s">
        <v>1701</v>
      </c>
      <c r="G498" s="6">
        <v>59.02</v>
      </c>
      <c r="H498" s="6">
        <v>58.63</v>
      </c>
      <c r="I498" s="6">
        <v>110</v>
      </c>
      <c r="J498" s="6">
        <v>2250</v>
      </c>
      <c r="K498" s="7">
        <f>(J498-M498)*税费参数!$B$12/(I498*10000*(1+SUM(税费参数!$B$6:$B$8)))</f>
        <v>0.0179947171472595</v>
      </c>
      <c r="L498" s="7">
        <f>J498*税费参数!$B$12/(I498*10000)</f>
        <v>0.0204545454545455</v>
      </c>
      <c r="M498" s="6">
        <f>I498*10000*SUM(税费参数!$B$9:$B$10)/税费参数!$B$11</f>
        <v>206.25</v>
      </c>
    </row>
    <row r="499" ht="21" customHeight="1" spans="1:13">
      <c r="A499" s="5" t="s">
        <v>15</v>
      </c>
      <c r="B499" s="6" t="s">
        <v>65</v>
      </c>
      <c r="C499" s="6" t="s">
        <v>152</v>
      </c>
      <c r="D499" s="6" t="s">
        <v>153</v>
      </c>
      <c r="E499" s="6" t="s">
        <v>549</v>
      </c>
      <c r="F499" s="6" t="s">
        <v>1702</v>
      </c>
      <c r="G499" s="6">
        <v>59.02</v>
      </c>
      <c r="H499" s="6">
        <v>58.51</v>
      </c>
      <c r="I499" s="6">
        <v>110</v>
      </c>
      <c r="J499" s="6">
        <v>2600</v>
      </c>
      <c r="K499" s="7">
        <f>(J499-M499)*税费参数!$B$12/(I499*10000*(1+SUM(税费参数!$B$6:$B$8)))</f>
        <v>0.0210763812458728</v>
      </c>
      <c r="L499" s="7">
        <f>J499*税费参数!$B$12/(I499*10000)</f>
        <v>0.0236363636363636</v>
      </c>
      <c r="M499" s="6">
        <f>I499*10000*SUM(税费参数!$B$9:$B$10)/税费参数!$B$11</f>
        <v>206.25</v>
      </c>
    </row>
    <row r="500" ht="21" customHeight="1" spans="1:13">
      <c r="A500" s="5" t="s">
        <v>15</v>
      </c>
      <c r="B500" s="6" t="s">
        <v>65</v>
      </c>
      <c r="C500" s="6" t="s">
        <v>152</v>
      </c>
      <c r="D500" s="6" t="s">
        <v>153</v>
      </c>
      <c r="E500" s="6" t="s">
        <v>549</v>
      </c>
      <c r="F500" s="6" t="s">
        <v>1703</v>
      </c>
      <c r="G500" s="6">
        <v>59.02</v>
      </c>
      <c r="H500" s="6">
        <v>58.51</v>
      </c>
      <c r="I500" s="6">
        <v>110</v>
      </c>
      <c r="J500" s="6">
        <v>2300</v>
      </c>
      <c r="K500" s="7">
        <f>(J500-M500)*税费参数!$B$12/(I500*10000*(1+SUM(税费参数!$B$6:$B$8)))</f>
        <v>0.0184349548756328</v>
      </c>
      <c r="L500" s="7">
        <f>J500*税费参数!$B$12/(I500*10000)</f>
        <v>0.0209090909090909</v>
      </c>
      <c r="M500" s="6">
        <f>I500*10000*SUM(税费参数!$B$9:$B$10)/税费参数!$B$11</f>
        <v>206.25</v>
      </c>
    </row>
    <row r="501" ht="21" customHeight="1" spans="1:13">
      <c r="A501" s="5" t="s">
        <v>15</v>
      </c>
      <c r="B501" s="6" t="s">
        <v>65</v>
      </c>
      <c r="C501" s="6" t="s">
        <v>152</v>
      </c>
      <c r="D501" s="6" t="s">
        <v>153</v>
      </c>
      <c r="E501" s="6" t="s">
        <v>549</v>
      </c>
      <c r="F501" s="6" t="s">
        <v>1704</v>
      </c>
      <c r="G501" s="6">
        <v>59.02</v>
      </c>
      <c r="H501" s="6">
        <v>58.63</v>
      </c>
      <c r="I501" s="6">
        <v>110</v>
      </c>
      <c r="J501" s="6">
        <v>2400</v>
      </c>
      <c r="K501" s="7">
        <f>(J501-M501)*税费参数!$B$12/(I501*10000*(1+SUM(税费参数!$B$6:$B$8)))</f>
        <v>0.0193154303323795</v>
      </c>
      <c r="L501" s="7">
        <f>J501*税费参数!$B$12/(I501*10000)</f>
        <v>0.0218181818181818</v>
      </c>
      <c r="M501" s="6">
        <f>I501*10000*SUM(税费参数!$B$9:$B$10)/税费参数!$B$11</f>
        <v>206.25</v>
      </c>
    </row>
    <row r="502" ht="21" customHeight="1" spans="1:13">
      <c r="A502" s="5" t="s">
        <v>15</v>
      </c>
      <c r="B502" s="6" t="s">
        <v>65</v>
      </c>
      <c r="C502" s="6" t="s">
        <v>152</v>
      </c>
      <c r="D502" s="6" t="s">
        <v>153</v>
      </c>
      <c r="E502" s="6" t="s">
        <v>549</v>
      </c>
      <c r="F502" s="6" t="s">
        <v>1705</v>
      </c>
      <c r="G502" s="6">
        <v>59.02</v>
      </c>
      <c r="H502" s="6">
        <v>59.02</v>
      </c>
      <c r="I502" s="6">
        <v>110</v>
      </c>
      <c r="J502" s="6">
        <v>2200</v>
      </c>
      <c r="K502" s="7">
        <f>(J502-M502)*税费参数!$B$12/(I502*10000*(1+SUM(税费参数!$B$6:$B$8)))</f>
        <v>0.0175544794188862</v>
      </c>
      <c r="L502" s="7">
        <f>J502*税费参数!$B$12/(I502*10000)</f>
        <v>0.02</v>
      </c>
      <c r="M502" s="6">
        <f>I502*10000*SUM(税费参数!$B$9:$B$10)/税费参数!$B$11</f>
        <v>206.25</v>
      </c>
    </row>
    <row r="503" ht="21" customHeight="1" spans="1:13">
      <c r="A503" s="5" t="s">
        <v>15</v>
      </c>
      <c r="B503" s="6" t="s">
        <v>65</v>
      </c>
      <c r="C503" s="6" t="s">
        <v>152</v>
      </c>
      <c r="D503" s="6" t="s">
        <v>153</v>
      </c>
      <c r="E503" s="6" t="s">
        <v>547</v>
      </c>
      <c r="F503" s="6" t="s">
        <v>1700</v>
      </c>
      <c r="G503" s="6">
        <v>59.02</v>
      </c>
      <c r="H503" s="6">
        <v>58.91</v>
      </c>
      <c r="I503" s="6">
        <v>99</v>
      </c>
      <c r="J503" s="6">
        <v>2200</v>
      </c>
      <c r="K503" s="7">
        <f>(J503-M503)*税费参数!$B$12/(I503*10000*(1+SUM(税费参数!$B$6:$B$8)))</f>
        <v>0.0197067527576002</v>
      </c>
      <c r="L503" s="7">
        <f>J503*税费参数!$B$12/(I503*10000)</f>
        <v>0.0222222222222222</v>
      </c>
      <c r="M503" s="6">
        <f>I503*10000*SUM(税费参数!$B$9:$B$10)/税费参数!$B$11</f>
        <v>185.625</v>
      </c>
    </row>
    <row r="504" ht="21" customHeight="1" spans="1:13">
      <c r="A504" s="5" t="s">
        <v>15</v>
      </c>
      <c r="B504" s="6" t="s">
        <v>65</v>
      </c>
      <c r="C504" s="6" t="s">
        <v>152</v>
      </c>
      <c r="D504" s="6" t="s">
        <v>153</v>
      </c>
      <c r="E504" s="6" t="s">
        <v>547</v>
      </c>
      <c r="F504" s="6" t="s">
        <v>1701</v>
      </c>
      <c r="G504" s="6">
        <v>59.02</v>
      </c>
      <c r="H504" s="6">
        <v>58.63</v>
      </c>
      <c r="I504" s="6">
        <v>99</v>
      </c>
      <c r="J504" s="6">
        <v>2250</v>
      </c>
      <c r="K504" s="7">
        <f>(J504-M504)*税费参数!$B$12/(I504*10000*(1+SUM(税费参数!$B$6:$B$8)))</f>
        <v>0.0201959057891261</v>
      </c>
      <c r="L504" s="7">
        <f>J504*税费参数!$B$12/(I504*10000)</f>
        <v>0.0227272727272727</v>
      </c>
      <c r="M504" s="6">
        <f>I504*10000*SUM(税费参数!$B$9:$B$10)/税费参数!$B$11</f>
        <v>185.625</v>
      </c>
    </row>
    <row r="505" ht="21" customHeight="1" spans="1:13">
      <c r="A505" s="5" t="s">
        <v>15</v>
      </c>
      <c r="B505" s="6" t="s">
        <v>65</v>
      </c>
      <c r="C505" s="6" t="s">
        <v>152</v>
      </c>
      <c r="D505" s="6" t="s">
        <v>153</v>
      </c>
      <c r="E505" s="6" t="s">
        <v>547</v>
      </c>
      <c r="F505" s="6" t="s">
        <v>1702</v>
      </c>
      <c r="G505" s="6">
        <v>59.02</v>
      </c>
      <c r="H505" s="6">
        <v>58.51</v>
      </c>
      <c r="I505" s="6">
        <v>99</v>
      </c>
      <c r="J505" s="6">
        <v>2600</v>
      </c>
      <c r="K505" s="7">
        <f>(J505-M505)*税费参数!$B$12/(I505*10000*(1+SUM(税费参数!$B$6:$B$8)))</f>
        <v>0.0236199770098075</v>
      </c>
      <c r="L505" s="7">
        <f>J505*税费参数!$B$12/(I505*10000)</f>
        <v>0.0262626262626263</v>
      </c>
      <c r="M505" s="6">
        <f>I505*10000*SUM(税费参数!$B$9:$B$10)/税费参数!$B$11</f>
        <v>185.625</v>
      </c>
    </row>
    <row r="506" ht="21" customHeight="1" spans="1:13">
      <c r="A506" s="5" t="s">
        <v>15</v>
      </c>
      <c r="B506" s="6" t="s">
        <v>65</v>
      </c>
      <c r="C506" s="6" t="s">
        <v>152</v>
      </c>
      <c r="D506" s="6" t="s">
        <v>153</v>
      </c>
      <c r="E506" s="6" t="s">
        <v>547</v>
      </c>
      <c r="F506" s="6" t="s">
        <v>1703</v>
      </c>
      <c r="G506" s="6">
        <v>59.02</v>
      </c>
      <c r="H506" s="6">
        <v>58.51</v>
      </c>
      <c r="I506" s="6">
        <v>99</v>
      </c>
      <c r="J506" s="6">
        <v>2300</v>
      </c>
      <c r="K506" s="7">
        <f>(J506-M506)*税费参数!$B$12/(I506*10000*(1+SUM(税费参数!$B$6:$B$8)))</f>
        <v>0.020685058820652</v>
      </c>
      <c r="L506" s="7">
        <f>J506*税费参数!$B$12/(I506*10000)</f>
        <v>0.0232323232323232</v>
      </c>
      <c r="M506" s="6">
        <f>I506*10000*SUM(税费参数!$B$9:$B$10)/税费参数!$B$11</f>
        <v>185.625</v>
      </c>
    </row>
    <row r="507" ht="21" customHeight="1" spans="1:13">
      <c r="A507" s="5" t="s">
        <v>15</v>
      </c>
      <c r="B507" s="6" t="s">
        <v>65</v>
      </c>
      <c r="C507" s="6" t="s">
        <v>152</v>
      </c>
      <c r="D507" s="6" t="s">
        <v>153</v>
      </c>
      <c r="E507" s="6" t="s">
        <v>547</v>
      </c>
      <c r="F507" s="6" t="s">
        <v>1704</v>
      </c>
      <c r="G507" s="6">
        <v>59.02</v>
      </c>
      <c r="H507" s="6">
        <v>58.63</v>
      </c>
      <c r="I507" s="6">
        <v>99</v>
      </c>
      <c r="J507" s="6">
        <v>2400</v>
      </c>
      <c r="K507" s="7">
        <f>(J507-M507)*税费参数!$B$12/(I507*10000*(1+SUM(税费参数!$B$6:$B$8)))</f>
        <v>0.0216633648837039</v>
      </c>
      <c r="L507" s="7">
        <f>J507*税费参数!$B$12/(I507*10000)</f>
        <v>0.0242424242424242</v>
      </c>
      <c r="M507" s="6">
        <f>I507*10000*SUM(税费参数!$B$9:$B$10)/税费参数!$B$11</f>
        <v>185.625</v>
      </c>
    </row>
    <row r="508" ht="21" customHeight="1" spans="1:13">
      <c r="A508" s="5" t="s">
        <v>15</v>
      </c>
      <c r="B508" s="6" t="s">
        <v>65</v>
      </c>
      <c r="C508" s="6" t="s">
        <v>152</v>
      </c>
      <c r="D508" s="6" t="s">
        <v>153</v>
      </c>
      <c r="E508" s="6" t="s">
        <v>547</v>
      </c>
      <c r="F508" s="6" t="s">
        <v>1705</v>
      </c>
      <c r="G508" s="6">
        <v>59.02</v>
      </c>
      <c r="H508" s="6">
        <v>59.02</v>
      </c>
      <c r="I508" s="6">
        <v>99</v>
      </c>
      <c r="J508" s="6">
        <v>2200</v>
      </c>
      <c r="K508" s="7">
        <f>(J508-M508)*税费参数!$B$12/(I508*10000*(1+SUM(税费参数!$B$6:$B$8)))</f>
        <v>0.0197067527576002</v>
      </c>
      <c r="L508" s="7">
        <f>J508*税费参数!$B$12/(I508*10000)</f>
        <v>0.0222222222222222</v>
      </c>
      <c r="M508" s="6">
        <f>I508*10000*SUM(税费参数!$B$9:$B$10)/税费参数!$B$11</f>
        <v>185.625</v>
      </c>
    </row>
    <row r="509" ht="21" customHeight="1" spans="1:13">
      <c r="A509" s="5" t="s">
        <v>15</v>
      </c>
      <c r="B509" s="6" t="s">
        <v>65</v>
      </c>
      <c r="C509" s="6" t="s">
        <v>152</v>
      </c>
      <c r="D509" s="6" t="s">
        <v>153</v>
      </c>
      <c r="E509" s="6" t="s">
        <v>545</v>
      </c>
      <c r="F509" s="6" t="s">
        <v>1700</v>
      </c>
      <c r="G509" s="6">
        <v>58.91</v>
      </c>
      <c r="H509" s="6">
        <v>58.91</v>
      </c>
      <c r="I509" s="6">
        <v>105</v>
      </c>
      <c r="J509" s="6">
        <v>2200</v>
      </c>
      <c r="K509" s="7">
        <f>(J509-M509)*税费参数!$B$12/(I509*10000*(1+SUM(税费参数!$B$6:$B$8)))</f>
        <v>0.0184768822783351</v>
      </c>
      <c r="L509" s="7">
        <f>J509*税费参数!$B$12/(I509*10000)</f>
        <v>0.020952380952381</v>
      </c>
      <c r="M509" s="6">
        <f>I509*10000*SUM(税费参数!$B$9:$B$10)/税费参数!$B$11</f>
        <v>196.875</v>
      </c>
    </row>
    <row r="510" ht="21" customHeight="1" spans="1:13">
      <c r="A510" s="5" t="s">
        <v>15</v>
      </c>
      <c r="B510" s="6" t="s">
        <v>65</v>
      </c>
      <c r="C510" s="6" t="s">
        <v>152</v>
      </c>
      <c r="D510" s="6" t="s">
        <v>153</v>
      </c>
      <c r="E510" s="6" t="s">
        <v>545</v>
      </c>
      <c r="F510" s="6" t="s">
        <v>1701</v>
      </c>
      <c r="G510" s="6">
        <v>58.91</v>
      </c>
      <c r="H510" s="6">
        <v>58.63</v>
      </c>
      <c r="I510" s="6">
        <v>105</v>
      </c>
      <c r="J510" s="6">
        <v>2250</v>
      </c>
      <c r="K510" s="7">
        <f>(J510-M510)*税费参数!$B$12/(I510*10000*(1+SUM(税费参数!$B$6:$B$8)))</f>
        <v>0.0189380837080595</v>
      </c>
      <c r="L510" s="7">
        <f>J510*税费参数!$B$12/(I510*10000)</f>
        <v>0.0214285714285714</v>
      </c>
      <c r="M510" s="6">
        <f>I510*10000*SUM(税费参数!$B$9:$B$10)/税费参数!$B$11</f>
        <v>196.875</v>
      </c>
    </row>
    <row r="511" ht="21" customHeight="1" spans="1:13">
      <c r="A511" s="5" t="s">
        <v>15</v>
      </c>
      <c r="B511" s="6" t="s">
        <v>65</v>
      </c>
      <c r="C511" s="6" t="s">
        <v>152</v>
      </c>
      <c r="D511" s="6" t="s">
        <v>153</v>
      </c>
      <c r="E511" s="6" t="s">
        <v>545</v>
      </c>
      <c r="F511" s="6" t="s">
        <v>1702</v>
      </c>
      <c r="G511" s="6">
        <v>58.91</v>
      </c>
      <c r="H511" s="6">
        <v>58.51</v>
      </c>
      <c r="I511" s="6">
        <v>105</v>
      </c>
      <c r="J511" s="6">
        <v>2600</v>
      </c>
      <c r="K511" s="7">
        <f>(J511-M511)*税费参数!$B$12/(I511*10000*(1+SUM(税费参数!$B$6:$B$8)))</f>
        <v>0.0221664937161305</v>
      </c>
      <c r="L511" s="7">
        <f>J511*税费参数!$B$12/(I511*10000)</f>
        <v>0.0247619047619048</v>
      </c>
      <c r="M511" s="6">
        <f>I511*10000*SUM(税费参数!$B$9:$B$10)/税费参数!$B$11</f>
        <v>196.875</v>
      </c>
    </row>
    <row r="512" ht="21" customHeight="1" spans="1:13">
      <c r="A512" s="5" t="s">
        <v>15</v>
      </c>
      <c r="B512" s="6" t="s">
        <v>65</v>
      </c>
      <c r="C512" s="6" t="s">
        <v>152</v>
      </c>
      <c r="D512" s="6" t="s">
        <v>153</v>
      </c>
      <c r="E512" s="6" t="s">
        <v>545</v>
      </c>
      <c r="F512" s="6" t="s">
        <v>1703</v>
      </c>
      <c r="G512" s="6">
        <v>58.91</v>
      </c>
      <c r="H512" s="6">
        <v>58.51</v>
      </c>
      <c r="I512" s="6">
        <v>105</v>
      </c>
      <c r="J512" s="6">
        <v>2300</v>
      </c>
      <c r="K512" s="7">
        <f>(J512-M512)*税费参数!$B$12/(I512*10000*(1+SUM(税费参数!$B$6:$B$8)))</f>
        <v>0.0193992851377839</v>
      </c>
      <c r="L512" s="7">
        <f>J512*税费参数!$B$12/(I512*10000)</f>
        <v>0.0219047619047619</v>
      </c>
      <c r="M512" s="6">
        <f>I512*10000*SUM(税费参数!$B$9:$B$10)/税费参数!$B$11</f>
        <v>196.875</v>
      </c>
    </row>
    <row r="513" ht="21" customHeight="1" spans="1:13">
      <c r="A513" s="5" t="s">
        <v>15</v>
      </c>
      <c r="B513" s="6" t="s">
        <v>65</v>
      </c>
      <c r="C513" s="6" t="s">
        <v>152</v>
      </c>
      <c r="D513" s="6" t="s">
        <v>153</v>
      </c>
      <c r="E513" s="6" t="s">
        <v>545</v>
      </c>
      <c r="F513" s="6" t="s">
        <v>1704</v>
      </c>
      <c r="G513" s="6">
        <v>58.91</v>
      </c>
      <c r="H513" s="6">
        <v>58.63</v>
      </c>
      <c r="I513" s="6">
        <v>105</v>
      </c>
      <c r="J513" s="6">
        <v>2400</v>
      </c>
      <c r="K513" s="7">
        <f>(J513-M513)*税费参数!$B$12/(I513*10000*(1+SUM(税费参数!$B$6:$B$8)))</f>
        <v>0.0203216879972328</v>
      </c>
      <c r="L513" s="7">
        <f>J513*税费参数!$B$12/(I513*10000)</f>
        <v>0.0228571428571429</v>
      </c>
      <c r="M513" s="6">
        <f>I513*10000*SUM(税费参数!$B$9:$B$10)/税费参数!$B$11</f>
        <v>196.875</v>
      </c>
    </row>
    <row r="514" ht="21" customHeight="1" spans="1:13">
      <c r="A514" s="5" t="s">
        <v>15</v>
      </c>
      <c r="B514" s="6" t="s">
        <v>65</v>
      </c>
      <c r="C514" s="6" t="s">
        <v>152</v>
      </c>
      <c r="D514" s="6" t="s">
        <v>153</v>
      </c>
      <c r="E514" s="6" t="s">
        <v>545</v>
      </c>
      <c r="F514" s="6" t="s">
        <v>1705</v>
      </c>
      <c r="G514" s="6">
        <v>58.91</v>
      </c>
      <c r="H514" s="6">
        <v>59.02</v>
      </c>
      <c r="I514" s="6">
        <v>105</v>
      </c>
      <c r="J514" s="6">
        <v>2200</v>
      </c>
      <c r="K514" s="7">
        <f>(J514-M514)*税费参数!$B$12/(I514*10000*(1+SUM(税费参数!$B$6:$B$8)))</f>
        <v>0.0184768822783351</v>
      </c>
      <c r="L514" s="7">
        <f>J514*税费参数!$B$12/(I514*10000)</f>
        <v>0.020952380952381</v>
      </c>
      <c r="M514" s="6">
        <f>I514*10000*SUM(税费参数!$B$9:$B$10)/税费参数!$B$11</f>
        <v>196.875</v>
      </c>
    </row>
    <row r="515" ht="21" customHeight="1" spans="1:13">
      <c r="A515" s="5" t="s">
        <v>15</v>
      </c>
      <c r="B515" s="6" t="s">
        <v>65</v>
      </c>
      <c r="C515" s="6" t="s">
        <v>152</v>
      </c>
      <c r="D515" s="6" t="s">
        <v>153</v>
      </c>
      <c r="E515" s="6" t="s">
        <v>551</v>
      </c>
      <c r="F515" s="6" t="s">
        <v>1700</v>
      </c>
      <c r="G515" s="6">
        <v>58.91</v>
      </c>
      <c r="H515" s="6">
        <v>58.91</v>
      </c>
      <c r="I515" s="6">
        <v>103</v>
      </c>
      <c r="J515" s="6">
        <v>2200</v>
      </c>
      <c r="K515" s="7">
        <f>(J515-M515)*税费参数!$B$12/(I515*10000*(1+SUM(税费参数!$B$6:$B$8)))</f>
        <v>0.0188709184513035</v>
      </c>
      <c r="L515" s="7">
        <f>J515*税费参数!$B$12/(I515*10000)</f>
        <v>0.0213592233009709</v>
      </c>
      <c r="M515" s="6">
        <f>I515*10000*SUM(税费参数!$B$9:$B$10)/税费参数!$B$11</f>
        <v>193.125</v>
      </c>
    </row>
    <row r="516" ht="21" customHeight="1" spans="1:13">
      <c r="A516" s="5" t="s">
        <v>15</v>
      </c>
      <c r="B516" s="6" t="s">
        <v>65</v>
      </c>
      <c r="C516" s="6" t="s">
        <v>152</v>
      </c>
      <c r="D516" s="6" t="s">
        <v>153</v>
      </c>
      <c r="E516" s="6" t="s">
        <v>551</v>
      </c>
      <c r="F516" s="6" t="s">
        <v>1701</v>
      </c>
      <c r="G516" s="6">
        <v>58.91</v>
      </c>
      <c r="H516" s="6">
        <v>58.63</v>
      </c>
      <c r="I516" s="6">
        <v>103</v>
      </c>
      <c r="J516" s="6">
        <v>2250</v>
      </c>
      <c r="K516" s="7">
        <f>(J516-M516)*税费参数!$B$12/(I516*10000*(1+SUM(税费参数!$B$6:$B$8)))</f>
        <v>0.0193410752485954</v>
      </c>
      <c r="L516" s="7">
        <f>J516*税费参数!$B$12/(I516*10000)</f>
        <v>0.0218446601941748</v>
      </c>
      <c r="M516" s="6">
        <f>I516*10000*SUM(税费参数!$B$9:$B$10)/税费参数!$B$11</f>
        <v>193.125</v>
      </c>
    </row>
    <row r="517" ht="21" customHeight="1" spans="1:13">
      <c r="A517" s="5" t="s">
        <v>15</v>
      </c>
      <c r="B517" s="6" t="s">
        <v>65</v>
      </c>
      <c r="C517" s="6" t="s">
        <v>152</v>
      </c>
      <c r="D517" s="6" t="s">
        <v>153</v>
      </c>
      <c r="E517" s="6" t="s">
        <v>551</v>
      </c>
      <c r="F517" s="6" t="s">
        <v>1702</v>
      </c>
      <c r="G517" s="6">
        <v>58.91</v>
      </c>
      <c r="H517" s="6">
        <v>58.51</v>
      </c>
      <c r="I517" s="6">
        <v>103</v>
      </c>
      <c r="J517" s="6">
        <v>2600</v>
      </c>
      <c r="K517" s="7">
        <f>(J517-M517)*税费参数!$B$12/(I517*10000*(1+SUM(税费参数!$B$6:$B$8)))</f>
        <v>0.0226321728296387</v>
      </c>
      <c r="L517" s="7">
        <f>J517*税费参数!$B$12/(I517*10000)</f>
        <v>0.0252427184466019</v>
      </c>
      <c r="M517" s="6">
        <f>I517*10000*SUM(税费参数!$B$9:$B$10)/税费参数!$B$11</f>
        <v>193.125</v>
      </c>
    </row>
    <row r="518" ht="21" customHeight="1" spans="1:13">
      <c r="A518" s="5" t="s">
        <v>15</v>
      </c>
      <c r="B518" s="6" t="s">
        <v>65</v>
      </c>
      <c r="C518" s="6" t="s">
        <v>152</v>
      </c>
      <c r="D518" s="6" t="s">
        <v>153</v>
      </c>
      <c r="E518" s="6" t="s">
        <v>551</v>
      </c>
      <c r="F518" s="6" t="s">
        <v>1703</v>
      </c>
      <c r="G518" s="6">
        <v>58.91</v>
      </c>
      <c r="H518" s="6">
        <v>58.51</v>
      </c>
      <c r="I518" s="6">
        <v>103</v>
      </c>
      <c r="J518" s="6">
        <v>2300</v>
      </c>
      <c r="K518" s="7">
        <f>(J518-M518)*税费参数!$B$12/(I518*10000*(1+SUM(税费参数!$B$6:$B$8)))</f>
        <v>0.0198112320458873</v>
      </c>
      <c r="L518" s="7">
        <f>J518*税费参数!$B$12/(I518*10000)</f>
        <v>0.0223300970873786</v>
      </c>
      <c r="M518" s="6">
        <f>I518*10000*SUM(税费参数!$B$9:$B$10)/税费参数!$B$11</f>
        <v>193.125</v>
      </c>
    </row>
    <row r="519" ht="21" customHeight="1" spans="1:13">
      <c r="A519" s="5" t="s">
        <v>15</v>
      </c>
      <c r="B519" s="6" t="s">
        <v>65</v>
      </c>
      <c r="C519" s="6" t="s">
        <v>152</v>
      </c>
      <c r="D519" s="6" t="s">
        <v>153</v>
      </c>
      <c r="E519" s="6" t="s">
        <v>551</v>
      </c>
      <c r="F519" s="6" t="s">
        <v>1704</v>
      </c>
      <c r="G519" s="6">
        <v>58.91</v>
      </c>
      <c r="H519" s="6">
        <v>58.63</v>
      </c>
      <c r="I519" s="6">
        <v>103</v>
      </c>
      <c r="J519" s="6">
        <v>2400</v>
      </c>
      <c r="K519" s="7">
        <f>(J519-M519)*税费参数!$B$12/(I519*10000*(1+SUM(税费参数!$B$6:$B$8)))</f>
        <v>0.0207515456404711</v>
      </c>
      <c r="L519" s="7">
        <f>J519*税费参数!$B$12/(I519*10000)</f>
        <v>0.0233009708737864</v>
      </c>
      <c r="M519" s="6">
        <f>I519*10000*SUM(税费参数!$B$9:$B$10)/税费参数!$B$11</f>
        <v>193.125</v>
      </c>
    </row>
    <row r="520" ht="21" customHeight="1" spans="1:13">
      <c r="A520" s="5" t="s">
        <v>15</v>
      </c>
      <c r="B520" s="6" t="s">
        <v>65</v>
      </c>
      <c r="C520" s="6" t="s">
        <v>152</v>
      </c>
      <c r="D520" s="6" t="s">
        <v>153</v>
      </c>
      <c r="E520" s="6" t="s">
        <v>551</v>
      </c>
      <c r="F520" s="6" t="s">
        <v>1705</v>
      </c>
      <c r="G520" s="6">
        <v>58.91</v>
      </c>
      <c r="H520" s="6">
        <v>59.02</v>
      </c>
      <c r="I520" s="6">
        <v>103</v>
      </c>
      <c r="J520" s="6">
        <v>2200</v>
      </c>
      <c r="K520" s="7">
        <f>(J520-M520)*税费参数!$B$12/(I520*10000*(1+SUM(税费参数!$B$6:$B$8)))</f>
        <v>0.0188709184513035</v>
      </c>
      <c r="L520" s="7">
        <f>J520*税费参数!$B$12/(I520*10000)</f>
        <v>0.0213592233009709</v>
      </c>
      <c r="M520" s="6">
        <f>I520*10000*SUM(税费参数!$B$9:$B$10)/税费参数!$B$11</f>
        <v>193.125</v>
      </c>
    </row>
    <row r="521" ht="21" customHeight="1" spans="1:13">
      <c r="A521" s="5" t="s">
        <v>15</v>
      </c>
      <c r="B521" s="6" t="s">
        <v>61</v>
      </c>
      <c r="C521" s="6" t="s">
        <v>157</v>
      </c>
      <c r="D521" s="6" t="s">
        <v>155</v>
      </c>
      <c r="E521" s="6" t="s">
        <v>557</v>
      </c>
      <c r="F521" s="6" t="s">
        <v>1706</v>
      </c>
      <c r="G521" s="6">
        <v>77.65</v>
      </c>
      <c r="H521" s="6">
        <v>77.65</v>
      </c>
      <c r="I521" s="6">
        <v>119</v>
      </c>
      <c r="J521" s="6">
        <v>2700</v>
      </c>
      <c r="K521" s="7">
        <f>(J521-M521)*税费参数!$B$12/(I521*10000*(1+SUM(税费参数!$B$6:$B$8)))</f>
        <v>0.0201589110220359</v>
      </c>
      <c r="L521" s="7">
        <f>J521*税费参数!$B$12/(I521*10000)</f>
        <v>0.0226890756302521</v>
      </c>
      <c r="M521" s="6">
        <f>I521*10000*SUM(税费参数!$B$9:$B$10)/税费参数!$B$11</f>
        <v>223.125</v>
      </c>
    </row>
    <row r="522" ht="21" customHeight="1" spans="1:13">
      <c r="A522" s="5" t="s">
        <v>15</v>
      </c>
      <c r="B522" s="6" t="s">
        <v>61</v>
      </c>
      <c r="C522" s="6" t="s">
        <v>157</v>
      </c>
      <c r="D522" s="6" t="s">
        <v>155</v>
      </c>
      <c r="E522" s="6" t="s">
        <v>557</v>
      </c>
      <c r="F522" s="6" t="s">
        <v>1707</v>
      </c>
      <c r="G522" s="6">
        <v>77.65</v>
      </c>
      <c r="H522" s="6">
        <v>87.02</v>
      </c>
      <c r="I522" s="6">
        <v>119</v>
      </c>
      <c r="J522" s="6">
        <v>2200</v>
      </c>
      <c r="K522" s="7">
        <f>(J522-M522)*税费参数!$B$12/(I522*10000*(1+SUM(税费参数!$B$6:$B$8)))</f>
        <v>0.0160894866421145</v>
      </c>
      <c r="L522" s="7">
        <f>J522*税费参数!$B$12/(I522*10000)</f>
        <v>0.0184873949579832</v>
      </c>
      <c r="M522" s="6">
        <f>I522*10000*SUM(税费参数!$B$9:$B$10)/税费参数!$B$11</f>
        <v>223.125</v>
      </c>
    </row>
    <row r="523" ht="21" customHeight="1" spans="1:13">
      <c r="A523" s="5" t="s">
        <v>15</v>
      </c>
      <c r="B523" s="6" t="s">
        <v>61</v>
      </c>
      <c r="C523" s="6" t="s">
        <v>157</v>
      </c>
      <c r="D523" s="6" t="s">
        <v>155</v>
      </c>
      <c r="E523" s="6" t="s">
        <v>557</v>
      </c>
      <c r="F523" s="6" t="s">
        <v>1708</v>
      </c>
      <c r="G523" s="6">
        <v>77.65</v>
      </c>
      <c r="H523" s="6">
        <v>67.79</v>
      </c>
      <c r="I523" s="6">
        <v>119</v>
      </c>
      <c r="J523" s="6">
        <v>2600</v>
      </c>
      <c r="K523" s="7">
        <f>(J523-M523)*税费参数!$B$12/(I523*10000*(1+SUM(税费参数!$B$6:$B$8)))</f>
        <v>0.0193450261460516</v>
      </c>
      <c r="L523" s="7">
        <f>J523*税费参数!$B$12/(I523*10000)</f>
        <v>0.0218487394957983</v>
      </c>
      <c r="M523" s="6">
        <f>I523*10000*SUM(税费参数!$B$9:$B$10)/税费参数!$B$11</f>
        <v>223.125</v>
      </c>
    </row>
    <row r="524" ht="21" customHeight="1" spans="1:13">
      <c r="A524" s="5" t="s">
        <v>15</v>
      </c>
      <c r="B524" s="6" t="s">
        <v>61</v>
      </c>
      <c r="C524" s="6" t="s">
        <v>157</v>
      </c>
      <c r="D524" s="6" t="s">
        <v>155</v>
      </c>
      <c r="E524" s="6" t="s">
        <v>557</v>
      </c>
      <c r="F524" s="6" t="s">
        <v>1709</v>
      </c>
      <c r="G524" s="6">
        <v>77.65</v>
      </c>
      <c r="H524" s="6">
        <v>87</v>
      </c>
      <c r="I524" s="6">
        <v>119</v>
      </c>
      <c r="J524" s="6">
        <v>3000</v>
      </c>
      <c r="K524" s="7">
        <f>(J524-M524)*税费参数!$B$12/(I524*10000*(1+SUM(税费参数!$B$6:$B$8)))</f>
        <v>0.0226005656499888</v>
      </c>
      <c r="L524" s="7">
        <f>J524*税费参数!$B$12/(I524*10000)</f>
        <v>0.0252100840336134</v>
      </c>
      <c r="M524" s="6">
        <f>I524*10000*SUM(税费参数!$B$9:$B$10)/税费参数!$B$11</f>
        <v>223.125</v>
      </c>
    </row>
    <row r="525" ht="21" customHeight="1" spans="1:13">
      <c r="A525" s="5" t="s">
        <v>15</v>
      </c>
      <c r="B525" s="6" t="s">
        <v>61</v>
      </c>
      <c r="C525" s="6" t="s">
        <v>157</v>
      </c>
      <c r="D525" s="6" t="s">
        <v>155</v>
      </c>
      <c r="E525" s="6" t="s">
        <v>557</v>
      </c>
      <c r="F525" s="6" t="s">
        <v>1710</v>
      </c>
      <c r="G525" s="6">
        <v>77.65</v>
      </c>
      <c r="H525" s="6">
        <v>71.36</v>
      </c>
      <c r="I525" s="6">
        <v>119</v>
      </c>
      <c r="J525" s="6">
        <v>2800</v>
      </c>
      <c r="K525" s="7">
        <f>(J525-M525)*税费参数!$B$12/(I525*10000*(1+SUM(税费参数!$B$6:$B$8)))</f>
        <v>0.0209727958980202</v>
      </c>
      <c r="L525" s="7">
        <f>J525*税费参数!$B$12/(I525*10000)</f>
        <v>0.0235294117647059</v>
      </c>
      <c r="M525" s="6">
        <f>I525*10000*SUM(税费参数!$B$9:$B$10)/税费参数!$B$11</f>
        <v>223.125</v>
      </c>
    </row>
    <row r="526" ht="21" customHeight="1" spans="1:13">
      <c r="A526" s="5" t="s">
        <v>15</v>
      </c>
      <c r="B526" s="6" t="s">
        <v>62</v>
      </c>
      <c r="C526" s="6" t="s">
        <v>152</v>
      </c>
      <c r="D526" s="6" t="s">
        <v>160</v>
      </c>
      <c r="E526" s="6" t="s">
        <v>559</v>
      </c>
      <c r="F526" s="6" t="s">
        <v>1711</v>
      </c>
      <c r="G526" s="6">
        <v>55.29</v>
      </c>
      <c r="H526" s="6">
        <v>50.85</v>
      </c>
      <c r="I526" s="6">
        <v>90</v>
      </c>
      <c r="J526" s="6">
        <v>2050</v>
      </c>
      <c r="K526" s="7">
        <f>(J526-M526)*税费参数!$B$12/(I526*10000*(1+SUM(税费参数!$B$6:$B$8)))</f>
        <v>0.0202448210922787</v>
      </c>
      <c r="L526" s="7">
        <f>J526*税费参数!$B$12/(I526*10000)</f>
        <v>0.0227777777777778</v>
      </c>
      <c r="M526" s="6">
        <f>I526*10000*SUM(税费参数!$B$9:$B$10)/税费参数!$B$11</f>
        <v>168.75</v>
      </c>
    </row>
    <row r="527" ht="21" customHeight="1" spans="1:13">
      <c r="A527" s="5" t="s">
        <v>15</v>
      </c>
      <c r="B527" s="6" t="s">
        <v>62</v>
      </c>
      <c r="C527" s="6" t="s">
        <v>152</v>
      </c>
      <c r="D527" s="6" t="s">
        <v>153</v>
      </c>
      <c r="E527" s="6" t="s">
        <v>571</v>
      </c>
      <c r="F527" s="6" t="s">
        <v>1712</v>
      </c>
      <c r="G527" s="6">
        <v>55.29</v>
      </c>
      <c r="H527" s="6">
        <v>48.17</v>
      </c>
      <c r="I527" s="6">
        <v>82</v>
      </c>
      <c r="J527" s="6">
        <v>2000</v>
      </c>
      <c r="K527" s="7">
        <f>(J527-M527)*税费参数!$B$12/(I527*10000*(1+SUM(税费参数!$B$6:$B$8)))</f>
        <v>0.0218065316246383</v>
      </c>
      <c r="L527" s="7">
        <f>J527*税费参数!$B$12/(I527*10000)</f>
        <v>0.024390243902439</v>
      </c>
      <c r="M527" s="6">
        <f>I527*10000*SUM(税费参数!$B$9:$B$10)/税费参数!$B$11</f>
        <v>153.75</v>
      </c>
    </row>
    <row r="528" ht="21" customHeight="1" spans="1:13">
      <c r="A528" s="5" t="s">
        <v>15</v>
      </c>
      <c r="B528" s="6" t="s">
        <v>62</v>
      </c>
      <c r="C528" s="6" t="s">
        <v>152</v>
      </c>
      <c r="D528" s="6" t="s">
        <v>153</v>
      </c>
      <c r="E528" s="6" t="s">
        <v>581</v>
      </c>
      <c r="F528" s="6" t="s">
        <v>1712</v>
      </c>
      <c r="G528" s="6">
        <v>55.67</v>
      </c>
      <c r="H528" s="6">
        <v>48.17</v>
      </c>
      <c r="I528" s="6">
        <v>85</v>
      </c>
      <c r="J528" s="6">
        <v>2000</v>
      </c>
      <c r="K528" s="7">
        <f>(J528-M528)*税费参数!$B$12/(I528*10000*(1+SUM(税费参数!$B$6:$B$8)))</f>
        <v>0.0209727958980202</v>
      </c>
      <c r="L528" s="7">
        <f>J528*税费参数!$B$12/(I528*10000)</f>
        <v>0.0235294117647059</v>
      </c>
      <c r="M528" s="6">
        <f>I528*10000*SUM(税费参数!$B$9:$B$10)/税费参数!$B$11</f>
        <v>159.375</v>
      </c>
    </row>
    <row r="529" ht="21" customHeight="1" spans="1:13">
      <c r="A529" s="5" t="s">
        <v>15</v>
      </c>
      <c r="B529" s="6" t="s">
        <v>62</v>
      </c>
      <c r="C529" s="6" t="s">
        <v>152</v>
      </c>
      <c r="D529" s="6" t="s">
        <v>153</v>
      </c>
      <c r="E529" s="6" t="s">
        <v>577</v>
      </c>
      <c r="F529" s="6" t="s">
        <v>1712</v>
      </c>
      <c r="G529" s="6">
        <v>53.22</v>
      </c>
      <c r="H529" s="6">
        <v>48.17</v>
      </c>
      <c r="I529" s="6">
        <v>101</v>
      </c>
      <c r="J529" s="6">
        <v>2000</v>
      </c>
      <c r="K529" s="7">
        <f>(J529-M529)*税费参数!$B$12/(I529*10000*(1+SUM(税费参数!$B$6:$B$8)))</f>
        <v>0.0173626926857335</v>
      </c>
      <c r="L529" s="7">
        <f>J529*税费参数!$B$12/(I529*10000)</f>
        <v>0.0198019801980198</v>
      </c>
      <c r="M529" s="6">
        <f>I529*10000*SUM(税费参数!$B$9:$B$10)/税费参数!$B$11</f>
        <v>189.375</v>
      </c>
    </row>
    <row r="530" ht="21" customHeight="1" spans="1:13">
      <c r="A530" s="5" t="s">
        <v>15</v>
      </c>
      <c r="B530" s="6" t="s">
        <v>62</v>
      </c>
      <c r="C530" s="6" t="s">
        <v>152</v>
      </c>
      <c r="D530" s="6" t="s">
        <v>153</v>
      </c>
      <c r="E530" s="6" t="s">
        <v>569</v>
      </c>
      <c r="F530" s="6" t="s">
        <v>1713</v>
      </c>
      <c r="G530" s="6">
        <v>50.85</v>
      </c>
      <c r="H530" s="6">
        <v>44.46</v>
      </c>
      <c r="I530" s="6">
        <v>98</v>
      </c>
      <c r="J530" s="6">
        <v>1900</v>
      </c>
      <c r="K530" s="7">
        <f>(J530-M530)*税费参数!$B$12/(I530*10000*(1+SUM(税费参数!$B$6:$B$8)))</f>
        <v>0.0169615061520976</v>
      </c>
      <c r="L530" s="7">
        <f>J530*税费参数!$B$12/(I530*10000)</f>
        <v>0.0193877551020408</v>
      </c>
      <c r="M530" s="6">
        <f>I530*10000*SUM(税费参数!$B$9:$B$10)/税费参数!$B$11</f>
        <v>183.75</v>
      </c>
    </row>
    <row r="531" ht="21" customHeight="1" spans="1:13">
      <c r="A531" s="5" t="s">
        <v>15</v>
      </c>
      <c r="B531" s="6" t="s">
        <v>62</v>
      </c>
      <c r="C531" s="6" t="s">
        <v>152</v>
      </c>
      <c r="D531" s="6" t="s">
        <v>153</v>
      </c>
      <c r="E531" s="6" t="s">
        <v>569</v>
      </c>
      <c r="F531" s="6" t="s">
        <v>1712</v>
      </c>
      <c r="G531" s="6">
        <v>50.85</v>
      </c>
      <c r="H531" s="6">
        <v>48.17</v>
      </c>
      <c r="I531" s="6">
        <v>98</v>
      </c>
      <c r="J531" s="6">
        <v>2000</v>
      </c>
      <c r="K531" s="7">
        <f>(J531-M531)*税费参数!$B$12/(I531*10000*(1+SUM(税费参数!$B$6:$B$8)))</f>
        <v>0.0179497949300786</v>
      </c>
      <c r="L531" s="7">
        <f>J531*税费参数!$B$12/(I531*10000)</f>
        <v>0.0204081632653061</v>
      </c>
      <c r="M531" s="6">
        <f>I531*10000*SUM(税费参数!$B$9:$B$10)/税费参数!$B$11</f>
        <v>183.75</v>
      </c>
    </row>
    <row r="532" ht="21" customHeight="1" spans="1:13">
      <c r="A532" s="5" t="s">
        <v>15</v>
      </c>
      <c r="B532" s="6" t="s">
        <v>62</v>
      </c>
      <c r="C532" s="6" t="s">
        <v>152</v>
      </c>
      <c r="D532" s="6" t="s">
        <v>153</v>
      </c>
      <c r="E532" s="6" t="s">
        <v>569</v>
      </c>
      <c r="F532" s="6" t="s">
        <v>1714</v>
      </c>
      <c r="G532" s="6">
        <v>50.85</v>
      </c>
      <c r="H532" s="6">
        <v>44.46</v>
      </c>
      <c r="I532" s="6">
        <v>98</v>
      </c>
      <c r="J532" s="6">
        <v>2100</v>
      </c>
      <c r="K532" s="7">
        <f>(J532-M532)*税费参数!$B$12/(I532*10000*(1+SUM(税费参数!$B$6:$B$8)))</f>
        <v>0.0189380837080595</v>
      </c>
      <c r="L532" s="7">
        <f>J532*税费参数!$B$12/(I532*10000)</f>
        <v>0.0214285714285714</v>
      </c>
      <c r="M532" s="6">
        <f>I532*10000*SUM(税费参数!$B$9:$B$10)/税费参数!$B$11</f>
        <v>183.75</v>
      </c>
    </row>
    <row r="533" ht="21" customHeight="1" spans="1:13">
      <c r="A533" s="5" t="s">
        <v>15</v>
      </c>
      <c r="B533" s="6" t="s">
        <v>62</v>
      </c>
      <c r="C533" s="6" t="s">
        <v>152</v>
      </c>
      <c r="D533" s="6" t="s">
        <v>153</v>
      </c>
      <c r="E533" s="6" t="s">
        <v>585</v>
      </c>
      <c r="F533" s="6" t="s">
        <v>1712</v>
      </c>
      <c r="G533" s="6">
        <v>53.38</v>
      </c>
      <c r="H533" s="6">
        <v>48.17</v>
      </c>
      <c r="I533" s="6">
        <v>116</v>
      </c>
      <c r="J533" s="6">
        <v>2000</v>
      </c>
      <c r="K533" s="7">
        <f>(J533-M533)*税费参数!$B$12/(I533*10000*(1+SUM(税费参数!$B$6:$B$8)))</f>
        <v>0.0148826918259998</v>
      </c>
      <c r="L533" s="7">
        <f>J533*税费参数!$B$12/(I533*10000)</f>
        <v>0.0172413793103448</v>
      </c>
      <c r="M533" s="6">
        <f>I533*10000*SUM(税费参数!$B$9:$B$10)/税费参数!$B$11</f>
        <v>217.5</v>
      </c>
    </row>
    <row r="534" ht="21" customHeight="1" spans="1:13">
      <c r="A534" s="5" t="s">
        <v>15</v>
      </c>
      <c r="B534" s="6" t="s">
        <v>62</v>
      </c>
      <c r="C534" s="6" t="s">
        <v>152</v>
      </c>
      <c r="D534" s="6" t="s">
        <v>153</v>
      </c>
      <c r="E534" s="6" t="s">
        <v>575</v>
      </c>
      <c r="F534" s="6" t="s">
        <v>1713</v>
      </c>
      <c r="G534" s="6">
        <v>48.17</v>
      </c>
      <c r="H534" s="6">
        <v>44.46</v>
      </c>
      <c r="I534" s="6">
        <v>89.8</v>
      </c>
      <c r="J534" s="6">
        <v>1900</v>
      </c>
      <c r="K534" s="7">
        <f>(J534-M534)*税费参数!$B$12/(I534*10000*(1+SUM(税费参数!$B$6:$B$8)))</f>
        <v>0.0186761541655657</v>
      </c>
      <c r="L534" s="7">
        <f>J534*税费参数!$B$12/(I534*10000)</f>
        <v>0.0211581291759465</v>
      </c>
      <c r="M534" s="6">
        <f>I534*10000*SUM(税费参数!$B$9:$B$10)/税费参数!$B$11</f>
        <v>168.375</v>
      </c>
    </row>
    <row r="535" ht="21" customHeight="1" spans="1:13">
      <c r="A535" s="5" t="s">
        <v>15</v>
      </c>
      <c r="B535" s="6" t="s">
        <v>62</v>
      </c>
      <c r="C535" s="6" t="s">
        <v>152</v>
      </c>
      <c r="D535" s="6" t="s">
        <v>153</v>
      </c>
      <c r="E535" s="6" t="s">
        <v>575</v>
      </c>
      <c r="F535" s="6" t="s">
        <v>1712</v>
      </c>
      <c r="G535" s="6">
        <v>48.17</v>
      </c>
      <c r="H535" s="6">
        <v>48.17</v>
      </c>
      <c r="I535" s="6">
        <v>89.8</v>
      </c>
      <c r="J535" s="6">
        <v>2000</v>
      </c>
      <c r="K535" s="7">
        <f>(J535-M535)*税费参数!$B$12/(I535*10000*(1+SUM(税费参数!$B$6:$B$8)))</f>
        <v>0.0197546875758344</v>
      </c>
      <c r="L535" s="7">
        <f>J535*税费参数!$B$12/(I535*10000)</f>
        <v>0.022271714922049</v>
      </c>
      <c r="M535" s="6">
        <f>I535*10000*SUM(税费参数!$B$9:$B$10)/税费参数!$B$11</f>
        <v>168.375</v>
      </c>
    </row>
    <row r="536" ht="21" customHeight="1" spans="1:13">
      <c r="A536" s="5" t="s">
        <v>15</v>
      </c>
      <c r="B536" s="6" t="s">
        <v>62</v>
      </c>
      <c r="C536" s="6" t="s">
        <v>152</v>
      </c>
      <c r="D536" s="6" t="s">
        <v>153</v>
      </c>
      <c r="E536" s="6" t="s">
        <v>575</v>
      </c>
      <c r="F536" s="6" t="s">
        <v>1714</v>
      </c>
      <c r="G536" s="6">
        <v>48.17</v>
      </c>
      <c r="H536" s="6">
        <v>44.46</v>
      </c>
      <c r="I536" s="6">
        <v>89.8</v>
      </c>
      <c r="J536" s="6">
        <v>2100</v>
      </c>
      <c r="K536" s="7">
        <f>(J536-M536)*税费参数!$B$12/(I536*10000*(1+SUM(税费参数!$B$6:$B$8)))</f>
        <v>0.0208332209861031</v>
      </c>
      <c r="L536" s="7">
        <f>J536*税费参数!$B$12/(I536*10000)</f>
        <v>0.0233853006681514</v>
      </c>
      <c r="M536" s="6">
        <f>I536*10000*SUM(税费参数!$B$9:$B$10)/税费参数!$B$11</f>
        <v>168.375</v>
      </c>
    </row>
    <row r="537" ht="21" customHeight="1" spans="1:13">
      <c r="A537" s="5" t="s">
        <v>15</v>
      </c>
      <c r="B537" s="6" t="s">
        <v>62</v>
      </c>
      <c r="C537" s="6" t="s">
        <v>152</v>
      </c>
      <c r="D537" s="6" t="s">
        <v>153</v>
      </c>
      <c r="E537" s="6" t="s">
        <v>575</v>
      </c>
      <c r="F537" s="6" t="s">
        <v>1715</v>
      </c>
      <c r="G537" s="6">
        <v>48.17</v>
      </c>
      <c r="H537" s="6">
        <v>43.13</v>
      </c>
      <c r="I537" s="6">
        <v>89.8</v>
      </c>
      <c r="J537" s="6">
        <v>2200</v>
      </c>
      <c r="K537" s="7">
        <f>(J537-M537)*税费参数!$B$12/(I537*10000*(1+SUM(税费参数!$B$6:$B$8)))</f>
        <v>0.0219117543963718</v>
      </c>
      <c r="L537" s="7">
        <f>J537*税费参数!$B$12/(I537*10000)</f>
        <v>0.0244988864142539</v>
      </c>
      <c r="M537" s="6">
        <f>I537*10000*SUM(税费参数!$B$9:$B$10)/税费参数!$B$11</f>
        <v>168.375</v>
      </c>
    </row>
    <row r="538" ht="21" customHeight="1" spans="1:13">
      <c r="A538" s="5" t="s">
        <v>15</v>
      </c>
      <c r="B538" s="6" t="s">
        <v>62</v>
      </c>
      <c r="C538" s="6" t="s">
        <v>152</v>
      </c>
      <c r="D538" s="6" t="s">
        <v>153</v>
      </c>
      <c r="E538" s="6" t="s">
        <v>567</v>
      </c>
      <c r="F538" s="6" t="s">
        <v>1713</v>
      </c>
      <c r="G538" s="6">
        <v>48.17</v>
      </c>
      <c r="H538" s="6">
        <v>44.46</v>
      </c>
      <c r="I538" s="6">
        <v>88.8</v>
      </c>
      <c r="J538" s="6">
        <v>1900</v>
      </c>
      <c r="K538" s="7">
        <f>(J538-M538)*税费参数!$B$12/(I538*10000*(1+SUM(税费参数!$B$6:$B$8)))</f>
        <v>0.0189069214492943</v>
      </c>
      <c r="L538" s="7">
        <f>J538*税费参数!$B$12/(I538*10000)</f>
        <v>0.0213963963963964</v>
      </c>
      <c r="M538" s="6">
        <f>I538*10000*SUM(税费参数!$B$9:$B$10)/税费参数!$B$11</f>
        <v>166.5</v>
      </c>
    </row>
    <row r="539" ht="21" customHeight="1" spans="1:13">
      <c r="A539" s="5" t="s">
        <v>15</v>
      </c>
      <c r="B539" s="6" t="s">
        <v>62</v>
      </c>
      <c r="C539" s="6" t="s">
        <v>152</v>
      </c>
      <c r="D539" s="6" t="s">
        <v>153</v>
      </c>
      <c r="E539" s="6" t="s">
        <v>567</v>
      </c>
      <c r="F539" s="6" t="s">
        <v>1712</v>
      </c>
      <c r="G539" s="6">
        <v>48.17</v>
      </c>
      <c r="H539" s="6">
        <v>48.17</v>
      </c>
      <c r="I539" s="6">
        <v>88.8</v>
      </c>
      <c r="J539" s="6">
        <v>2000</v>
      </c>
      <c r="K539" s="7">
        <f>(J539-M539)*税费参数!$B$12/(I539*10000*(1+SUM(税费参数!$B$6:$B$8)))</f>
        <v>0.0199976005060751</v>
      </c>
      <c r="L539" s="7">
        <f>J539*税费参数!$B$12/(I539*10000)</f>
        <v>0.0225225225225225</v>
      </c>
      <c r="M539" s="6">
        <f>I539*10000*SUM(税费参数!$B$9:$B$10)/税费参数!$B$11</f>
        <v>166.5</v>
      </c>
    </row>
    <row r="540" ht="21" customHeight="1" spans="1:13">
      <c r="A540" s="5" t="s">
        <v>15</v>
      </c>
      <c r="B540" s="6" t="s">
        <v>62</v>
      </c>
      <c r="C540" s="6" t="s">
        <v>152</v>
      </c>
      <c r="D540" s="6" t="s">
        <v>153</v>
      </c>
      <c r="E540" s="6" t="s">
        <v>567</v>
      </c>
      <c r="F540" s="6" t="s">
        <v>1714</v>
      </c>
      <c r="G540" s="6">
        <v>48.17</v>
      </c>
      <c r="H540" s="6">
        <v>44.46</v>
      </c>
      <c r="I540" s="6">
        <v>88.8</v>
      </c>
      <c r="J540" s="6">
        <v>2100</v>
      </c>
      <c r="K540" s="7">
        <f>(J540-M540)*税费参数!$B$12/(I540*10000*(1+SUM(税费参数!$B$6:$B$8)))</f>
        <v>0.0210882795628558</v>
      </c>
      <c r="L540" s="7">
        <f>J540*税费参数!$B$12/(I540*10000)</f>
        <v>0.0236486486486486</v>
      </c>
      <c r="M540" s="6">
        <f>I540*10000*SUM(税费参数!$B$9:$B$10)/税费参数!$B$11</f>
        <v>166.5</v>
      </c>
    </row>
    <row r="541" ht="21" customHeight="1" spans="1:13">
      <c r="A541" s="5" t="s">
        <v>15</v>
      </c>
      <c r="B541" s="6" t="s">
        <v>62</v>
      </c>
      <c r="C541" s="6" t="s">
        <v>152</v>
      </c>
      <c r="D541" s="6" t="s">
        <v>153</v>
      </c>
      <c r="E541" s="6" t="s">
        <v>567</v>
      </c>
      <c r="F541" s="6" t="s">
        <v>1715</v>
      </c>
      <c r="G541" s="6">
        <v>48.17</v>
      </c>
      <c r="H541" s="6">
        <v>43.13</v>
      </c>
      <c r="I541" s="6">
        <v>88.8</v>
      </c>
      <c r="J541" s="6">
        <v>2200</v>
      </c>
      <c r="K541" s="7">
        <f>(J541-M541)*税费参数!$B$12/(I541*10000*(1+SUM(税费参数!$B$6:$B$8)))</f>
        <v>0.0221789586196366</v>
      </c>
      <c r="L541" s="7">
        <f>J541*税费参数!$B$12/(I541*10000)</f>
        <v>0.0247747747747748</v>
      </c>
      <c r="M541" s="6">
        <f>I541*10000*SUM(税费参数!$B$9:$B$10)/税费参数!$B$11</f>
        <v>166.5</v>
      </c>
    </row>
    <row r="542" ht="21" customHeight="1" spans="1:13">
      <c r="A542" s="5" t="s">
        <v>15</v>
      </c>
      <c r="B542" s="6" t="s">
        <v>62</v>
      </c>
      <c r="C542" s="6" t="s">
        <v>152</v>
      </c>
      <c r="D542" s="6" t="s">
        <v>153</v>
      </c>
      <c r="E542" s="6" t="s">
        <v>573</v>
      </c>
      <c r="F542" s="6" t="s">
        <v>1713</v>
      </c>
      <c r="G542" s="6">
        <v>50</v>
      </c>
      <c r="H542" s="6">
        <v>44.46</v>
      </c>
      <c r="I542" s="6">
        <v>110</v>
      </c>
      <c r="J542" s="6">
        <v>1900</v>
      </c>
      <c r="K542" s="7">
        <f>(J542-M542)*税费参数!$B$12/(I542*10000*(1+SUM(税费参数!$B$6:$B$8)))</f>
        <v>0.0149130530486463</v>
      </c>
      <c r="L542" s="7">
        <f>J542*税费参数!$B$12/(I542*10000)</f>
        <v>0.0172727272727273</v>
      </c>
      <c r="M542" s="6">
        <f>I542*10000*SUM(税费参数!$B$9:$B$10)/税费参数!$B$11</f>
        <v>206.25</v>
      </c>
    </row>
    <row r="543" ht="21" customHeight="1" spans="1:13">
      <c r="A543" s="5" t="s">
        <v>15</v>
      </c>
      <c r="B543" s="6" t="s">
        <v>62</v>
      </c>
      <c r="C543" s="6" t="s">
        <v>152</v>
      </c>
      <c r="D543" s="6" t="s">
        <v>153</v>
      </c>
      <c r="E543" s="6" t="s">
        <v>573</v>
      </c>
      <c r="F543" s="6" t="s">
        <v>1712</v>
      </c>
      <c r="G543" s="6">
        <v>50</v>
      </c>
      <c r="H543" s="6">
        <v>48.17</v>
      </c>
      <c r="I543" s="6">
        <v>110</v>
      </c>
      <c r="J543" s="6">
        <v>2000</v>
      </c>
      <c r="K543" s="7">
        <f>(J543-M543)*税费参数!$B$12/(I543*10000*(1+SUM(税费参数!$B$6:$B$8)))</f>
        <v>0.0157935285053929</v>
      </c>
      <c r="L543" s="7">
        <f>J543*税费参数!$B$12/(I543*10000)</f>
        <v>0.0181818181818182</v>
      </c>
      <c r="M543" s="6">
        <f>I543*10000*SUM(税费参数!$B$9:$B$10)/税费参数!$B$11</f>
        <v>206.25</v>
      </c>
    </row>
    <row r="544" ht="21" customHeight="1" spans="1:13">
      <c r="A544" s="5" t="s">
        <v>15</v>
      </c>
      <c r="B544" s="6" t="s">
        <v>62</v>
      </c>
      <c r="C544" s="6" t="s">
        <v>152</v>
      </c>
      <c r="D544" s="6" t="s">
        <v>153</v>
      </c>
      <c r="E544" s="6" t="s">
        <v>573</v>
      </c>
      <c r="F544" s="6" t="s">
        <v>1714</v>
      </c>
      <c r="G544" s="6">
        <v>50</v>
      </c>
      <c r="H544" s="6">
        <v>44.46</v>
      </c>
      <c r="I544" s="6">
        <v>110</v>
      </c>
      <c r="J544" s="6">
        <v>2100</v>
      </c>
      <c r="K544" s="7">
        <f>(J544-M544)*税费参数!$B$12/(I544*10000*(1+SUM(税费参数!$B$6:$B$8)))</f>
        <v>0.0166740039621396</v>
      </c>
      <c r="L544" s="7">
        <f>J544*税费参数!$B$12/(I544*10000)</f>
        <v>0.0190909090909091</v>
      </c>
      <c r="M544" s="6">
        <f>I544*10000*SUM(税费参数!$B$9:$B$10)/税费参数!$B$11</f>
        <v>206.25</v>
      </c>
    </row>
    <row r="545" ht="21" customHeight="1" spans="1:13">
      <c r="A545" s="5" t="s">
        <v>15</v>
      </c>
      <c r="B545" s="6" t="s">
        <v>62</v>
      </c>
      <c r="C545" s="6" t="s">
        <v>152</v>
      </c>
      <c r="D545" s="6" t="s">
        <v>153</v>
      </c>
      <c r="E545" s="6" t="s">
        <v>573</v>
      </c>
      <c r="F545" s="6" t="s">
        <v>1715</v>
      </c>
      <c r="G545" s="6">
        <v>50</v>
      </c>
      <c r="H545" s="6">
        <v>43.13</v>
      </c>
      <c r="I545" s="6">
        <v>110</v>
      </c>
      <c r="J545" s="6">
        <v>2200</v>
      </c>
      <c r="K545" s="7">
        <f>(J545-M545)*税费参数!$B$12/(I545*10000*(1+SUM(税费参数!$B$6:$B$8)))</f>
        <v>0.0175544794188862</v>
      </c>
      <c r="L545" s="7">
        <f>J545*税费参数!$B$12/(I545*10000)</f>
        <v>0.02</v>
      </c>
      <c r="M545" s="6">
        <f>I545*10000*SUM(税费参数!$B$9:$B$10)/税费参数!$B$11</f>
        <v>206.25</v>
      </c>
    </row>
    <row r="546" ht="21" customHeight="1" spans="1:13">
      <c r="A546" s="5" t="s">
        <v>15</v>
      </c>
      <c r="B546" s="6" t="s">
        <v>62</v>
      </c>
      <c r="C546" s="6" t="s">
        <v>152</v>
      </c>
      <c r="D546" s="6" t="s">
        <v>153</v>
      </c>
      <c r="E546" s="6" t="s">
        <v>579</v>
      </c>
      <c r="F546" s="6" t="s">
        <v>1713</v>
      </c>
      <c r="G546" s="6">
        <v>44.46</v>
      </c>
      <c r="H546" s="6">
        <v>44.46</v>
      </c>
      <c r="I546" s="6">
        <v>92</v>
      </c>
      <c r="J546" s="6">
        <v>1900</v>
      </c>
      <c r="K546" s="7">
        <f>(J546-M546)*税费参数!$B$12/(I546*10000*(1+SUM(税费参数!$B$6:$B$8)))</f>
        <v>0.0181861248552479</v>
      </c>
      <c r="L546" s="7">
        <f>J546*税费参数!$B$12/(I546*10000)</f>
        <v>0.0206521739130435</v>
      </c>
      <c r="M546" s="6">
        <f>I546*10000*SUM(税费参数!$B$9:$B$10)/税费参数!$B$11</f>
        <v>172.5</v>
      </c>
    </row>
    <row r="547" ht="21" customHeight="1" spans="1:13">
      <c r="A547" s="5" t="s">
        <v>15</v>
      </c>
      <c r="B547" s="6" t="s">
        <v>62</v>
      </c>
      <c r="C547" s="6" t="s">
        <v>152</v>
      </c>
      <c r="D547" s="6" t="s">
        <v>153</v>
      </c>
      <c r="E547" s="6" t="s">
        <v>579</v>
      </c>
      <c r="F547" s="6" t="s">
        <v>1712</v>
      </c>
      <c r="G547" s="6">
        <v>44.46</v>
      </c>
      <c r="H547" s="6">
        <v>48.17</v>
      </c>
      <c r="I547" s="6">
        <v>92</v>
      </c>
      <c r="J547" s="6">
        <v>2000</v>
      </c>
      <c r="K547" s="7">
        <f>(J547-M547)*税费参数!$B$12/(I547*10000*(1+SUM(税费参数!$B$6:$B$8)))</f>
        <v>0.0192388672491841</v>
      </c>
      <c r="L547" s="7">
        <f>J547*税费参数!$B$12/(I547*10000)</f>
        <v>0.0217391304347826</v>
      </c>
      <c r="M547" s="6">
        <f>I547*10000*SUM(税费参数!$B$9:$B$10)/税费参数!$B$11</f>
        <v>172.5</v>
      </c>
    </row>
    <row r="548" ht="21" customHeight="1" spans="1:13">
      <c r="A548" s="5" t="s">
        <v>15</v>
      </c>
      <c r="B548" s="6" t="s">
        <v>62</v>
      </c>
      <c r="C548" s="6" t="s">
        <v>152</v>
      </c>
      <c r="D548" s="6" t="s">
        <v>153</v>
      </c>
      <c r="E548" s="6" t="s">
        <v>579</v>
      </c>
      <c r="F548" s="6" t="s">
        <v>1714</v>
      </c>
      <c r="G548" s="6">
        <v>44.46</v>
      </c>
      <c r="H548" s="6">
        <v>44.46</v>
      </c>
      <c r="I548" s="6">
        <v>92</v>
      </c>
      <c r="J548" s="6">
        <v>2100</v>
      </c>
      <c r="K548" s="7">
        <f>(J548-M548)*税费参数!$B$12/(I548*10000*(1+SUM(税费参数!$B$6:$B$8)))</f>
        <v>0.0202916096431203</v>
      </c>
      <c r="L548" s="7">
        <f>J548*税费参数!$B$12/(I548*10000)</f>
        <v>0.0228260869565217</v>
      </c>
      <c r="M548" s="6">
        <f>I548*10000*SUM(税费参数!$B$9:$B$10)/税费参数!$B$11</f>
        <v>172.5</v>
      </c>
    </row>
    <row r="549" ht="21" customHeight="1" spans="1:13">
      <c r="A549" s="5" t="s">
        <v>15</v>
      </c>
      <c r="B549" s="6" t="s">
        <v>62</v>
      </c>
      <c r="C549" s="6" t="s">
        <v>152</v>
      </c>
      <c r="D549" s="6" t="s">
        <v>153</v>
      </c>
      <c r="E549" s="6" t="s">
        <v>579</v>
      </c>
      <c r="F549" s="6" t="s">
        <v>1715</v>
      </c>
      <c r="G549" s="6">
        <v>44.46</v>
      </c>
      <c r="H549" s="6">
        <v>43.13</v>
      </c>
      <c r="I549" s="6">
        <v>92</v>
      </c>
      <c r="J549" s="6">
        <v>2200</v>
      </c>
      <c r="K549" s="7">
        <f>(J549-M549)*税费参数!$B$12/(I549*10000*(1+SUM(税费参数!$B$6:$B$8)))</f>
        <v>0.0213443520370565</v>
      </c>
      <c r="L549" s="7">
        <f>J549*税费参数!$B$12/(I549*10000)</f>
        <v>0.0239130434782609</v>
      </c>
      <c r="M549" s="6">
        <f>I549*10000*SUM(税费参数!$B$9:$B$10)/税费参数!$B$11</f>
        <v>172.5</v>
      </c>
    </row>
    <row r="550" ht="21" customHeight="1" spans="1:13">
      <c r="A550" s="5" t="s">
        <v>15</v>
      </c>
      <c r="B550" s="6" t="s">
        <v>62</v>
      </c>
      <c r="C550" s="6" t="s">
        <v>152</v>
      </c>
      <c r="D550" s="6" t="s">
        <v>153</v>
      </c>
      <c r="E550" s="6" t="s">
        <v>565</v>
      </c>
      <c r="F550" s="6" t="s">
        <v>1713</v>
      </c>
      <c r="G550" s="6">
        <v>50.85</v>
      </c>
      <c r="H550" s="6">
        <v>44.46</v>
      </c>
      <c r="I550" s="6">
        <v>98</v>
      </c>
      <c r="J550" s="6">
        <v>1900</v>
      </c>
      <c r="K550" s="7">
        <f>(J550-M550)*税费参数!$B$12/(I550*10000*(1+SUM(税费参数!$B$6:$B$8)))</f>
        <v>0.0169615061520976</v>
      </c>
      <c r="L550" s="7">
        <f>J550*税费参数!$B$12/(I550*10000)</f>
        <v>0.0193877551020408</v>
      </c>
      <c r="M550" s="6">
        <f>I550*10000*SUM(税费参数!$B$9:$B$10)/税费参数!$B$11</f>
        <v>183.75</v>
      </c>
    </row>
    <row r="551" ht="21" customHeight="1" spans="1:13">
      <c r="A551" s="5" t="s">
        <v>15</v>
      </c>
      <c r="B551" s="6" t="s">
        <v>62</v>
      </c>
      <c r="C551" s="6" t="s">
        <v>152</v>
      </c>
      <c r="D551" s="6" t="s">
        <v>153</v>
      </c>
      <c r="E551" s="6" t="s">
        <v>565</v>
      </c>
      <c r="F551" s="6" t="s">
        <v>1712</v>
      </c>
      <c r="G551" s="6">
        <v>50.85</v>
      </c>
      <c r="H551" s="6">
        <v>48.17</v>
      </c>
      <c r="I551" s="6">
        <v>98</v>
      </c>
      <c r="J551" s="6">
        <v>2000</v>
      </c>
      <c r="K551" s="7">
        <f>(J551-M551)*税费参数!$B$12/(I551*10000*(1+SUM(税费参数!$B$6:$B$8)))</f>
        <v>0.0179497949300786</v>
      </c>
      <c r="L551" s="7">
        <f>J551*税费参数!$B$12/(I551*10000)</f>
        <v>0.0204081632653061</v>
      </c>
      <c r="M551" s="6">
        <f>I551*10000*SUM(税费参数!$B$9:$B$10)/税费参数!$B$11</f>
        <v>183.75</v>
      </c>
    </row>
    <row r="552" ht="21" customHeight="1" spans="1:13">
      <c r="A552" s="5" t="s">
        <v>15</v>
      </c>
      <c r="B552" s="6" t="s">
        <v>62</v>
      </c>
      <c r="C552" s="6" t="s">
        <v>152</v>
      </c>
      <c r="D552" s="6" t="s">
        <v>153</v>
      </c>
      <c r="E552" s="6" t="s">
        <v>565</v>
      </c>
      <c r="F552" s="6" t="s">
        <v>1714</v>
      </c>
      <c r="G552" s="6">
        <v>50.85</v>
      </c>
      <c r="H552" s="6">
        <v>44.46</v>
      </c>
      <c r="I552" s="6">
        <v>98</v>
      </c>
      <c r="J552" s="6">
        <v>2100</v>
      </c>
      <c r="K552" s="7">
        <f>(J552-M552)*税费参数!$B$12/(I552*10000*(1+SUM(税费参数!$B$6:$B$8)))</f>
        <v>0.0189380837080595</v>
      </c>
      <c r="L552" s="7">
        <f>J552*税费参数!$B$12/(I552*10000)</f>
        <v>0.0214285714285714</v>
      </c>
      <c r="M552" s="6">
        <f>I552*10000*SUM(税费参数!$B$9:$B$10)/税费参数!$B$11</f>
        <v>183.75</v>
      </c>
    </row>
    <row r="553" ht="21" customHeight="1" spans="1:13">
      <c r="A553" s="5" t="s">
        <v>15</v>
      </c>
      <c r="B553" s="6" t="s">
        <v>62</v>
      </c>
      <c r="C553" s="6" t="s">
        <v>152</v>
      </c>
      <c r="D553" s="6" t="s">
        <v>153</v>
      </c>
      <c r="E553" s="6" t="s">
        <v>563</v>
      </c>
      <c r="F553" s="6" t="s">
        <v>1713</v>
      </c>
      <c r="G553" s="6">
        <v>48.17</v>
      </c>
      <c r="H553" s="6">
        <v>44.46</v>
      </c>
      <c r="I553" s="6">
        <v>83.9</v>
      </c>
      <c r="J553" s="6">
        <v>1900</v>
      </c>
      <c r="K553" s="7">
        <f>(J553-M553)*税费参数!$B$12/(I553*10000*(1+SUM(税费参数!$B$6:$B$8)))</f>
        <v>0.02011719820956</v>
      </c>
      <c r="L553" s="7">
        <f>J553*税费参数!$B$12/(I553*10000)</f>
        <v>0.0226460071513707</v>
      </c>
      <c r="M553" s="6">
        <f>I553*10000*SUM(税费参数!$B$9:$B$10)/税费参数!$B$11</f>
        <v>157.3125</v>
      </c>
    </row>
    <row r="554" ht="21" customHeight="1" spans="1:13">
      <c r="A554" s="5" t="s">
        <v>15</v>
      </c>
      <c r="B554" s="6" t="s">
        <v>62</v>
      </c>
      <c r="C554" s="6" t="s">
        <v>152</v>
      </c>
      <c r="D554" s="6" t="s">
        <v>153</v>
      </c>
      <c r="E554" s="6" t="s">
        <v>563</v>
      </c>
      <c r="F554" s="6" t="s">
        <v>1712</v>
      </c>
      <c r="G554" s="6">
        <v>48.17</v>
      </c>
      <c r="H554" s="6">
        <v>48.17</v>
      </c>
      <c r="I554" s="6">
        <v>83.9</v>
      </c>
      <c r="J554" s="6">
        <v>2000</v>
      </c>
      <c r="K554" s="7">
        <f>(J554-M554)*税费参数!$B$12/(I554*10000*(1+SUM(税费参数!$B$6:$B$8)))</f>
        <v>0.0212715760431968</v>
      </c>
      <c r="L554" s="7">
        <f>J554*税费参数!$B$12/(I554*10000)</f>
        <v>0.0238379022646007</v>
      </c>
      <c r="M554" s="6">
        <f>I554*10000*SUM(税费参数!$B$9:$B$10)/税费参数!$B$11</f>
        <v>157.3125</v>
      </c>
    </row>
    <row r="555" ht="21" customHeight="1" spans="1:13">
      <c r="A555" s="5" t="s">
        <v>15</v>
      </c>
      <c r="B555" s="6" t="s">
        <v>62</v>
      </c>
      <c r="C555" s="6" t="s">
        <v>152</v>
      </c>
      <c r="D555" s="6" t="s">
        <v>153</v>
      </c>
      <c r="E555" s="6" t="s">
        <v>563</v>
      </c>
      <c r="F555" s="6" t="s">
        <v>1714</v>
      </c>
      <c r="G555" s="6">
        <v>48.17</v>
      </c>
      <c r="H555" s="6">
        <v>44.46</v>
      </c>
      <c r="I555" s="6">
        <v>83.9</v>
      </c>
      <c r="J555" s="6">
        <v>2100</v>
      </c>
      <c r="K555" s="7">
        <f>(J555-M555)*税费参数!$B$12/(I555*10000*(1+SUM(税费参数!$B$6:$B$8)))</f>
        <v>0.0224259538768337</v>
      </c>
      <c r="L555" s="7">
        <f>J555*税费参数!$B$12/(I555*10000)</f>
        <v>0.0250297973778308</v>
      </c>
      <c r="M555" s="6">
        <f>I555*10000*SUM(税费参数!$B$9:$B$10)/税费参数!$B$11</f>
        <v>157.3125</v>
      </c>
    </row>
    <row r="556" ht="21" customHeight="1" spans="1:13">
      <c r="A556" s="5" t="s">
        <v>15</v>
      </c>
      <c r="B556" s="6" t="s">
        <v>62</v>
      </c>
      <c r="C556" s="6" t="s">
        <v>152</v>
      </c>
      <c r="D556" s="6" t="s">
        <v>153</v>
      </c>
      <c r="E556" s="6" t="s">
        <v>563</v>
      </c>
      <c r="F556" s="6" t="s">
        <v>1715</v>
      </c>
      <c r="G556" s="6">
        <v>48.17</v>
      </c>
      <c r="H556" s="6">
        <v>43.13</v>
      </c>
      <c r="I556" s="6">
        <v>83.9</v>
      </c>
      <c r="J556" s="6">
        <v>2200</v>
      </c>
      <c r="K556" s="7">
        <f>(J556-M556)*税费参数!$B$12/(I556*10000*(1+SUM(税费参数!$B$6:$B$8)))</f>
        <v>0.0235803317104705</v>
      </c>
      <c r="L556" s="7">
        <f>J556*税费参数!$B$12/(I556*10000)</f>
        <v>0.0262216924910608</v>
      </c>
      <c r="M556" s="6">
        <f>I556*10000*SUM(税费参数!$B$9:$B$10)/税费参数!$B$11</f>
        <v>157.3125</v>
      </c>
    </row>
    <row r="557" ht="21" customHeight="1" spans="1:13">
      <c r="A557" s="5" t="s">
        <v>15</v>
      </c>
      <c r="B557" s="6" t="s">
        <v>62</v>
      </c>
      <c r="C557" s="6" t="s">
        <v>152</v>
      </c>
      <c r="D557" s="6" t="s">
        <v>153</v>
      </c>
      <c r="E557" s="6" t="s">
        <v>583</v>
      </c>
      <c r="F557" s="6" t="s">
        <v>1713</v>
      </c>
      <c r="G557" s="6">
        <v>49.39</v>
      </c>
      <c r="H557" s="6">
        <v>44.46</v>
      </c>
      <c r="I557" s="6">
        <v>95.9</v>
      </c>
      <c r="J557" s="6">
        <v>1900</v>
      </c>
      <c r="K557" s="7">
        <f>(J557-M557)*税费参数!$B$12/(I557*10000*(1+SUM(税费参数!$B$6:$B$8)))</f>
        <v>0.0173726919940313</v>
      </c>
      <c r="L557" s="7">
        <f>J557*税费参数!$B$12/(I557*10000)</f>
        <v>0.0198123044838373</v>
      </c>
      <c r="M557" s="6">
        <f>I557*10000*SUM(税费参数!$B$9:$B$10)/税费参数!$B$11</f>
        <v>179.8125</v>
      </c>
    </row>
    <row r="558" ht="21" customHeight="1" spans="1:13">
      <c r="A558" s="5" t="s">
        <v>15</v>
      </c>
      <c r="B558" s="6" t="s">
        <v>62</v>
      </c>
      <c r="C558" s="6" t="s">
        <v>152</v>
      </c>
      <c r="D558" s="6" t="s">
        <v>153</v>
      </c>
      <c r="E558" s="6" t="s">
        <v>583</v>
      </c>
      <c r="F558" s="6" t="s">
        <v>1712</v>
      </c>
      <c r="G558" s="6">
        <v>49.39</v>
      </c>
      <c r="H558" s="6">
        <v>48.17</v>
      </c>
      <c r="I558" s="6">
        <v>95.9</v>
      </c>
      <c r="J558" s="6">
        <v>2000</v>
      </c>
      <c r="K558" s="7">
        <f>(J558-M558)*税费参数!$B$12/(I558*10000*(1+SUM(税费参数!$B$6:$B$8)))</f>
        <v>0.018382622132114</v>
      </c>
      <c r="L558" s="7">
        <f>J558*税费参数!$B$12/(I558*10000)</f>
        <v>0.0208550573514077</v>
      </c>
      <c r="M558" s="6">
        <f>I558*10000*SUM(税费参数!$B$9:$B$10)/税费参数!$B$11</f>
        <v>179.8125</v>
      </c>
    </row>
    <row r="559" ht="21" customHeight="1" spans="1:13">
      <c r="A559" s="5" t="s">
        <v>15</v>
      </c>
      <c r="B559" s="6" t="s">
        <v>62</v>
      </c>
      <c r="C559" s="6" t="s">
        <v>152</v>
      </c>
      <c r="D559" s="6" t="s">
        <v>153</v>
      </c>
      <c r="E559" s="6" t="s">
        <v>583</v>
      </c>
      <c r="F559" s="6" t="s">
        <v>1714</v>
      </c>
      <c r="G559" s="6">
        <v>49.39</v>
      </c>
      <c r="H559" s="6">
        <v>44.46</v>
      </c>
      <c r="I559" s="6">
        <v>95.9</v>
      </c>
      <c r="J559" s="6">
        <v>2100</v>
      </c>
      <c r="K559" s="7">
        <f>(J559-M559)*税费参数!$B$12/(I559*10000*(1+SUM(税费参数!$B$6:$B$8)))</f>
        <v>0.0193925522701967</v>
      </c>
      <c r="L559" s="7">
        <f>J559*税费参数!$B$12/(I559*10000)</f>
        <v>0.0218978102189781</v>
      </c>
      <c r="M559" s="6">
        <f>I559*10000*SUM(税费参数!$B$9:$B$10)/税费参数!$B$11</f>
        <v>179.8125</v>
      </c>
    </row>
    <row r="560" ht="21" customHeight="1" spans="1:13">
      <c r="A560" s="5" t="s">
        <v>15</v>
      </c>
      <c r="B560" s="6" t="s">
        <v>62</v>
      </c>
      <c r="C560" s="6" t="s">
        <v>152</v>
      </c>
      <c r="D560" s="6" t="s">
        <v>153</v>
      </c>
      <c r="E560" s="6" t="s">
        <v>583</v>
      </c>
      <c r="F560" s="6" t="s">
        <v>1715</v>
      </c>
      <c r="G560" s="6">
        <v>49.39</v>
      </c>
      <c r="H560" s="6">
        <v>43.13</v>
      </c>
      <c r="I560" s="6">
        <v>95.9</v>
      </c>
      <c r="J560" s="6">
        <v>2200</v>
      </c>
      <c r="K560" s="7">
        <f>(J560-M560)*税费参数!$B$12/(I560*10000*(1+SUM(税费参数!$B$6:$B$8)))</f>
        <v>0.0204024824082794</v>
      </c>
      <c r="L560" s="7">
        <f>J560*税费参数!$B$12/(I560*10000)</f>
        <v>0.0229405630865485</v>
      </c>
      <c r="M560" s="6">
        <f>I560*10000*SUM(税费参数!$B$9:$B$10)/税费参数!$B$11</f>
        <v>179.8125</v>
      </c>
    </row>
    <row r="561" ht="21" customHeight="1" spans="1:13">
      <c r="A561" s="5" t="s">
        <v>15</v>
      </c>
      <c r="B561" s="6" t="s">
        <v>66</v>
      </c>
      <c r="C561" s="6" t="s">
        <v>159</v>
      </c>
      <c r="D561" s="6" t="s">
        <v>153</v>
      </c>
      <c r="E561" s="6" t="s">
        <v>625</v>
      </c>
      <c r="F561" s="6" t="s">
        <v>1716</v>
      </c>
      <c r="G561" s="6">
        <v>36.29</v>
      </c>
      <c r="H561" s="6">
        <v>36.41</v>
      </c>
      <c r="I561" s="6">
        <v>88.8</v>
      </c>
      <c r="J561" s="6">
        <v>1900</v>
      </c>
      <c r="K561" s="7">
        <f>(J561-M561)*税费参数!$B$12/(I561*10000*(1+SUM(税费参数!$B$6:$B$8)))</f>
        <v>0.0189069214492943</v>
      </c>
      <c r="L561" s="7">
        <f>J561*税费参数!$B$12/(I561*10000)</f>
        <v>0.0213963963963964</v>
      </c>
      <c r="M561" s="6">
        <f>I561*10000*SUM(税费参数!$B$9:$B$10)/税费参数!$B$11</f>
        <v>166.5</v>
      </c>
    </row>
    <row r="562" ht="21" customHeight="1" spans="1:13">
      <c r="A562" s="5" t="s">
        <v>15</v>
      </c>
      <c r="B562" s="6" t="s">
        <v>66</v>
      </c>
      <c r="C562" s="6" t="s">
        <v>152</v>
      </c>
      <c r="D562" s="6" t="s">
        <v>153</v>
      </c>
      <c r="E562" s="6" t="s">
        <v>595</v>
      </c>
      <c r="F562" s="6" t="s">
        <v>1717</v>
      </c>
      <c r="G562" s="6">
        <v>52.04</v>
      </c>
      <c r="H562" s="6">
        <v>46.92</v>
      </c>
      <c r="I562" s="6">
        <v>109</v>
      </c>
      <c r="J562" s="6">
        <v>2300</v>
      </c>
      <c r="K562" s="7">
        <f>(J562-M562)*税费参数!$B$12/(I562*10000*(1+SUM(税费参数!$B$6:$B$8)))</f>
        <v>0.0186207432747629</v>
      </c>
      <c r="L562" s="7">
        <f>J562*税费参数!$B$12/(I562*10000)</f>
        <v>0.0211009174311927</v>
      </c>
      <c r="M562" s="6">
        <f>I562*10000*SUM(税费参数!$B$9:$B$10)/税费参数!$B$11</f>
        <v>204.375</v>
      </c>
    </row>
    <row r="563" ht="21" customHeight="1" spans="1:13">
      <c r="A563" s="5" t="s">
        <v>15</v>
      </c>
      <c r="B563" s="6" t="s">
        <v>66</v>
      </c>
      <c r="C563" s="6" t="s">
        <v>152</v>
      </c>
      <c r="D563" s="6" t="s">
        <v>153</v>
      </c>
      <c r="E563" s="6" t="s">
        <v>595</v>
      </c>
      <c r="F563" s="6" t="s">
        <v>1718</v>
      </c>
      <c r="G563" s="6">
        <v>52.04</v>
      </c>
      <c r="H563" s="6">
        <v>47.47</v>
      </c>
      <c r="I563" s="6">
        <v>109</v>
      </c>
      <c r="J563" s="6">
        <v>2200</v>
      </c>
      <c r="K563" s="7">
        <f>(J563-M563)*税费参数!$B$12/(I563*10000*(1+SUM(税费参数!$B$6:$B$8)))</f>
        <v>0.0177321900615323</v>
      </c>
      <c r="L563" s="7">
        <f>J563*税费参数!$B$12/(I563*10000)</f>
        <v>0.0201834862385321</v>
      </c>
      <c r="M563" s="6">
        <f>I563*10000*SUM(税费参数!$B$9:$B$10)/税费参数!$B$11</f>
        <v>204.375</v>
      </c>
    </row>
    <row r="564" ht="21" customHeight="1" spans="1:13">
      <c r="A564" s="5" t="s">
        <v>15</v>
      </c>
      <c r="B564" s="6" t="s">
        <v>66</v>
      </c>
      <c r="C564" s="6" t="s">
        <v>152</v>
      </c>
      <c r="D564" s="6" t="s">
        <v>153</v>
      </c>
      <c r="E564" s="6" t="s">
        <v>595</v>
      </c>
      <c r="F564" s="6" t="s">
        <v>1719</v>
      </c>
      <c r="G564" s="6">
        <v>52.04</v>
      </c>
      <c r="H564" s="6">
        <v>45.45</v>
      </c>
      <c r="I564" s="6">
        <v>109</v>
      </c>
      <c r="J564" s="6">
        <v>2025</v>
      </c>
      <c r="K564" s="7">
        <f>(J564-M564)*税费参数!$B$12/(I564*10000*(1+SUM(税费参数!$B$6:$B$8)))</f>
        <v>0.0161772219383788</v>
      </c>
      <c r="L564" s="7">
        <f>J564*税费参数!$B$12/(I564*10000)</f>
        <v>0.0185779816513761</v>
      </c>
      <c r="M564" s="6">
        <f>I564*10000*SUM(税费参数!$B$9:$B$10)/税费参数!$B$11</f>
        <v>204.375</v>
      </c>
    </row>
    <row r="565" ht="21" customHeight="1" spans="1:13">
      <c r="A565" s="5" t="s">
        <v>15</v>
      </c>
      <c r="B565" s="6" t="s">
        <v>66</v>
      </c>
      <c r="C565" s="6" t="s">
        <v>152</v>
      </c>
      <c r="D565" s="6" t="s">
        <v>153</v>
      </c>
      <c r="E565" s="6" t="s">
        <v>595</v>
      </c>
      <c r="F565" s="6" t="s">
        <v>1720</v>
      </c>
      <c r="G565" s="6">
        <v>52.04</v>
      </c>
      <c r="H565" s="6">
        <v>45.33</v>
      </c>
      <c r="I565" s="6">
        <v>109</v>
      </c>
      <c r="J565" s="6">
        <v>2200</v>
      </c>
      <c r="K565" s="7">
        <f>(J565-M565)*税费参数!$B$12/(I565*10000*(1+SUM(税费参数!$B$6:$B$8)))</f>
        <v>0.0177321900615323</v>
      </c>
      <c r="L565" s="7">
        <f>J565*税费参数!$B$12/(I565*10000)</f>
        <v>0.0201834862385321</v>
      </c>
      <c r="M565" s="6">
        <f>I565*10000*SUM(税费参数!$B$9:$B$10)/税费参数!$B$11</f>
        <v>204.375</v>
      </c>
    </row>
    <row r="566" ht="21" customHeight="1" spans="1:13">
      <c r="A566" s="5" t="s">
        <v>15</v>
      </c>
      <c r="B566" s="6" t="s">
        <v>66</v>
      </c>
      <c r="C566" s="6" t="s">
        <v>152</v>
      </c>
      <c r="D566" s="6" t="s">
        <v>153</v>
      </c>
      <c r="E566" s="6" t="s">
        <v>595</v>
      </c>
      <c r="F566" s="6" t="s">
        <v>1721</v>
      </c>
      <c r="G566" s="6">
        <v>52.04</v>
      </c>
      <c r="H566" s="6">
        <v>45.47</v>
      </c>
      <c r="I566" s="6">
        <v>109</v>
      </c>
      <c r="J566" s="6">
        <v>2000</v>
      </c>
      <c r="K566" s="7">
        <f>(J566-M566)*税费参数!$B$12/(I566*10000*(1+SUM(税费参数!$B$6:$B$8)))</f>
        <v>0.0159550836350712</v>
      </c>
      <c r="L566" s="7">
        <f>J566*税费参数!$B$12/(I566*10000)</f>
        <v>0.018348623853211</v>
      </c>
      <c r="M566" s="6">
        <f>I566*10000*SUM(税费参数!$B$9:$B$10)/税费参数!$B$11</f>
        <v>204.375</v>
      </c>
    </row>
    <row r="567" ht="21" customHeight="1" spans="1:13">
      <c r="A567" s="5" t="s">
        <v>15</v>
      </c>
      <c r="B567" s="6" t="s">
        <v>66</v>
      </c>
      <c r="C567" s="6" t="s">
        <v>152</v>
      </c>
      <c r="D567" s="6" t="s">
        <v>153</v>
      </c>
      <c r="E567" s="6" t="s">
        <v>595</v>
      </c>
      <c r="F567" s="6" t="s">
        <v>1722</v>
      </c>
      <c r="G567" s="6">
        <v>52.04</v>
      </c>
      <c r="H567" s="6">
        <v>45.47</v>
      </c>
      <c r="I567" s="6">
        <v>109</v>
      </c>
      <c r="J567" s="6">
        <v>2000</v>
      </c>
      <c r="K567" s="7">
        <f>(J567-M567)*税费参数!$B$12/(I567*10000*(1+SUM(税费参数!$B$6:$B$8)))</f>
        <v>0.0159550836350712</v>
      </c>
      <c r="L567" s="7">
        <f>J567*税费参数!$B$12/(I567*10000)</f>
        <v>0.018348623853211</v>
      </c>
      <c r="M567" s="6">
        <f>I567*10000*SUM(税费参数!$B$9:$B$10)/税费参数!$B$11</f>
        <v>204.375</v>
      </c>
    </row>
    <row r="568" ht="21" customHeight="1" spans="1:13">
      <c r="A568" s="5" t="s">
        <v>15</v>
      </c>
      <c r="B568" s="6" t="s">
        <v>66</v>
      </c>
      <c r="C568" s="6" t="s">
        <v>152</v>
      </c>
      <c r="D568" s="6" t="s">
        <v>153</v>
      </c>
      <c r="E568" s="6" t="s">
        <v>595</v>
      </c>
      <c r="F568" s="6" t="s">
        <v>1723</v>
      </c>
      <c r="G568" s="6">
        <v>52.04</v>
      </c>
      <c r="H568" s="6">
        <v>50.1</v>
      </c>
      <c r="I568" s="6">
        <v>109</v>
      </c>
      <c r="J568" s="6">
        <v>2250</v>
      </c>
      <c r="K568" s="7">
        <f>(J568-M568)*税费参数!$B$12/(I568*10000*(1+SUM(税费参数!$B$6:$B$8)))</f>
        <v>0.0181764666681476</v>
      </c>
      <c r="L568" s="7">
        <f>J568*税费参数!$B$12/(I568*10000)</f>
        <v>0.0206422018348624</v>
      </c>
      <c r="M568" s="6">
        <f>I568*10000*SUM(税费参数!$B$9:$B$10)/税费参数!$B$11</f>
        <v>204.375</v>
      </c>
    </row>
    <row r="569" ht="21" customHeight="1" spans="1:13">
      <c r="A569" s="5" t="s">
        <v>15</v>
      </c>
      <c r="B569" s="6" t="s">
        <v>66</v>
      </c>
      <c r="C569" s="6" t="s">
        <v>152</v>
      </c>
      <c r="D569" s="6" t="s">
        <v>153</v>
      </c>
      <c r="E569" s="6" t="s">
        <v>595</v>
      </c>
      <c r="F569" s="6" t="s">
        <v>1724</v>
      </c>
      <c r="G569" s="6">
        <v>52.04</v>
      </c>
      <c r="H569" s="6">
        <v>45</v>
      </c>
      <c r="I569" s="6">
        <v>109</v>
      </c>
      <c r="J569" s="6">
        <v>2100</v>
      </c>
      <c r="K569" s="7">
        <f>(J569-M569)*税费参数!$B$12/(I569*10000*(1+SUM(税费参数!$B$6:$B$8)))</f>
        <v>0.0168436368483018</v>
      </c>
      <c r="L569" s="7">
        <f>J569*税费参数!$B$12/(I569*10000)</f>
        <v>0.0192660550458716</v>
      </c>
      <c r="M569" s="6">
        <f>I569*10000*SUM(税费参数!$B$9:$B$10)/税费参数!$B$11</f>
        <v>204.375</v>
      </c>
    </row>
    <row r="570" ht="21" customHeight="1" spans="1:13">
      <c r="A570" s="5" t="s">
        <v>15</v>
      </c>
      <c r="B570" s="6" t="s">
        <v>66</v>
      </c>
      <c r="C570" s="6" t="s">
        <v>152</v>
      </c>
      <c r="D570" s="6" t="s">
        <v>153</v>
      </c>
      <c r="E570" s="6" t="s">
        <v>595</v>
      </c>
      <c r="F570" s="6" t="s">
        <v>1725</v>
      </c>
      <c r="G570" s="6">
        <v>52.04</v>
      </c>
      <c r="H570" s="6">
        <v>45.66</v>
      </c>
      <c r="I570" s="6">
        <v>109</v>
      </c>
      <c r="J570" s="6">
        <v>1900</v>
      </c>
      <c r="K570" s="7">
        <f>(J570-M570)*税费参数!$B$12/(I570*10000*(1+SUM(税费参数!$B$6:$B$8)))</f>
        <v>0.0150665304218406</v>
      </c>
      <c r="L570" s="7">
        <f>J570*税费参数!$B$12/(I570*10000)</f>
        <v>0.0174311926605505</v>
      </c>
      <c r="M570" s="6">
        <f>I570*10000*SUM(税费参数!$B$9:$B$10)/税费参数!$B$11</f>
        <v>204.375</v>
      </c>
    </row>
    <row r="571" ht="21" customHeight="1" spans="1:13">
      <c r="A571" s="5" t="s">
        <v>15</v>
      </c>
      <c r="B571" s="6" t="s">
        <v>66</v>
      </c>
      <c r="C571" s="6" t="s">
        <v>152</v>
      </c>
      <c r="D571" s="6" t="s">
        <v>153</v>
      </c>
      <c r="E571" s="6" t="s">
        <v>595</v>
      </c>
      <c r="F571" s="6" t="s">
        <v>1726</v>
      </c>
      <c r="G571" s="6">
        <v>52.04</v>
      </c>
      <c r="H571" s="6">
        <v>46.66</v>
      </c>
      <c r="I571" s="6">
        <v>109</v>
      </c>
      <c r="J571" s="6">
        <v>2100</v>
      </c>
      <c r="K571" s="7">
        <f>(J571-M571)*税费参数!$B$12/(I571*10000*(1+SUM(税费参数!$B$6:$B$8)))</f>
        <v>0.0168436368483018</v>
      </c>
      <c r="L571" s="7">
        <f>J571*税费参数!$B$12/(I571*10000)</f>
        <v>0.0192660550458716</v>
      </c>
      <c r="M571" s="6">
        <f>I571*10000*SUM(税费参数!$B$9:$B$10)/税费参数!$B$11</f>
        <v>204.375</v>
      </c>
    </row>
    <row r="572" ht="21" customHeight="1" spans="1:13">
      <c r="A572" s="5" t="s">
        <v>15</v>
      </c>
      <c r="B572" s="6" t="s">
        <v>66</v>
      </c>
      <c r="C572" s="6" t="s">
        <v>152</v>
      </c>
      <c r="D572" s="6" t="s">
        <v>153</v>
      </c>
      <c r="E572" s="6" t="s">
        <v>595</v>
      </c>
      <c r="F572" s="6" t="s">
        <v>1727</v>
      </c>
      <c r="G572" s="6">
        <v>52.04</v>
      </c>
      <c r="H572" s="6">
        <v>45.46</v>
      </c>
      <c r="I572" s="6">
        <v>109</v>
      </c>
      <c r="J572" s="6">
        <v>1900</v>
      </c>
      <c r="K572" s="7">
        <f>(J572-M572)*税费参数!$B$12/(I572*10000*(1+SUM(税费参数!$B$6:$B$8)))</f>
        <v>0.0150665304218406</v>
      </c>
      <c r="L572" s="7">
        <f>J572*税费参数!$B$12/(I572*10000)</f>
        <v>0.0174311926605505</v>
      </c>
      <c r="M572" s="6">
        <f>I572*10000*SUM(税费参数!$B$9:$B$10)/税费参数!$B$11</f>
        <v>204.375</v>
      </c>
    </row>
    <row r="573" ht="21" customHeight="1" spans="1:13">
      <c r="A573" s="5" t="s">
        <v>15</v>
      </c>
      <c r="B573" s="6" t="s">
        <v>66</v>
      </c>
      <c r="C573" s="6" t="s">
        <v>152</v>
      </c>
      <c r="D573" s="6" t="s">
        <v>153</v>
      </c>
      <c r="E573" s="6" t="s">
        <v>595</v>
      </c>
      <c r="F573" s="6" t="s">
        <v>1728</v>
      </c>
      <c r="G573" s="6">
        <v>52.04</v>
      </c>
      <c r="H573" s="6">
        <v>45.45</v>
      </c>
      <c r="I573" s="6">
        <v>109</v>
      </c>
      <c r="J573" s="6">
        <v>2000</v>
      </c>
      <c r="K573" s="7">
        <f>(J573-M573)*税费参数!$B$12/(I573*10000*(1+SUM(税费参数!$B$6:$B$8)))</f>
        <v>0.0159550836350712</v>
      </c>
      <c r="L573" s="7">
        <f>J573*税费参数!$B$12/(I573*10000)</f>
        <v>0.018348623853211</v>
      </c>
      <c r="M573" s="6">
        <f>I573*10000*SUM(税费参数!$B$9:$B$10)/税费参数!$B$11</f>
        <v>204.375</v>
      </c>
    </row>
    <row r="574" ht="21" customHeight="1" spans="1:13">
      <c r="A574" s="5" t="s">
        <v>15</v>
      </c>
      <c r="B574" s="6" t="s">
        <v>66</v>
      </c>
      <c r="C574" s="6" t="s">
        <v>152</v>
      </c>
      <c r="D574" s="6" t="s">
        <v>153</v>
      </c>
      <c r="E574" s="6" t="s">
        <v>595</v>
      </c>
      <c r="F574" s="6" t="s">
        <v>1729</v>
      </c>
      <c r="G574" s="6">
        <v>52.04</v>
      </c>
      <c r="H574" s="6">
        <v>45.26</v>
      </c>
      <c r="I574" s="6">
        <v>109</v>
      </c>
      <c r="J574" s="6">
        <v>2001</v>
      </c>
      <c r="K574" s="7">
        <f>(J574-M574)*税费参数!$B$12/(I574*10000*(1+SUM(税费参数!$B$6:$B$8)))</f>
        <v>0.0159639691672035</v>
      </c>
      <c r="L574" s="7">
        <f>J574*税费参数!$B$12/(I574*10000)</f>
        <v>0.0183577981651376</v>
      </c>
      <c r="M574" s="6">
        <f>I574*10000*SUM(税费参数!$B$9:$B$10)/税费参数!$B$11</f>
        <v>204.375</v>
      </c>
    </row>
    <row r="575" ht="21" customHeight="1" spans="1:13">
      <c r="A575" s="5" t="s">
        <v>15</v>
      </c>
      <c r="B575" s="6" t="s">
        <v>66</v>
      </c>
      <c r="C575" s="6" t="s">
        <v>152</v>
      </c>
      <c r="D575" s="6" t="s">
        <v>153</v>
      </c>
      <c r="E575" s="6" t="s">
        <v>595</v>
      </c>
      <c r="F575" s="6" t="s">
        <v>1730</v>
      </c>
      <c r="G575" s="6">
        <v>52.04</v>
      </c>
      <c r="H575" s="6">
        <v>45.34</v>
      </c>
      <c r="I575" s="6">
        <v>109</v>
      </c>
      <c r="J575" s="6">
        <v>2000</v>
      </c>
      <c r="K575" s="7">
        <f>(J575-M575)*税费参数!$B$12/(I575*10000*(1+SUM(税费参数!$B$6:$B$8)))</f>
        <v>0.0159550836350712</v>
      </c>
      <c r="L575" s="7">
        <f>J575*税费参数!$B$12/(I575*10000)</f>
        <v>0.018348623853211</v>
      </c>
      <c r="M575" s="6">
        <f>I575*10000*SUM(税费参数!$B$9:$B$10)/税费参数!$B$11</f>
        <v>204.375</v>
      </c>
    </row>
    <row r="576" ht="21" customHeight="1" spans="1:13">
      <c r="A576" s="5" t="s">
        <v>15</v>
      </c>
      <c r="B576" s="6" t="s">
        <v>66</v>
      </c>
      <c r="C576" s="6" t="s">
        <v>152</v>
      </c>
      <c r="D576" s="6" t="s">
        <v>153</v>
      </c>
      <c r="E576" s="6" t="s">
        <v>595</v>
      </c>
      <c r="F576" s="6" t="s">
        <v>1731</v>
      </c>
      <c r="G576" s="6">
        <v>52.04</v>
      </c>
      <c r="H576" s="6">
        <v>45.45</v>
      </c>
      <c r="I576" s="6">
        <v>109</v>
      </c>
      <c r="J576" s="6">
        <v>2400</v>
      </c>
      <c r="K576" s="7">
        <f>(J576-M576)*税费参数!$B$12/(I576*10000*(1+SUM(税费参数!$B$6:$B$8)))</f>
        <v>0.0195092964879934</v>
      </c>
      <c r="L576" s="7">
        <f>J576*税费参数!$B$12/(I576*10000)</f>
        <v>0.0220183486238532</v>
      </c>
      <c r="M576" s="6">
        <f>I576*10000*SUM(税费参数!$B$9:$B$10)/税费参数!$B$11</f>
        <v>204.375</v>
      </c>
    </row>
    <row r="577" ht="21" customHeight="1" spans="1:13">
      <c r="A577" s="5" t="s">
        <v>15</v>
      </c>
      <c r="B577" s="6" t="s">
        <v>66</v>
      </c>
      <c r="C577" s="6" t="s">
        <v>152</v>
      </c>
      <c r="D577" s="6" t="s">
        <v>153</v>
      </c>
      <c r="E577" s="6" t="s">
        <v>601</v>
      </c>
      <c r="F577" s="6" t="s">
        <v>1717</v>
      </c>
      <c r="G577" s="6">
        <v>47.26</v>
      </c>
      <c r="H577" s="6">
        <v>46.92</v>
      </c>
      <c r="I577" s="6">
        <v>96.9</v>
      </c>
      <c r="J577" s="6">
        <v>2300</v>
      </c>
      <c r="K577" s="7">
        <f>(J577-M577)*税费参数!$B$12/(I577*10000*(1+SUM(税费参数!$B$6:$B$8)))</f>
        <v>0.0211726974465076</v>
      </c>
      <c r="L577" s="7">
        <f>J577*税费参数!$B$12/(I577*10000)</f>
        <v>0.0237358101135191</v>
      </c>
      <c r="M577" s="6">
        <f>I577*10000*SUM(税费参数!$B$9:$B$10)/税费参数!$B$11</f>
        <v>181.6875</v>
      </c>
    </row>
    <row r="578" ht="21" customHeight="1" spans="1:13">
      <c r="A578" s="5" t="s">
        <v>15</v>
      </c>
      <c r="B578" s="6" t="s">
        <v>66</v>
      </c>
      <c r="C578" s="6" t="s">
        <v>152</v>
      </c>
      <c r="D578" s="6" t="s">
        <v>153</v>
      </c>
      <c r="E578" s="6" t="s">
        <v>601</v>
      </c>
      <c r="F578" s="6" t="s">
        <v>1718</v>
      </c>
      <c r="G578" s="6">
        <v>47.26</v>
      </c>
      <c r="H578" s="6">
        <v>47.47</v>
      </c>
      <c r="I578" s="6">
        <v>96.9</v>
      </c>
      <c r="J578" s="6">
        <v>2200</v>
      </c>
      <c r="K578" s="7">
        <f>(J578-M578)*税费参数!$B$12/(I578*10000*(1+SUM(税费参数!$B$6:$B$8)))</f>
        <v>0.0201731897040707</v>
      </c>
      <c r="L578" s="7">
        <f>J578*税费参数!$B$12/(I578*10000)</f>
        <v>0.022703818369453</v>
      </c>
      <c r="M578" s="6">
        <f>I578*10000*SUM(税费参数!$B$9:$B$10)/税费参数!$B$11</f>
        <v>181.6875</v>
      </c>
    </row>
    <row r="579" ht="21" customHeight="1" spans="1:13">
      <c r="A579" s="5" t="s">
        <v>15</v>
      </c>
      <c r="B579" s="6" t="s">
        <v>66</v>
      </c>
      <c r="C579" s="6" t="s">
        <v>152</v>
      </c>
      <c r="D579" s="6" t="s">
        <v>153</v>
      </c>
      <c r="E579" s="6" t="s">
        <v>601</v>
      </c>
      <c r="F579" s="6" t="s">
        <v>1719</v>
      </c>
      <c r="G579" s="6">
        <v>47.26</v>
      </c>
      <c r="H579" s="6">
        <v>45.45</v>
      </c>
      <c r="I579" s="6">
        <v>96.9</v>
      </c>
      <c r="J579" s="6">
        <v>2025</v>
      </c>
      <c r="K579" s="7">
        <f>(J579-M579)*税费参数!$B$12/(I579*10000*(1+SUM(税费参数!$B$6:$B$8)))</f>
        <v>0.0184240511548063</v>
      </c>
      <c r="L579" s="7">
        <f>J579*税费参数!$B$12/(I579*10000)</f>
        <v>0.0208978328173375</v>
      </c>
      <c r="M579" s="6">
        <f>I579*10000*SUM(税费参数!$B$9:$B$10)/税费参数!$B$11</f>
        <v>181.6875</v>
      </c>
    </row>
    <row r="580" ht="21" customHeight="1" spans="1:13">
      <c r="A580" s="5" t="s">
        <v>15</v>
      </c>
      <c r="B580" s="6" t="s">
        <v>66</v>
      </c>
      <c r="C580" s="6" t="s">
        <v>152</v>
      </c>
      <c r="D580" s="6" t="s">
        <v>153</v>
      </c>
      <c r="E580" s="6" t="s">
        <v>601</v>
      </c>
      <c r="F580" s="6" t="s">
        <v>1720</v>
      </c>
      <c r="G580" s="6">
        <v>47.26</v>
      </c>
      <c r="H580" s="6">
        <v>45.33</v>
      </c>
      <c r="I580" s="6">
        <v>96.9</v>
      </c>
      <c r="J580" s="6">
        <v>2200</v>
      </c>
      <c r="K580" s="7">
        <f>(J580-M580)*税费参数!$B$12/(I580*10000*(1+SUM(税费参数!$B$6:$B$8)))</f>
        <v>0.0201731897040707</v>
      </c>
      <c r="L580" s="7">
        <f>J580*税费参数!$B$12/(I580*10000)</f>
        <v>0.022703818369453</v>
      </c>
      <c r="M580" s="6">
        <f>I580*10000*SUM(税费参数!$B$9:$B$10)/税费参数!$B$11</f>
        <v>181.6875</v>
      </c>
    </row>
    <row r="581" ht="21" customHeight="1" spans="1:13">
      <c r="A581" s="5" t="s">
        <v>15</v>
      </c>
      <c r="B581" s="6" t="s">
        <v>66</v>
      </c>
      <c r="C581" s="6" t="s">
        <v>152</v>
      </c>
      <c r="D581" s="6" t="s">
        <v>153</v>
      </c>
      <c r="E581" s="6" t="s">
        <v>601</v>
      </c>
      <c r="F581" s="6" t="s">
        <v>1721</v>
      </c>
      <c r="G581" s="6">
        <v>47.26</v>
      </c>
      <c r="H581" s="6">
        <v>45.47</v>
      </c>
      <c r="I581" s="6">
        <v>96.9</v>
      </c>
      <c r="J581" s="6">
        <v>2000</v>
      </c>
      <c r="K581" s="7">
        <f>(J581-M581)*税费参数!$B$12/(I581*10000*(1+SUM(税费参数!$B$6:$B$8)))</f>
        <v>0.018174174219197</v>
      </c>
      <c r="L581" s="7">
        <f>J581*税费参数!$B$12/(I581*10000)</f>
        <v>0.0206398348813209</v>
      </c>
      <c r="M581" s="6">
        <f>I581*10000*SUM(税费参数!$B$9:$B$10)/税费参数!$B$11</f>
        <v>181.6875</v>
      </c>
    </row>
    <row r="582" ht="21" customHeight="1" spans="1:13">
      <c r="A582" s="5" t="s">
        <v>15</v>
      </c>
      <c r="B582" s="6" t="s">
        <v>66</v>
      </c>
      <c r="C582" s="6" t="s">
        <v>152</v>
      </c>
      <c r="D582" s="6" t="s">
        <v>153</v>
      </c>
      <c r="E582" s="6" t="s">
        <v>601</v>
      </c>
      <c r="F582" s="6" t="s">
        <v>1722</v>
      </c>
      <c r="G582" s="6">
        <v>47.26</v>
      </c>
      <c r="H582" s="6">
        <v>45.47</v>
      </c>
      <c r="I582" s="6">
        <v>96.9</v>
      </c>
      <c r="J582" s="6">
        <v>2000</v>
      </c>
      <c r="K582" s="7">
        <f>(J582-M582)*税费参数!$B$12/(I582*10000*(1+SUM(税费参数!$B$6:$B$8)))</f>
        <v>0.018174174219197</v>
      </c>
      <c r="L582" s="7">
        <f>J582*税费参数!$B$12/(I582*10000)</f>
        <v>0.0206398348813209</v>
      </c>
      <c r="M582" s="6">
        <f>I582*10000*SUM(税费参数!$B$9:$B$10)/税费参数!$B$11</f>
        <v>181.6875</v>
      </c>
    </row>
    <row r="583" ht="21" customHeight="1" spans="1:13">
      <c r="A583" s="5" t="s">
        <v>15</v>
      </c>
      <c r="B583" s="6" t="s">
        <v>66</v>
      </c>
      <c r="C583" s="6" t="s">
        <v>152</v>
      </c>
      <c r="D583" s="6" t="s">
        <v>153</v>
      </c>
      <c r="E583" s="6" t="s">
        <v>601</v>
      </c>
      <c r="F583" s="6" t="s">
        <v>1723</v>
      </c>
      <c r="G583" s="6">
        <v>47.26</v>
      </c>
      <c r="H583" s="6">
        <v>50.1</v>
      </c>
      <c r="I583" s="6">
        <v>96.9</v>
      </c>
      <c r="J583" s="6">
        <v>2250</v>
      </c>
      <c r="K583" s="7">
        <f>(J583-M583)*税费参数!$B$12/(I583*10000*(1+SUM(税费参数!$B$6:$B$8)))</f>
        <v>0.0206729435752892</v>
      </c>
      <c r="L583" s="7">
        <f>J583*税费参数!$B$12/(I583*10000)</f>
        <v>0.0232198142414861</v>
      </c>
      <c r="M583" s="6">
        <f>I583*10000*SUM(税费参数!$B$9:$B$10)/税费参数!$B$11</f>
        <v>181.6875</v>
      </c>
    </row>
    <row r="584" ht="21" customHeight="1" spans="1:13">
      <c r="A584" s="5" t="s">
        <v>15</v>
      </c>
      <c r="B584" s="6" t="s">
        <v>66</v>
      </c>
      <c r="C584" s="6" t="s">
        <v>152</v>
      </c>
      <c r="D584" s="6" t="s">
        <v>153</v>
      </c>
      <c r="E584" s="6" t="s">
        <v>601</v>
      </c>
      <c r="F584" s="6" t="s">
        <v>1724</v>
      </c>
      <c r="G584" s="6">
        <v>47.26</v>
      </c>
      <c r="H584" s="6">
        <v>45</v>
      </c>
      <c r="I584" s="6">
        <v>96.9</v>
      </c>
      <c r="J584" s="6">
        <v>2100</v>
      </c>
      <c r="K584" s="7">
        <f>(J584-M584)*税费参数!$B$12/(I584*10000*(1+SUM(税费参数!$B$6:$B$8)))</f>
        <v>0.0191736819616339</v>
      </c>
      <c r="L584" s="7">
        <f>J584*税费参数!$B$12/(I584*10000)</f>
        <v>0.021671826625387</v>
      </c>
      <c r="M584" s="6">
        <f>I584*10000*SUM(税费参数!$B$9:$B$10)/税费参数!$B$11</f>
        <v>181.6875</v>
      </c>
    </row>
    <row r="585" ht="21" customHeight="1" spans="1:13">
      <c r="A585" s="5" t="s">
        <v>15</v>
      </c>
      <c r="B585" s="6" t="s">
        <v>66</v>
      </c>
      <c r="C585" s="6" t="s">
        <v>152</v>
      </c>
      <c r="D585" s="6" t="s">
        <v>153</v>
      </c>
      <c r="E585" s="6" t="s">
        <v>601</v>
      </c>
      <c r="F585" s="6" t="s">
        <v>1725</v>
      </c>
      <c r="G585" s="6">
        <v>47.26</v>
      </c>
      <c r="H585" s="6">
        <v>45.66</v>
      </c>
      <c r="I585" s="6">
        <v>96.9</v>
      </c>
      <c r="J585" s="6">
        <v>1900</v>
      </c>
      <c r="K585" s="7">
        <f>(J585-M585)*税费参数!$B$12/(I585*10000*(1+SUM(税费参数!$B$6:$B$8)))</f>
        <v>0.0171746664767602</v>
      </c>
      <c r="L585" s="7">
        <f>J585*税费参数!$B$12/(I585*10000)</f>
        <v>0.0196078431372549</v>
      </c>
      <c r="M585" s="6">
        <f>I585*10000*SUM(税费参数!$B$9:$B$10)/税费参数!$B$11</f>
        <v>181.6875</v>
      </c>
    </row>
    <row r="586" ht="21" customHeight="1" spans="1:13">
      <c r="A586" s="5" t="s">
        <v>15</v>
      </c>
      <c r="B586" s="6" t="s">
        <v>66</v>
      </c>
      <c r="C586" s="6" t="s">
        <v>152</v>
      </c>
      <c r="D586" s="6" t="s">
        <v>153</v>
      </c>
      <c r="E586" s="6" t="s">
        <v>601</v>
      </c>
      <c r="F586" s="6" t="s">
        <v>1726</v>
      </c>
      <c r="G586" s="6">
        <v>47.26</v>
      </c>
      <c r="H586" s="6">
        <v>46.66</v>
      </c>
      <c r="I586" s="6">
        <v>96.9</v>
      </c>
      <c r="J586" s="6">
        <v>2100</v>
      </c>
      <c r="K586" s="7">
        <f>(J586-M586)*税费参数!$B$12/(I586*10000*(1+SUM(税费参数!$B$6:$B$8)))</f>
        <v>0.0191736819616339</v>
      </c>
      <c r="L586" s="7">
        <f>J586*税费参数!$B$12/(I586*10000)</f>
        <v>0.021671826625387</v>
      </c>
      <c r="M586" s="6">
        <f>I586*10000*SUM(税费参数!$B$9:$B$10)/税费参数!$B$11</f>
        <v>181.6875</v>
      </c>
    </row>
    <row r="587" ht="21" customHeight="1" spans="1:13">
      <c r="A587" s="5" t="s">
        <v>15</v>
      </c>
      <c r="B587" s="6" t="s">
        <v>66</v>
      </c>
      <c r="C587" s="6" t="s">
        <v>152</v>
      </c>
      <c r="D587" s="6" t="s">
        <v>153</v>
      </c>
      <c r="E587" s="6" t="s">
        <v>601</v>
      </c>
      <c r="F587" s="6" t="s">
        <v>1727</v>
      </c>
      <c r="G587" s="6">
        <v>47.26</v>
      </c>
      <c r="H587" s="6">
        <v>45.46</v>
      </c>
      <c r="I587" s="6">
        <v>96.9</v>
      </c>
      <c r="J587" s="6">
        <v>1900</v>
      </c>
      <c r="K587" s="7">
        <f>(J587-M587)*税费参数!$B$12/(I587*10000*(1+SUM(税费参数!$B$6:$B$8)))</f>
        <v>0.0171746664767602</v>
      </c>
      <c r="L587" s="7">
        <f>J587*税费参数!$B$12/(I587*10000)</f>
        <v>0.0196078431372549</v>
      </c>
      <c r="M587" s="6">
        <f>I587*10000*SUM(税费参数!$B$9:$B$10)/税费参数!$B$11</f>
        <v>181.6875</v>
      </c>
    </row>
    <row r="588" ht="21" customHeight="1" spans="1:13">
      <c r="A588" s="5" t="s">
        <v>15</v>
      </c>
      <c r="B588" s="6" t="s">
        <v>66</v>
      </c>
      <c r="C588" s="6" t="s">
        <v>152</v>
      </c>
      <c r="D588" s="6" t="s">
        <v>153</v>
      </c>
      <c r="E588" s="6" t="s">
        <v>601</v>
      </c>
      <c r="F588" s="6" t="s">
        <v>1728</v>
      </c>
      <c r="G588" s="6">
        <v>47.26</v>
      </c>
      <c r="H588" s="6">
        <v>45.45</v>
      </c>
      <c r="I588" s="6">
        <v>96.9</v>
      </c>
      <c r="J588" s="6">
        <v>2000</v>
      </c>
      <c r="K588" s="7">
        <f>(J588-M588)*税费参数!$B$12/(I588*10000*(1+SUM(税费参数!$B$6:$B$8)))</f>
        <v>0.018174174219197</v>
      </c>
      <c r="L588" s="7">
        <f>J588*税费参数!$B$12/(I588*10000)</f>
        <v>0.0206398348813209</v>
      </c>
      <c r="M588" s="6">
        <f>I588*10000*SUM(税费参数!$B$9:$B$10)/税费参数!$B$11</f>
        <v>181.6875</v>
      </c>
    </row>
    <row r="589" ht="21" customHeight="1" spans="1:13">
      <c r="A589" s="5" t="s">
        <v>15</v>
      </c>
      <c r="B589" s="6" t="s">
        <v>66</v>
      </c>
      <c r="C589" s="6" t="s">
        <v>152</v>
      </c>
      <c r="D589" s="6" t="s">
        <v>153</v>
      </c>
      <c r="E589" s="6" t="s">
        <v>601</v>
      </c>
      <c r="F589" s="6" t="s">
        <v>1729</v>
      </c>
      <c r="G589" s="6">
        <v>47.26</v>
      </c>
      <c r="H589" s="6">
        <v>45.26</v>
      </c>
      <c r="I589" s="6">
        <v>96.9</v>
      </c>
      <c r="J589" s="6">
        <v>2001</v>
      </c>
      <c r="K589" s="7">
        <f>(J589-M589)*税费参数!$B$12/(I589*10000*(1+SUM(税费参数!$B$6:$B$8)))</f>
        <v>0.0181841692966214</v>
      </c>
      <c r="L589" s="7">
        <f>J589*税费参数!$B$12/(I589*10000)</f>
        <v>0.0206501547987616</v>
      </c>
      <c r="M589" s="6">
        <f>I589*10000*SUM(税费参数!$B$9:$B$10)/税费参数!$B$11</f>
        <v>181.6875</v>
      </c>
    </row>
    <row r="590" ht="21" customHeight="1" spans="1:13">
      <c r="A590" s="5" t="s">
        <v>15</v>
      </c>
      <c r="B590" s="6" t="s">
        <v>66</v>
      </c>
      <c r="C590" s="6" t="s">
        <v>152</v>
      </c>
      <c r="D590" s="6" t="s">
        <v>153</v>
      </c>
      <c r="E590" s="6" t="s">
        <v>601</v>
      </c>
      <c r="F590" s="6" t="s">
        <v>1730</v>
      </c>
      <c r="G590" s="6">
        <v>47.26</v>
      </c>
      <c r="H590" s="6">
        <v>45.34</v>
      </c>
      <c r="I590" s="6">
        <v>96.9</v>
      </c>
      <c r="J590" s="6">
        <v>2000</v>
      </c>
      <c r="K590" s="7">
        <f>(J590-M590)*税费参数!$B$12/(I590*10000*(1+SUM(税费参数!$B$6:$B$8)))</f>
        <v>0.018174174219197</v>
      </c>
      <c r="L590" s="7">
        <f>J590*税费参数!$B$12/(I590*10000)</f>
        <v>0.0206398348813209</v>
      </c>
      <c r="M590" s="6">
        <f>I590*10000*SUM(税费参数!$B$9:$B$10)/税费参数!$B$11</f>
        <v>181.6875</v>
      </c>
    </row>
    <row r="591" ht="21" customHeight="1" spans="1:13">
      <c r="A591" s="5" t="s">
        <v>15</v>
      </c>
      <c r="B591" s="6" t="s">
        <v>66</v>
      </c>
      <c r="C591" s="6" t="s">
        <v>152</v>
      </c>
      <c r="D591" s="6" t="s">
        <v>153</v>
      </c>
      <c r="E591" s="6" t="s">
        <v>601</v>
      </c>
      <c r="F591" s="6" t="s">
        <v>1731</v>
      </c>
      <c r="G591" s="6">
        <v>47.26</v>
      </c>
      <c r="H591" s="6">
        <v>45.45</v>
      </c>
      <c r="I591" s="6">
        <v>96.9</v>
      </c>
      <c r="J591" s="6">
        <v>2400</v>
      </c>
      <c r="K591" s="7">
        <f>(J591-M591)*税费参数!$B$12/(I591*10000*(1+SUM(税费参数!$B$6:$B$8)))</f>
        <v>0.0221722051889444</v>
      </c>
      <c r="L591" s="7">
        <f>J591*税费参数!$B$12/(I591*10000)</f>
        <v>0.0247678018575851</v>
      </c>
      <c r="M591" s="6">
        <f>I591*10000*SUM(税费参数!$B$9:$B$10)/税费参数!$B$11</f>
        <v>181.6875</v>
      </c>
    </row>
    <row r="592" ht="21" customHeight="1" spans="1:13">
      <c r="A592" s="5" t="s">
        <v>15</v>
      </c>
      <c r="B592" s="6" t="s">
        <v>66</v>
      </c>
      <c r="C592" s="6" t="s">
        <v>152</v>
      </c>
      <c r="D592" s="6" t="s">
        <v>153</v>
      </c>
      <c r="E592" s="6" t="s">
        <v>607</v>
      </c>
      <c r="F592" s="6" t="s">
        <v>1717</v>
      </c>
      <c r="G592" s="6">
        <v>45.25</v>
      </c>
      <c r="H592" s="6">
        <v>46.92</v>
      </c>
      <c r="I592" s="6">
        <v>93</v>
      </c>
      <c r="J592" s="6">
        <v>2300</v>
      </c>
      <c r="K592" s="7">
        <f>(J592-M592)*税费参数!$B$12/(I592*10000*(1+SUM(税费参数!$B$6:$B$8)))</f>
        <v>0.0221367387851806</v>
      </c>
      <c r="L592" s="7">
        <f>J592*税费参数!$B$12/(I592*10000)</f>
        <v>0.0247311827956989</v>
      </c>
      <c r="M592" s="6">
        <f>I592*10000*SUM(税费参数!$B$9:$B$10)/税费参数!$B$11</f>
        <v>174.375</v>
      </c>
    </row>
    <row r="593" ht="21" customHeight="1" spans="1:13">
      <c r="A593" s="5" t="s">
        <v>15</v>
      </c>
      <c r="B593" s="6" t="s">
        <v>66</v>
      </c>
      <c r="C593" s="6" t="s">
        <v>152</v>
      </c>
      <c r="D593" s="6" t="s">
        <v>153</v>
      </c>
      <c r="E593" s="6" t="s">
        <v>607</v>
      </c>
      <c r="F593" s="6" t="s">
        <v>1718</v>
      </c>
      <c r="G593" s="6">
        <v>45.25</v>
      </c>
      <c r="H593" s="6">
        <v>47.47</v>
      </c>
      <c r="I593" s="6">
        <v>93</v>
      </c>
      <c r="J593" s="6">
        <v>2200</v>
      </c>
      <c r="K593" s="7">
        <f>(J593-M593)*税费参数!$B$12/(I593*10000*(1+SUM(税费参数!$B$6:$B$8)))</f>
        <v>0.0210953162019318</v>
      </c>
      <c r="L593" s="7">
        <f>J593*税费参数!$B$12/(I593*10000)</f>
        <v>0.0236559139784946</v>
      </c>
      <c r="M593" s="6">
        <f>I593*10000*SUM(税费参数!$B$9:$B$10)/税费参数!$B$11</f>
        <v>174.375</v>
      </c>
    </row>
    <row r="594" ht="21" customHeight="1" spans="1:13">
      <c r="A594" s="5" t="s">
        <v>15</v>
      </c>
      <c r="B594" s="6" t="s">
        <v>66</v>
      </c>
      <c r="C594" s="6" t="s">
        <v>152</v>
      </c>
      <c r="D594" s="6" t="s">
        <v>153</v>
      </c>
      <c r="E594" s="6" t="s">
        <v>607</v>
      </c>
      <c r="F594" s="6" t="s">
        <v>1719</v>
      </c>
      <c r="G594" s="6">
        <v>45.25</v>
      </c>
      <c r="H594" s="6">
        <v>45.45</v>
      </c>
      <c r="I594" s="6">
        <v>93</v>
      </c>
      <c r="J594" s="6">
        <v>2025</v>
      </c>
      <c r="K594" s="7">
        <f>(J594-M594)*税费参数!$B$12/(I594*10000*(1+SUM(税费参数!$B$6:$B$8)))</f>
        <v>0.0192728266812466</v>
      </c>
      <c r="L594" s="7">
        <f>J594*税费参数!$B$12/(I594*10000)</f>
        <v>0.0217741935483871</v>
      </c>
      <c r="M594" s="6">
        <f>I594*10000*SUM(税费参数!$B$9:$B$10)/税费参数!$B$11</f>
        <v>174.375</v>
      </c>
    </row>
    <row r="595" ht="21" customHeight="1" spans="1:13">
      <c r="A595" s="5" t="s">
        <v>15</v>
      </c>
      <c r="B595" s="6" t="s">
        <v>66</v>
      </c>
      <c r="C595" s="6" t="s">
        <v>152</v>
      </c>
      <c r="D595" s="6" t="s">
        <v>153</v>
      </c>
      <c r="E595" s="6" t="s">
        <v>607</v>
      </c>
      <c r="F595" s="6" t="s">
        <v>1720</v>
      </c>
      <c r="G595" s="6">
        <v>45.25</v>
      </c>
      <c r="H595" s="6">
        <v>45.33</v>
      </c>
      <c r="I595" s="6">
        <v>93</v>
      </c>
      <c r="J595" s="6">
        <v>2200</v>
      </c>
      <c r="K595" s="7">
        <f>(J595-M595)*税费参数!$B$12/(I595*10000*(1+SUM(税费参数!$B$6:$B$8)))</f>
        <v>0.0210953162019318</v>
      </c>
      <c r="L595" s="7">
        <f>J595*税费参数!$B$12/(I595*10000)</f>
        <v>0.0236559139784946</v>
      </c>
      <c r="M595" s="6">
        <f>I595*10000*SUM(税费参数!$B$9:$B$10)/税费参数!$B$11</f>
        <v>174.375</v>
      </c>
    </row>
    <row r="596" ht="21" customHeight="1" spans="1:13">
      <c r="A596" s="5" t="s">
        <v>15</v>
      </c>
      <c r="B596" s="6" t="s">
        <v>66</v>
      </c>
      <c r="C596" s="6" t="s">
        <v>152</v>
      </c>
      <c r="D596" s="6" t="s">
        <v>153</v>
      </c>
      <c r="E596" s="6" t="s">
        <v>607</v>
      </c>
      <c r="F596" s="6" t="s">
        <v>1721</v>
      </c>
      <c r="G596" s="6">
        <v>45.25</v>
      </c>
      <c r="H596" s="6">
        <v>45.47</v>
      </c>
      <c r="I596" s="6">
        <v>93</v>
      </c>
      <c r="J596" s="6">
        <v>2000</v>
      </c>
      <c r="K596" s="7">
        <f>(J596-M596)*税费参数!$B$12/(I596*10000*(1+SUM(税费参数!$B$6:$B$8)))</f>
        <v>0.0190124710354344</v>
      </c>
      <c r="L596" s="7">
        <f>J596*税费参数!$B$12/(I596*10000)</f>
        <v>0.021505376344086</v>
      </c>
      <c r="M596" s="6">
        <f>I596*10000*SUM(税费参数!$B$9:$B$10)/税费参数!$B$11</f>
        <v>174.375</v>
      </c>
    </row>
    <row r="597" ht="21" customHeight="1" spans="1:13">
      <c r="A597" s="5" t="s">
        <v>15</v>
      </c>
      <c r="B597" s="6" t="s">
        <v>66</v>
      </c>
      <c r="C597" s="6" t="s">
        <v>152</v>
      </c>
      <c r="D597" s="6" t="s">
        <v>153</v>
      </c>
      <c r="E597" s="6" t="s">
        <v>607</v>
      </c>
      <c r="F597" s="6" t="s">
        <v>1722</v>
      </c>
      <c r="G597" s="6">
        <v>45.25</v>
      </c>
      <c r="H597" s="6">
        <v>45.47</v>
      </c>
      <c r="I597" s="6">
        <v>93</v>
      </c>
      <c r="J597" s="6">
        <v>2000</v>
      </c>
      <c r="K597" s="7">
        <f>(J597-M597)*税费参数!$B$12/(I597*10000*(1+SUM(税费参数!$B$6:$B$8)))</f>
        <v>0.0190124710354344</v>
      </c>
      <c r="L597" s="7">
        <f>J597*税费参数!$B$12/(I597*10000)</f>
        <v>0.021505376344086</v>
      </c>
      <c r="M597" s="6">
        <f>I597*10000*SUM(税费参数!$B$9:$B$10)/税费参数!$B$11</f>
        <v>174.375</v>
      </c>
    </row>
    <row r="598" ht="21" customHeight="1" spans="1:13">
      <c r="A598" s="5" t="s">
        <v>15</v>
      </c>
      <c r="B598" s="6" t="s">
        <v>66</v>
      </c>
      <c r="C598" s="6" t="s">
        <v>152</v>
      </c>
      <c r="D598" s="6" t="s">
        <v>153</v>
      </c>
      <c r="E598" s="6" t="s">
        <v>607</v>
      </c>
      <c r="F598" s="6" t="s">
        <v>1723</v>
      </c>
      <c r="G598" s="6">
        <v>45.25</v>
      </c>
      <c r="H598" s="6">
        <v>50.1</v>
      </c>
      <c r="I598" s="6">
        <v>93</v>
      </c>
      <c r="J598" s="6">
        <v>2250</v>
      </c>
      <c r="K598" s="7">
        <f>(J598-M598)*税费参数!$B$12/(I598*10000*(1+SUM(税费参数!$B$6:$B$8)))</f>
        <v>0.0216160274935562</v>
      </c>
      <c r="L598" s="7">
        <f>J598*税费参数!$B$12/(I598*10000)</f>
        <v>0.0241935483870968</v>
      </c>
      <c r="M598" s="6">
        <f>I598*10000*SUM(税费参数!$B$9:$B$10)/税费参数!$B$11</f>
        <v>174.375</v>
      </c>
    </row>
    <row r="599" ht="21" customHeight="1" spans="1:13">
      <c r="A599" s="5" t="s">
        <v>15</v>
      </c>
      <c r="B599" s="6" t="s">
        <v>66</v>
      </c>
      <c r="C599" s="6" t="s">
        <v>152</v>
      </c>
      <c r="D599" s="6" t="s">
        <v>153</v>
      </c>
      <c r="E599" s="6" t="s">
        <v>607</v>
      </c>
      <c r="F599" s="6" t="s">
        <v>1724</v>
      </c>
      <c r="G599" s="6">
        <v>45.25</v>
      </c>
      <c r="H599" s="6">
        <v>45</v>
      </c>
      <c r="I599" s="6">
        <v>93</v>
      </c>
      <c r="J599" s="6">
        <v>2100</v>
      </c>
      <c r="K599" s="7">
        <f>(J599-M599)*税费参数!$B$12/(I599*10000*(1+SUM(税费参数!$B$6:$B$8)))</f>
        <v>0.0200538936186831</v>
      </c>
      <c r="L599" s="7">
        <f>J599*税费参数!$B$12/(I599*10000)</f>
        <v>0.0225806451612903</v>
      </c>
      <c r="M599" s="6">
        <f>I599*10000*SUM(税费参数!$B$9:$B$10)/税费参数!$B$11</f>
        <v>174.375</v>
      </c>
    </row>
    <row r="600" ht="21" customHeight="1" spans="1:13">
      <c r="A600" s="5" t="s">
        <v>15</v>
      </c>
      <c r="B600" s="6" t="s">
        <v>66</v>
      </c>
      <c r="C600" s="6" t="s">
        <v>152</v>
      </c>
      <c r="D600" s="6" t="s">
        <v>153</v>
      </c>
      <c r="E600" s="6" t="s">
        <v>607</v>
      </c>
      <c r="F600" s="6" t="s">
        <v>1725</v>
      </c>
      <c r="G600" s="6">
        <v>45.25</v>
      </c>
      <c r="H600" s="6">
        <v>45.66</v>
      </c>
      <c r="I600" s="6">
        <v>93</v>
      </c>
      <c r="J600" s="6">
        <v>1900</v>
      </c>
      <c r="K600" s="7">
        <f>(J600-M600)*税费参数!$B$12/(I600*10000*(1+SUM(税费参数!$B$6:$B$8)))</f>
        <v>0.0179710484521857</v>
      </c>
      <c r="L600" s="7">
        <f>J600*税费参数!$B$12/(I600*10000)</f>
        <v>0.0204301075268817</v>
      </c>
      <c r="M600" s="6">
        <f>I600*10000*SUM(税费参数!$B$9:$B$10)/税费参数!$B$11</f>
        <v>174.375</v>
      </c>
    </row>
    <row r="601" ht="21" customHeight="1" spans="1:13">
      <c r="A601" s="5" t="s">
        <v>15</v>
      </c>
      <c r="B601" s="6" t="s">
        <v>66</v>
      </c>
      <c r="C601" s="6" t="s">
        <v>152</v>
      </c>
      <c r="D601" s="6" t="s">
        <v>153</v>
      </c>
      <c r="E601" s="6" t="s">
        <v>607</v>
      </c>
      <c r="F601" s="6" t="s">
        <v>1726</v>
      </c>
      <c r="G601" s="6">
        <v>45.25</v>
      </c>
      <c r="H601" s="6">
        <v>46.66</v>
      </c>
      <c r="I601" s="6">
        <v>93</v>
      </c>
      <c r="J601" s="6">
        <v>2100</v>
      </c>
      <c r="K601" s="7">
        <f>(J601-M601)*税费参数!$B$12/(I601*10000*(1+SUM(税费参数!$B$6:$B$8)))</f>
        <v>0.0200538936186831</v>
      </c>
      <c r="L601" s="7">
        <f>J601*税费参数!$B$12/(I601*10000)</f>
        <v>0.0225806451612903</v>
      </c>
      <c r="M601" s="6">
        <f>I601*10000*SUM(税费参数!$B$9:$B$10)/税费参数!$B$11</f>
        <v>174.375</v>
      </c>
    </row>
    <row r="602" ht="21" customHeight="1" spans="1:13">
      <c r="A602" s="5" t="s">
        <v>15</v>
      </c>
      <c r="B602" s="6" t="s">
        <v>66</v>
      </c>
      <c r="C602" s="6" t="s">
        <v>152</v>
      </c>
      <c r="D602" s="6" t="s">
        <v>153</v>
      </c>
      <c r="E602" s="6" t="s">
        <v>607</v>
      </c>
      <c r="F602" s="6" t="s">
        <v>1727</v>
      </c>
      <c r="G602" s="6">
        <v>45.25</v>
      </c>
      <c r="H602" s="6">
        <v>45.46</v>
      </c>
      <c r="I602" s="6">
        <v>93</v>
      </c>
      <c r="J602" s="6">
        <v>1900</v>
      </c>
      <c r="K602" s="7">
        <f>(J602-M602)*税费参数!$B$12/(I602*10000*(1+SUM(税费参数!$B$6:$B$8)))</f>
        <v>0.0179710484521857</v>
      </c>
      <c r="L602" s="7">
        <f>J602*税费参数!$B$12/(I602*10000)</f>
        <v>0.0204301075268817</v>
      </c>
      <c r="M602" s="6">
        <f>I602*10000*SUM(税费参数!$B$9:$B$10)/税费参数!$B$11</f>
        <v>174.375</v>
      </c>
    </row>
    <row r="603" ht="21" customHeight="1" spans="1:13">
      <c r="A603" s="5" t="s">
        <v>15</v>
      </c>
      <c r="B603" s="6" t="s">
        <v>66</v>
      </c>
      <c r="C603" s="6" t="s">
        <v>152</v>
      </c>
      <c r="D603" s="6" t="s">
        <v>153</v>
      </c>
      <c r="E603" s="6" t="s">
        <v>607</v>
      </c>
      <c r="F603" s="6" t="s">
        <v>1728</v>
      </c>
      <c r="G603" s="6">
        <v>45.25</v>
      </c>
      <c r="H603" s="6">
        <v>45.45</v>
      </c>
      <c r="I603" s="6">
        <v>93</v>
      </c>
      <c r="J603" s="6">
        <v>2000</v>
      </c>
      <c r="K603" s="7">
        <f>(J603-M603)*税费参数!$B$12/(I603*10000*(1+SUM(税费参数!$B$6:$B$8)))</f>
        <v>0.0190124710354344</v>
      </c>
      <c r="L603" s="7">
        <f>J603*税费参数!$B$12/(I603*10000)</f>
        <v>0.021505376344086</v>
      </c>
      <c r="M603" s="6">
        <f>I603*10000*SUM(税费参数!$B$9:$B$10)/税费参数!$B$11</f>
        <v>174.375</v>
      </c>
    </row>
    <row r="604" ht="21" customHeight="1" spans="1:13">
      <c r="A604" s="5" t="s">
        <v>15</v>
      </c>
      <c r="B604" s="6" t="s">
        <v>66</v>
      </c>
      <c r="C604" s="6" t="s">
        <v>152</v>
      </c>
      <c r="D604" s="6" t="s">
        <v>153</v>
      </c>
      <c r="E604" s="6" t="s">
        <v>607</v>
      </c>
      <c r="F604" s="6" t="s">
        <v>1729</v>
      </c>
      <c r="G604" s="6">
        <v>45.25</v>
      </c>
      <c r="H604" s="6">
        <v>45.26</v>
      </c>
      <c r="I604" s="6">
        <v>93</v>
      </c>
      <c r="J604" s="6">
        <v>2001</v>
      </c>
      <c r="K604" s="7">
        <f>(J604-M604)*税费参数!$B$12/(I604*10000*(1+SUM(税费参数!$B$6:$B$8)))</f>
        <v>0.0190228852612669</v>
      </c>
      <c r="L604" s="7">
        <f>J604*税费参数!$B$12/(I604*10000)</f>
        <v>0.0215161290322581</v>
      </c>
      <c r="M604" s="6">
        <f>I604*10000*SUM(税费参数!$B$9:$B$10)/税费参数!$B$11</f>
        <v>174.375</v>
      </c>
    </row>
    <row r="605" ht="21" customHeight="1" spans="1:13">
      <c r="A605" s="5" t="s">
        <v>15</v>
      </c>
      <c r="B605" s="6" t="s">
        <v>66</v>
      </c>
      <c r="C605" s="6" t="s">
        <v>152</v>
      </c>
      <c r="D605" s="6" t="s">
        <v>153</v>
      </c>
      <c r="E605" s="6" t="s">
        <v>607</v>
      </c>
      <c r="F605" s="6" t="s">
        <v>1730</v>
      </c>
      <c r="G605" s="6">
        <v>45.25</v>
      </c>
      <c r="H605" s="6">
        <v>45.34</v>
      </c>
      <c r="I605" s="6">
        <v>93</v>
      </c>
      <c r="J605" s="6">
        <v>2000</v>
      </c>
      <c r="K605" s="7">
        <f>(J605-M605)*税费参数!$B$12/(I605*10000*(1+SUM(税费参数!$B$6:$B$8)))</f>
        <v>0.0190124710354344</v>
      </c>
      <c r="L605" s="7">
        <f>J605*税费参数!$B$12/(I605*10000)</f>
        <v>0.021505376344086</v>
      </c>
      <c r="M605" s="6">
        <f>I605*10000*SUM(税费参数!$B$9:$B$10)/税费参数!$B$11</f>
        <v>174.375</v>
      </c>
    </row>
    <row r="606" ht="21" customHeight="1" spans="1:13">
      <c r="A606" s="5" t="s">
        <v>15</v>
      </c>
      <c r="B606" s="6" t="s">
        <v>66</v>
      </c>
      <c r="C606" s="6" t="s">
        <v>152</v>
      </c>
      <c r="D606" s="6" t="s">
        <v>153</v>
      </c>
      <c r="E606" s="6" t="s">
        <v>607</v>
      </c>
      <c r="F606" s="6" t="s">
        <v>1731</v>
      </c>
      <c r="G606" s="6">
        <v>45.25</v>
      </c>
      <c r="H606" s="6">
        <v>45.45</v>
      </c>
      <c r="I606" s="6">
        <v>93</v>
      </c>
      <c r="J606" s="6">
        <v>2400</v>
      </c>
      <c r="K606" s="7">
        <f>(J606-M606)*税费参数!$B$12/(I606*10000*(1+SUM(税费参数!$B$6:$B$8)))</f>
        <v>0.0231781613684293</v>
      </c>
      <c r="L606" s="7">
        <f>J606*税费参数!$B$12/(I606*10000)</f>
        <v>0.0258064516129032</v>
      </c>
      <c r="M606" s="6">
        <f>I606*10000*SUM(税费参数!$B$9:$B$10)/税费参数!$B$11</f>
        <v>174.375</v>
      </c>
    </row>
    <row r="607" ht="21" customHeight="1" spans="1:13">
      <c r="A607" s="5" t="s">
        <v>15</v>
      </c>
      <c r="B607" s="6" t="s">
        <v>66</v>
      </c>
      <c r="C607" s="6" t="s">
        <v>152</v>
      </c>
      <c r="D607" s="6" t="s">
        <v>153</v>
      </c>
      <c r="E607" s="6" t="s">
        <v>609</v>
      </c>
      <c r="F607" s="6" t="s">
        <v>1717</v>
      </c>
      <c r="G607" s="6">
        <v>45.47</v>
      </c>
      <c r="H607" s="6">
        <v>46.92</v>
      </c>
      <c r="I607" s="6">
        <v>110</v>
      </c>
      <c r="J607" s="6">
        <v>2300</v>
      </c>
      <c r="K607" s="7">
        <f>(J607-M607)*税费参数!$B$12/(I607*10000*(1+SUM(税费参数!$B$6:$B$8)))</f>
        <v>0.0184349548756328</v>
      </c>
      <c r="L607" s="7">
        <f>J607*税费参数!$B$12/(I607*10000)</f>
        <v>0.0209090909090909</v>
      </c>
      <c r="M607" s="6">
        <f>I607*10000*SUM(税费参数!$B$9:$B$10)/税费参数!$B$11</f>
        <v>206.25</v>
      </c>
    </row>
    <row r="608" ht="21" customHeight="1" spans="1:13">
      <c r="A608" s="5" t="s">
        <v>15</v>
      </c>
      <c r="B608" s="6" t="s">
        <v>66</v>
      </c>
      <c r="C608" s="6" t="s">
        <v>152</v>
      </c>
      <c r="D608" s="6" t="s">
        <v>153</v>
      </c>
      <c r="E608" s="6" t="s">
        <v>609</v>
      </c>
      <c r="F608" s="6" t="s">
        <v>1718</v>
      </c>
      <c r="G608" s="6">
        <v>45.47</v>
      </c>
      <c r="H608" s="6">
        <v>47.47</v>
      </c>
      <c r="I608" s="6">
        <v>110</v>
      </c>
      <c r="J608" s="6">
        <v>2200</v>
      </c>
      <c r="K608" s="7">
        <f>(J608-M608)*税费参数!$B$12/(I608*10000*(1+SUM(税费参数!$B$6:$B$8)))</f>
        <v>0.0175544794188862</v>
      </c>
      <c r="L608" s="7">
        <f>J608*税费参数!$B$12/(I608*10000)</f>
        <v>0.02</v>
      </c>
      <c r="M608" s="6">
        <f>I608*10000*SUM(税费参数!$B$9:$B$10)/税费参数!$B$11</f>
        <v>206.25</v>
      </c>
    </row>
    <row r="609" ht="21" customHeight="1" spans="1:13">
      <c r="A609" s="5" t="s">
        <v>15</v>
      </c>
      <c r="B609" s="6" t="s">
        <v>66</v>
      </c>
      <c r="C609" s="6" t="s">
        <v>152</v>
      </c>
      <c r="D609" s="6" t="s">
        <v>153</v>
      </c>
      <c r="E609" s="6" t="s">
        <v>609</v>
      </c>
      <c r="F609" s="6" t="s">
        <v>1719</v>
      </c>
      <c r="G609" s="6">
        <v>45.47</v>
      </c>
      <c r="H609" s="6">
        <v>45.45</v>
      </c>
      <c r="I609" s="6">
        <v>110</v>
      </c>
      <c r="J609" s="6">
        <v>2025</v>
      </c>
      <c r="K609" s="7">
        <f>(J609-M609)*税费参数!$B$12/(I609*10000*(1+SUM(税费参数!$B$6:$B$8)))</f>
        <v>0.0160136473695796</v>
      </c>
      <c r="L609" s="7">
        <f>J609*税费参数!$B$12/(I609*10000)</f>
        <v>0.0184090909090909</v>
      </c>
      <c r="M609" s="6">
        <f>I609*10000*SUM(税费参数!$B$9:$B$10)/税费参数!$B$11</f>
        <v>206.25</v>
      </c>
    </row>
    <row r="610" ht="21" customHeight="1" spans="1:13">
      <c r="A610" s="5" t="s">
        <v>15</v>
      </c>
      <c r="B610" s="6" t="s">
        <v>66</v>
      </c>
      <c r="C610" s="6" t="s">
        <v>152</v>
      </c>
      <c r="D610" s="6" t="s">
        <v>153</v>
      </c>
      <c r="E610" s="6" t="s">
        <v>609</v>
      </c>
      <c r="F610" s="6" t="s">
        <v>1720</v>
      </c>
      <c r="G610" s="6">
        <v>45.47</v>
      </c>
      <c r="H610" s="6">
        <v>45.33</v>
      </c>
      <c r="I610" s="6">
        <v>110</v>
      </c>
      <c r="J610" s="6">
        <v>2200</v>
      </c>
      <c r="K610" s="7">
        <f>(J610-M610)*税费参数!$B$12/(I610*10000*(1+SUM(税费参数!$B$6:$B$8)))</f>
        <v>0.0175544794188862</v>
      </c>
      <c r="L610" s="7">
        <f>J610*税费参数!$B$12/(I610*10000)</f>
        <v>0.02</v>
      </c>
      <c r="M610" s="6">
        <f>I610*10000*SUM(税费参数!$B$9:$B$10)/税费参数!$B$11</f>
        <v>206.25</v>
      </c>
    </row>
    <row r="611" ht="21" customHeight="1" spans="1:13">
      <c r="A611" s="5" t="s">
        <v>15</v>
      </c>
      <c r="B611" s="6" t="s">
        <v>66</v>
      </c>
      <c r="C611" s="6" t="s">
        <v>152</v>
      </c>
      <c r="D611" s="6" t="s">
        <v>153</v>
      </c>
      <c r="E611" s="6" t="s">
        <v>609</v>
      </c>
      <c r="F611" s="6" t="s">
        <v>1721</v>
      </c>
      <c r="G611" s="6">
        <v>45.47</v>
      </c>
      <c r="H611" s="6">
        <v>45.47</v>
      </c>
      <c r="I611" s="6">
        <v>110</v>
      </c>
      <c r="J611" s="6">
        <v>2000</v>
      </c>
      <c r="K611" s="7">
        <f>(J611-M611)*税费参数!$B$12/(I611*10000*(1+SUM(税费参数!$B$6:$B$8)))</f>
        <v>0.0157935285053929</v>
      </c>
      <c r="L611" s="7">
        <f>J611*税费参数!$B$12/(I611*10000)</f>
        <v>0.0181818181818182</v>
      </c>
      <c r="M611" s="6">
        <f>I611*10000*SUM(税费参数!$B$9:$B$10)/税费参数!$B$11</f>
        <v>206.25</v>
      </c>
    </row>
    <row r="612" ht="21" customHeight="1" spans="1:13">
      <c r="A612" s="5" t="s">
        <v>15</v>
      </c>
      <c r="B612" s="6" t="s">
        <v>66</v>
      </c>
      <c r="C612" s="6" t="s">
        <v>152</v>
      </c>
      <c r="D612" s="6" t="s">
        <v>153</v>
      </c>
      <c r="E612" s="6" t="s">
        <v>609</v>
      </c>
      <c r="F612" s="6" t="s">
        <v>1722</v>
      </c>
      <c r="G612" s="6">
        <v>45.47</v>
      </c>
      <c r="H612" s="6">
        <v>45.47</v>
      </c>
      <c r="I612" s="6">
        <v>110</v>
      </c>
      <c r="J612" s="6">
        <v>2000</v>
      </c>
      <c r="K612" s="7">
        <f>(J612-M612)*税费参数!$B$12/(I612*10000*(1+SUM(税费参数!$B$6:$B$8)))</f>
        <v>0.0157935285053929</v>
      </c>
      <c r="L612" s="7">
        <f>J612*税费参数!$B$12/(I612*10000)</f>
        <v>0.0181818181818182</v>
      </c>
      <c r="M612" s="6">
        <f>I612*10000*SUM(税费参数!$B$9:$B$10)/税费参数!$B$11</f>
        <v>206.25</v>
      </c>
    </row>
    <row r="613" ht="21" customHeight="1" spans="1:13">
      <c r="A613" s="5" t="s">
        <v>15</v>
      </c>
      <c r="B613" s="6" t="s">
        <v>66</v>
      </c>
      <c r="C613" s="6" t="s">
        <v>152</v>
      </c>
      <c r="D613" s="6" t="s">
        <v>153</v>
      </c>
      <c r="E613" s="6" t="s">
        <v>609</v>
      </c>
      <c r="F613" s="6" t="s">
        <v>1723</v>
      </c>
      <c r="G613" s="6">
        <v>45.47</v>
      </c>
      <c r="H613" s="6">
        <v>50.1</v>
      </c>
      <c r="I613" s="6">
        <v>110</v>
      </c>
      <c r="J613" s="6">
        <v>2250</v>
      </c>
      <c r="K613" s="7">
        <f>(J613-M613)*税费参数!$B$12/(I613*10000*(1+SUM(税费参数!$B$6:$B$8)))</f>
        <v>0.0179947171472595</v>
      </c>
      <c r="L613" s="7">
        <f>J613*税费参数!$B$12/(I613*10000)</f>
        <v>0.0204545454545455</v>
      </c>
      <c r="M613" s="6">
        <f>I613*10000*SUM(税费参数!$B$9:$B$10)/税费参数!$B$11</f>
        <v>206.25</v>
      </c>
    </row>
    <row r="614" ht="21" customHeight="1" spans="1:13">
      <c r="A614" s="5" t="s">
        <v>15</v>
      </c>
      <c r="B614" s="6" t="s">
        <v>66</v>
      </c>
      <c r="C614" s="6" t="s">
        <v>152</v>
      </c>
      <c r="D614" s="6" t="s">
        <v>153</v>
      </c>
      <c r="E614" s="6" t="s">
        <v>609</v>
      </c>
      <c r="F614" s="6" t="s">
        <v>1724</v>
      </c>
      <c r="G614" s="6">
        <v>45.47</v>
      </c>
      <c r="H614" s="6">
        <v>45</v>
      </c>
      <c r="I614" s="6">
        <v>110</v>
      </c>
      <c r="J614" s="6">
        <v>2100</v>
      </c>
      <c r="K614" s="7">
        <f>(J614-M614)*税费参数!$B$12/(I614*10000*(1+SUM(税费参数!$B$6:$B$8)))</f>
        <v>0.0166740039621396</v>
      </c>
      <c r="L614" s="7">
        <f>J614*税费参数!$B$12/(I614*10000)</f>
        <v>0.0190909090909091</v>
      </c>
      <c r="M614" s="6">
        <f>I614*10000*SUM(税费参数!$B$9:$B$10)/税费参数!$B$11</f>
        <v>206.25</v>
      </c>
    </row>
    <row r="615" ht="21" customHeight="1" spans="1:13">
      <c r="A615" s="5" t="s">
        <v>15</v>
      </c>
      <c r="B615" s="6" t="s">
        <v>66</v>
      </c>
      <c r="C615" s="6" t="s">
        <v>152</v>
      </c>
      <c r="D615" s="6" t="s">
        <v>153</v>
      </c>
      <c r="E615" s="6" t="s">
        <v>609</v>
      </c>
      <c r="F615" s="6" t="s">
        <v>1725</v>
      </c>
      <c r="G615" s="6">
        <v>45.47</v>
      </c>
      <c r="H615" s="6">
        <v>45.66</v>
      </c>
      <c r="I615" s="6">
        <v>110</v>
      </c>
      <c r="J615" s="6">
        <v>1900</v>
      </c>
      <c r="K615" s="7">
        <f>(J615-M615)*税费参数!$B$12/(I615*10000*(1+SUM(税费参数!$B$6:$B$8)))</f>
        <v>0.0149130530486463</v>
      </c>
      <c r="L615" s="7">
        <f>J615*税费参数!$B$12/(I615*10000)</f>
        <v>0.0172727272727273</v>
      </c>
      <c r="M615" s="6">
        <f>I615*10000*SUM(税费参数!$B$9:$B$10)/税费参数!$B$11</f>
        <v>206.25</v>
      </c>
    </row>
    <row r="616" ht="21" customHeight="1" spans="1:13">
      <c r="A616" s="5" t="s">
        <v>15</v>
      </c>
      <c r="B616" s="6" t="s">
        <v>66</v>
      </c>
      <c r="C616" s="6" t="s">
        <v>152</v>
      </c>
      <c r="D616" s="6" t="s">
        <v>153</v>
      </c>
      <c r="E616" s="6" t="s">
        <v>609</v>
      </c>
      <c r="F616" s="6" t="s">
        <v>1726</v>
      </c>
      <c r="G616" s="6">
        <v>45.47</v>
      </c>
      <c r="H616" s="6">
        <v>46.66</v>
      </c>
      <c r="I616" s="6">
        <v>110</v>
      </c>
      <c r="J616" s="6">
        <v>2100</v>
      </c>
      <c r="K616" s="7">
        <f>(J616-M616)*税费参数!$B$12/(I616*10000*(1+SUM(税费参数!$B$6:$B$8)))</f>
        <v>0.0166740039621396</v>
      </c>
      <c r="L616" s="7">
        <f>J616*税费参数!$B$12/(I616*10000)</f>
        <v>0.0190909090909091</v>
      </c>
      <c r="M616" s="6">
        <f>I616*10000*SUM(税费参数!$B$9:$B$10)/税费参数!$B$11</f>
        <v>206.25</v>
      </c>
    </row>
    <row r="617" ht="21" customHeight="1" spans="1:13">
      <c r="A617" s="5" t="s">
        <v>15</v>
      </c>
      <c r="B617" s="6" t="s">
        <v>66</v>
      </c>
      <c r="C617" s="6" t="s">
        <v>152</v>
      </c>
      <c r="D617" s="6" t="s">
        <v>153</v>
      </c>
      <c r="E617" s="6" t="s">
        <v>609</v>
      </c>
      <c r="F617" s="6" t="s">
        <v>1727</v>
      </c>
      <c r="G617" s="6">
        <v>45.47</v>
      </c>
      <c r="H617" s="6">
        <v>45.46</v>
      </c>
      <c r="I617" s="6">
        <v>110</v>
      </c>
      <c r="J617" s="6">
        <v>1900</v>
      </c>
      <c r="K617" s="7">
        <f>(J617-M617)*税费参数!$B$12/(I617*10000*(1+SUM(税费参数!$B$6:$B$8)))</f>
        <v>0.0149130530486463</v>
      </c>
      <c r="L617" s="7">
        <f>J617*税费参数!$B$12/(I617*10000)</f>
        <v>0.0172727272727273</v>
      </c>
      <c r="M617" s="6">
        <f>I617*10000*SUM(税费参数!$B$9:$B$10)/税费参数!$B$11</f>
        <v>206.25</v>
      </c>
    </row>
    <row r="618" ht="21" customHeight="1" spans="1:13">
      <c r="A618" s="5" t="s">
        <v>15</v>
      </c>
      <c r="B618" s="6" t="s">
        <v>66</v>
      </c>
      <c r="C618" s="6" t="s">
        <v>152</v>
      </c>
      <c r="D618" s="6" t="s">
        <v>153</v>
      </c>
      <c r="E618" s="6" t="s">
        <v>609</v>
      </c>
      <c r="F618" s="6" t="s">
        <v>1728</v>
      </c>
      <c r="G618" s="6">
        <v>45.47</v>
      </c>
      <c r="H618" s="6">
        <v>45.45</v>
      </c>
      <c r="I618" s="6">
        <v>110</v>
      </c>
      <c r="J618" s="6">
        <v>2000</v>
      </c>
      <c r="K618" s="7">
        <f>(J618-M618)*税费参数!$B$12/(I618*10000*(1+SUM(税费参数!$B$6:$B$8)))</f>
        <v>0.0157935285053929</v>
      </c>
      <c r="L618" s="7">
        <f>J618*税费参数!$B$12/(I618*10000)</f>
        <v>0.0181818181818182</v>
      </c>
      <c r="M618" s="6">
        <f>I618*10000*SUM(税费参数!$B$9:$B$10)/税费参数!$B$11</f>
        <v>206.25</v>
      </c>
    </row>
    <row r="619" ht="21" customHeight="1" spans="1:13">
      <c r="A619" s="5" t="s">
        <v>15</v>
      </c>
      <c r="B619" s="6" t="s">
        <v>66</v>
      </c>
      <c r="C619" s="6" t="s">
        <v>152</v>
      </c>
      <c r="D619" s="6" t="s">
        <v>153</v>
      </c>
      <c r="E619" s="6" t="s">
        <v>609</v>
      </c>
      <c r="F619" s="6" t="s">
        <v>1729</v>
      </c>
      <c r="G619" s="6">
        <v>45.47</v>
      </c>
      <c r="H619" s="6">
        <v>45.26</v>
      </c>
      <c r="I619" s="6">
        <v>110</v>
      </c>
      <c r="J619" s="6">
        <v>2001</v>
      </c>
      <c r="K619" s="7">
        <f>(J619-M619)*税费参数!$B$12/(I619*10000*(1+SUM(税费参数!$B$6:$B$8)))</f>
        <v>0.0158023332599604</v>
      </c>
      <c r="L619" s="7">
        <f>J619*税费参数!$B$12/(I619*10000)</f>
        <v>0.0181909090909091</v>
      </c>
      <c r="M619" s="6">
        <f>I619*10000*SUM(税费参数!$B$9:$B$10)/税费参数!$B$11</f>
        <v>206.25</v>
      </c>
    </row>
    <row r="620" ht="21" customHeight="1" spans="1:13">
      <c r="A620" s="5" t="s">
        <v>15</v>
      </c>
      <c r="B620" s="6" t="s">
        <v>66</v>
      </c>
      <c r="C620" s="6" t="s">
        <v>152</v>
      </c>
      <c r="D620" s="6" t="s">
        <v>153</v>
      </c>
      <c r="E620" s="6" t="s">
        <v>609</v>
      </c>
      <c r="F620" s="6" t="s">
        <v>1730</v>
      </c>
      <c r="G620" s="6">
        <v>45.47</v>
      </c>
      <c r="H620" s="6">
        <v>45.34</v>
      </c>
      <c r="I620" s="6">
        <v>110</v>
      </c>
      <c r="J620" s="6">
        <v>2000</v>
      </c>
      <c r="K620" s="7">
        <f>(J620-M620)*税费参数!$B$12/(I620*10000*(1+SUM(税费参数!$B$6:$B$8)))</f>
        <v>0.0157935285053929</v>
      </c>
      <c r="L620" s="7">
        <f>J620*税费参数!$B$12/(I620*10000)</f>
        <v>0.0181818181818182</v>
      </c>
      <c r="M620" s="6">
        <f>I620*10000*SUM(税费参数!$B$9:$B$10)/税费参数!$B$11</f>
        <v>206.25</v>
      </c>
    </row>
    <row r="621" ht="21" customHeight="1" spans="1:13">
      <c r="A621" s="5" t="s">
        <v>15</v>
      </c>
      <c r="B621" s="6" t="s">
        <v>66</v>
      </c>
      <c r="C621" s="6" t="s">
        <v>152</v>
      </c>
      <c r="D621" s="6" t="s">
        <v>153</v>
      </c>
      <c r="E621" s="6" t="s">
        <v>609</v>
      </c>
      <c r="F621" s="6" t="s">
        <v>1731</v>
      </c>
      <c r="G621" s="6">
        <v>45.47</v>
      </c>
      <c r="H621" s="6">
        <v>45.45</v>
      </c>
      <c r="I621" s="6">
        <v>110</v>
      </c>
      <c r="J621" s="6">
        <v>2400</v>
      </c>
      <c r="K621" s="7">
        <f>(J621-M621)*税费参数!$B$12/(I621*10000*(1+SUM(税费参数!$B$6:$B$8)))</f>
        <v>0.0193154303323795</v>
      </c>
      <c r="L621" s="7">
        <f>J621*税费参数!$B$12/(I621*10000)</f>
        <v>0.0218181818181818</v>
      </c>
      <c r="M621" s="6">
        <f>I621*10000*SUM(税费参数!$B$9:$B$10)/税费参数!$B$11</f>
        <v>206.25</v>
      </c>
    </row>
    <row r="622" ht="21" customHeight="1" spans="1:13">
      <c r="A622" s="5" t="s">
        <v>15</v>
      </c>
      <c r="B622" s="6" t="s">
        <v>66</v>
      </c>
      <c r="C622" s="6" t="s">
        <v>152</v>
      </c>
      <c r="D622" s="6" t="s">
        <v>153</v>
      </c>
      <c r="E622" s="6" t="s">
        <v>603</v>
      </c>
      <c r="F622" s="6" t="s">
        <v>1717</v>
      </c>
      <c r="G622" s="6">
        <v>45.79</v>
      </c>
      <c r="H622" s="6">
        <v>46.92</v>
      </c>
      <c r="I622" s="6">
        <v>108</v>
      </c>
      <c r="J622" s="6">
        <v>2300</v>
      </c>
      <c r="K622" s="7">
        <f>(J622-M622)*税费参数!$B$12/(I622*10000*(1+SUM(税费参数!$B$6:$B$8)))</f>
        <v>0.0188099721998027</v>
      </c>
      <c r="L622" s="7">
        <f>J622*税费参数!$B$12/(I622*10000)</f>
        <v>0.0212962962962963</v>
      </c>
      <c r="M622" s="6">
        <f>I622*10000*SUM(税费参数!$B$9:$B$10)/税费参数!$B$11</f>
        <v>202.5</v>
      </c>
    </row>
    <row r="623" ht="21" customHeight="1" spans="1:13">
      <c r="A623" s="5" t="s">
        <v>15</v>
      </c>
      <c r="B623" s="6" t="s">
        <v>66</v>
      </c>
      <c r="C623" s="6" t="s">
        <v>152</v>
      </c>
      <c r="D623" s="6" t="s">
        <v>153</v>
      </c>
      <c r="E623" s="6" t="s">
        <v>603</v>
      </c>
      <c r="F623" s="6" t="s">
        <v>1718</v>
      </c>
      <c r="G623" s="6">
        <v>45.79</v>
      </c>
      <c r="H623" s="6">
        <v>47.47</v>
      </c>
      <c r="I623" s="6">
        <v>108</v>
      </c>
      <c r="J623" s="6">
        <v>2200</v>
      </c>
      <c r="K623" s="7">
        <f>(J623-M623)*税费参数!$B$12/(I623*10000*(1+SUM(税费参数!$B$6:$B$8)))</f>
        <v>0.0179131916420052</v>
      </c>
      <c r="L623" s="7">
        <f>J623*税费参数!$B$12/(I623*10000)</f>
        <v>0.0203703703703704</v>
      </c>
      <c r="M623" s="6">
        <f>I623*10000*SUM(税费参数!$B$9:$B$10)/税费参数!$B$11</f>
        <v>202.5</v>
      </c>
    </row>
    <row r="624" ht="21" customHeight="1" spans="1:13">
      <c r="A624" s="5" t="s">
        <v>15</v>
      </c>
      <c r="B624" s="6" t="s">
        <v>66</v>
      </c>
      <c r="C624" s="6" t="s">
        <v>152</v>
      </c>
      <c r="D624" s="6" t="s">
        <v>153</v>
      </c>
      <c r="E624" s="6" t="s">
        <v>603</v>
      </c>
      <c r="F624" s="6" t="s">
        <v>1719</v>
      </c>
      <c r="G624" s="6">
        <v>45.79</v>
      </c>
      <c r="H624" s="6">
        <v>45.45</v>
      </c>
      <c r="I624" s="6">
        <v>108</v>
      </c>
      <c r="J624" s="6">
        <v>2025</v>
      </c>
      <c r="K624" s="7">
        <f>(J624-M624)*税费参数!$B$12/(I624*10000*(1+SUM(税费参数!$B$6:$B$8)))</f>
        <v>0.0163438256658596</v>
      </c>
      <c r="L624" s="7">
        <f>J624*税费参数!$B$12/(I624*10000)</f>
        <v>0.01875</v>
      </c>
      <c r="M624" s="6">
        <f>I624*10000*SUM(税费参数!$B$9:$B$10)/税费参数!$B$11</f>
        <v>202.5</v>
      </c>
    </row>
    <row r="625" ht="21" customHeight="1" spans="1:13">
      <c r="A625" s="5" t="s">
        <v>15</v>
      </c>
      <c r="B625" s="6" t="s">
        <v>66</v>
      </c>
      <c r="C625" s="6" t="s">
        <v>152</v>
      </c>
      <c r="D625" s="6" t="s">
        <v>153</v>
      </c>
      <c r="E625" s="6" t="s">
        <v>603</v>
      </c>
      <c r="F625" s="6" t="s">
        <v>1720</v>
      </c>
      <c r="G625" s="6">
        <v>45.79</v>
      </c>
      <c r="H625" s="6">
        <v>45.33</v>
      </c>
      <c r="I625" s="6">
        <v>108</v>
      </c>
      <c r="J625" s="6">
        <v>2200</v>
      </c>
      <c r="K625" s="7">
        <f>(J625-M625)*税费参数!$B$12/(I625*10000*(1+SUM(税费参数!$B$6:$B$8)))</f>
        <v>0.0179131916420052</v>
      </c>
      <c r="L625" s="7">
        <f>J625*税费参数!$B$12/(I625*10000)</f>
        <v>0.0203703703703704</v>
      </c>
      <c r="M625" s="6">
        <f>I625*10000*SUM(税费参数!$B$9:$B$10)/税费参数!$B$11</f>
        <v>202.5</v>
      </c>
    </row>
    <row r="626" ht="21" customHeight="1" spans="1:13">
      <c r="A626" s="5" t="s">
        <v>15</v>
      </c>
      <c r="B626" s="6" t="s">
        <v>66</v>
      </c>
      <c r="C626" s="6" t="s">
        <v>152</v>
      </c>
      <c r="D626" s="6" t="s">
        <v>153</v>
      </c>
      <c r="E626" s="6" t="s">
        <v>603</v>
      </c>
      <c r="F626" s="6" t="s">
        <v>1721</v>
      </c>
      <c r="G626" s="6">
        <v>45.79</v>
      </c>
      <c r="H626" s="6">
        <v>45.47</v>
      </c>
      <c r="I626" s="6">
        <v>108</v>
      </c>
      <c r="J626" s="6">
        <v>2000</v>
      </c>
      <c r="K626" s="7">
        <f>(J626-M626)*税费参数!$B$12/(I626*10000*(1+SUM(税费参数!$B$6:$B$8)))</f>
        <v>0.0161196305264102</v>
      </c>
      <c r="L626" s="7">
        <f>J626*税费参数!$B$12/(I626*10000)</f>
        <v>0.0185185185185185</v>
      </c>
      <c r="M626" s="6">
        <f>I626*10000*SUM(税费参数!$B$9:$B$10)/税费参数!$B$11</f>
        <v>202.5</v>
      </c>
    </row>
    <row r="627" ht="21" customHeight="1" spans="1:13">
      <c r="A627" s="5" t="s">
        <v>15</v>
      </c>
      <c r="B627" s="6" t="s">
        <v>66</v>
      </c>
      <c r="C627" s="6" t="s">
        <v>152</v>
      </c>
      <c r="D627" s="6" t="s">
        <v>153</v>
      </c>
      <c r="E627" s="6" t="s">
        <v>603</v>
      </c>
      <c r="F627" s="6" t="s">
        <v>1722</v>
      </c>
      <c r="G627" s="6">
        <v>45.79</v>
      </c>
      <c r="H627" s="6">
        <v>45.47</v>
      </c>
      <c r="I627" s="6">
        <v>108</v>
      </c>
      <c r="J627" s="6">
        <v>2000</v>
      </c>
      <c r="K627" s="7">
        <f>(J627-M627)*税费参数!$B$12/(I627*10000*(1+SUM(税费参数!$B$6:$B$8)))</f>
        <v>0.0161196305264102</v>
      </c>
      <c r="L627" s="7">
        <f>J627*税费参数!$B$12/(I627*10000)</f>
        <v>0.0185185185185185</v>
      </c>
      <c r="M627" s="6">
        <f>I627*10000*SUM(税费参数!$B$9:$B$10)/税费参数!$B$11</f>
        <v>202.5</v>
      </c>
    </row>
    <row r="628" ht="21" customHeight="1" spans="1:13">
      <c r="A628" s="5" t="s">
        <v>15</v>
      </c>
      <c r="B628" s="6" t="s">
        <v>66</v>
      </c>
      <c r="C628" s="6" t="s">
        <v>152</v>
      </c>
      <c r="D628" s="6" t="s">
        <v>153</v>
      </c>
      <c r="E628" s="6" t="s">
        <v>603</v>
      </c>
      <c r="F628" s="6" t="s">
        <v>1723</v>
      </c>
      <c r="G628" s="6">
        <v>45.79</v>
      </c>
      <c r="H628" s="6">
        <v>50.1</v>
      </c>
      <c r="I628" s="6">
        <v>108</v>
      </c>
      <c r="J628" s="6">
        <v>2250</v>
      </c>
      <c r="K628" s="7">
        <f>(J628-M628)*税费参数!$B$12/(I628*10000*(1+SUM(税费参数!$B$6:$B$8)))</f>
        <v>0.018361581920904</v>
      </c>
      <c r="L628" s="7">
        <f>J628*税费参数!$B$12/(I628*10000)</f>
        <v>0.0208333333333333</v>
      </c>
      <c r="M628" s="6">
        <f>I628*10000*SUM(税费参数!$B$9:$B$10)/税费参数!$B$11</f>
        <v>202.5</v>
      </c>
    </row>
    <row r="629" ht="21" customHeight="1" spans="1:13">
      <c r="A629" s="5" t="s">
        <v>15</v>
      </c>
      <c r="B629" s="6" t="s">
        <v>66</v>
      </c>
      <c r="C629" s="6" t="s">
        <v>152</v>
      </c>
      <c r="D629" s="6" t="s">
        <v>153</v>
      </c>
      <c r="E629" s="6" t="s">
        <v>603</v>
      </c>
      <c r="F629" s="6" t="s">
        <v>1724</v>
      </c>
      <c r="G629" s="6">
        <v>45.79</v>
      </c>
      <c r="H629" s="6">
        <v>45</v>
      </c>
      <c r="I629" s="6">
        <v>108</v>
      </c>
      <c r="J629" s="6">
        <v>2100</v>
      </c>
      <c r="K629" s="7">
        <f>(J629-M629)*税费参数!$B$12/(I629*10000*(1+SUM(税费参数!$B$6:$B$8)))</f>
        <v>0.0170164110842077</v>
      </c>
      <c r="L629" s="7">
        <f>J629*税费参数!$B$12/(I629*10000)</f>
        <v>0.0194444444444444</v>
      </c>
      <c r="M629" s="6">
        <f>I629*10000*SUM(税费参数!$B$9:$B$10)/税费参数!$B$11</f>
        <v>202.5</v>
      </c>
    </row>
    <row r="630" ht="21" customHeight="1" spans="1:13">
      <c r="A630" s="5" t="s">
        <v>15</v>
      </c>
      <c r="B630" s="6" t="s">
        <v>66</v>
      </c>
      <c r="C630" s="6" t="s">
        <v>152</v>
      </c>
      <c r="D630" s="6" t="s">
        <v>153</v>
      </c>
      <c r="E630" s="6" t="s">
        <v>603</v>
      </c>
      <c r="F630" s="6" t="s">
        <v>1725</v>
      </c>
      <c r="G630" s="6">
        <v>45.79</v>
      </c>
      <c r="H630" s="6">
        <v>45.66</v>
      </c>
      <c r="I630" s="6">
        <v>108</v>
      </c>
      <c r="J630" s="6">
        <v>1900</v>
      </c>
      <c r="K630" s="7">
        <f>(J630-M630)*税费参数!$B$12/(I630*10000*(1+SUM(税费参数!$B$6:$B$8)))</f>
        <v>0.0152228499686127</v>
      </c>
      <c r="L630" s="7">
        <f>J630*税费参数!$B$12/(I630*10000)</f>
        <v>0.0175925925925926</v>
      </c>
      <c r="M630" s="6">
        <f>I630*10000*SUM(税费参数!$B$9:$B$10)/税费参数!$B$11</f>
        <v>202.5</v>
      </c>
    </row>
    <row r="631" ht="21" customHeight="1" spans="1:13">
      <c r="A631" s="5" t="s">
        <v>15</v>
      </c>
      <c r="B631" s="6" t="s">
        <v>66</v>
      </c>
      <c r="C631" s="6" t="s">
        <v>152</v>
      </c>
      <c r="D631" s="6" t="s">
        <v>153</v>
      </c>
      <c r="E631" s="6" t="s">
        <v>603</v>
      </c>
      <c r="F631" s="6" t="s">
        <v>1726</v>
      </c>
      <c r="G631" s="6">
        <v>45.79</v>
      </c>
      <c r="H631" s="6">
        <v>46.66</v>
      </c>
      <c r="I631" s="6">
        <v>108</v>
      </c>
      <c r="J631" s="6">
        <v>2100</v>
      </c>
      <c r="K631" s="7">
        <f>(J631-M631)*税费参数!$B$12/(I631*10000*(1+SUM(税费参数!$B$6:$B$8)))</f>
        <v>0.0170164110842077</v>
      </c>
      <c r="L631" s="7">
        <f>J631*税费参数!$B$12/(I631*10000)</f>
        <v>0.0194444444444444</v>
      </c>
      <c r="M631" s="6">
        <f>I631*10000*SUM(税费参数!$B$9:$B$10)/税费参数!$B$11</f>
        <v>202.5</v>
      </c>
    </row>
    <row r="632" ht="21" customHeight="1" spans="1:13">
      <c r="A632" s="5" t="s">
        <v>15</v>
      </c>
      <c r="B632" s="6" t="s">
        <v>66</v>
      </c>
      <c r="C632" s="6" t="s">
        <v>152</v>
      </c>
      <c r="D632" s="6" t="s">
        <v>153</v>
      </c>
      <c r="E632" s="6" t="s">
        <v>603</v>
      </c>
      <c r="F632" s="6" t="s">
        <v>1727</v>
      </c>
      <c r="G632" s="6">
        <v>45.79</v>
      </c>
      <c r="H632" s="6">
        <v>45.46</v>
      </c>
      <c r="I632" s="6">
        <v>108</v>
      </c>
      <c r="J632" s="6">
        <v>1900</v>
      </c>
      <c r="K632" s="7">
        <f>(J632-M632)*税费参数!$B$12/(I632*10000*(1+SUM(税费参数!$B$6:$B$8)))</f>
        <v>0.0152228499686127</v>
      </c>
      <c r="L632" s="7">
        <f>J632*税费参数!$B$12/(I632*10000)</f>
        <v>0.0175925925925926</v>
      </c>
      <c r="M632" s="6">
        <f>I632*10000*SUM(税费参数!$B$9:$B$10)/税费参数!$B$11</f>
        <v>202.5</v>
      </c>
    </row>
    <row r="633" ht="21" customHeight="1" spans="1:13">
      <c r="A633" s="5" t="s">
        <v>15</v>
      </c>
      <c r="B633" s="6" t="s">
        <v>66</v>
      </c>
      <c r="C633" s="6" t="s">
        <v>152</v>
      </c>
      <c r="D633" s="6" t="s">
        <v>153</v>
      </c>
      <c r="E633" s="6" t="s">
        <v>603</v>
      </c>
      <c r="F633" s="6" t="s">
        <v>1728</v>
      </c>
      <c r="G633" s="6">
        <v>45.79</v>
      </c>
      <c r="H633" s="6">
        <v>45.45</v>
      </c>
      <c r="I633" s="6">
        <v>108</v>
      </c>
      <c r="J633" s="6">
        <v>2000</v>
      </c>
      <c r="K633" s="7">
        <f>(J633-M633)*税费参数!$B$12/(I633*10000*(1+SUM(税费参数!$B$6:$B$8)))</f>
        <v>0.0161196305264102</v>
      </c>
      <c r="L633" s="7">
        <f>J633*税费参数!$B$12/(I633*10000)</f>
        <v>0.0185185185185185</v>
      </c>
      <c r="M633" s="6">
        <f>I633*10000*SUM(税费参数!$B$9:$B$10)/税费参数!$B$11</f>
        <v>202.5</v>
      </c>
    </row>
    <row r="634" ht="21" customHeight="1" spans="1:13">
      <c r="A634" s="5" t="s">
        <v>15</v>
      </c>
      <c r="B634" s="6" t="s">
        <v>66</v>
      </c>
      <c r="C634" s="6" t="s">
        <v>152</v>
      </c>
      <c r="D634" s="6" t="s">
        <v>153</v>
      </c>
      <c r="E634" s="6" t="s">
        <v>603</v>
      </c>
      <c r="F634" s="6" t="s">
        <v>1729</v>
      </c>
      <c r="G634" s="6">
        <v>45.79</v>
      </c>
      <c r="H634" s="6">
        <v>45.26</v>
      </c>
      <c r="I634" s="6">
        <v>108</v>
      </c>
      <c r="J634" s="6">
        <v>2001</v>
      </c>
      <c r="K634" s="7">
        <f>(J634-M634)*税费参数!$B$12/(I634*10000*(1+SUM(税费参数!$B$6:$B$8)))</f>
        <v>0.0161285983319882</v>
      </c>
      <c r="L634" s="7">
        <f>J634*税费参数!$B$12/(I634*10000)</f>
        <v>0.0185277777777778</v>
      </c>
      <c r="M634" s="6">
        <f>I634*10000*SUM(税费参数!$B$9:$B$10)/税费参数!$B$11</f>
        <v>202.5</v>
      </c>
    </row>
    <row r="635" ht="21" customHeight="1" spans="1:13">
      <c r="A635" s="5" t="s">
        <v>15</v>
      </c>
      <c r="B635" s="6" t="s">
        <v>66</v>
      </c>
      <c r="C635" s="6" t="s">
        <v>152</v>
      </c>
      <c r="D635" s="6" t="s">
        <v>153</v>
      </c>
      <c r="E635" s="6" t="s">
        <v>603</v>
      </c>
      <c r="F635" s="6" t="s">
        <v>1730</v>
      </c>
      <c r="G635" s="6">
        <v>45.79</v>
      </c>
      <c r="H635" s="6">
        <v>45.34</v>
      </c>
      <c r="I635" s="6">
        <v>108</v>
      </c>
      <c r="J635" s="6">
        <v>2000</v>
      </c>
      <c r="K635" s="7">
        <f>(J635-M635)*税费参数!$B$12/(I635*10000*(1+SUM(税费参数!$B$6:$B$8)))</f>
        <v>0.0161196305264102</v>
      </c>
      <c r="L635" s="7">
        <f>J635*税费参数!$B$12/(I635*10000)</f>
        <v>0.0185185185185185</v>
      </c>
      <c r="M635" s="6">
        <f>I635*10000*SUM(税费参数!$B$9:$B$10)/税费参数!$B$11</f>
        <v>202.5</v>
      </c>
    </row>
    <row r="636" ht="21" customHeight="1" spans="1:13">
      <c r="A636" s="5" t="s">
        <v>15</v>
      </c>
      <c r="B636" s="6" t="s">
        <v>66</v>
      </c>
      <c r="C636" s="6" t="s">
        <v>152</v>
      </c>
      <c r="D636" s="6" t="s">
        <v>153</v>
      </c>
      <c r="E636" s="6" t="s">
        <v>603</v>
      </c>
      <c r="F636" s="6" t="s">
        <v>1731</v>
      </c>
      <c r="G636" s="6">
        <v>45.79</v>
      </c>
      <c r="H636" s="6">
        <v>45.45</v>
      </c>
      <c r="I636" s="6">
        <v>108</v>
      </c>
      <c r="J636" s="6">
        <v>2400</v>
      </c>
      <c r="K636" s="7">
        <f>(J636-M636)*税费参数!$B$12/(I636*10000*(1+SUM(税费参数!$B$6:$B$8)))</f>
        <v>0.0197067527576002</v>
      </c>
      <c r="L636" s="7">
        <f>J636*税费参数!$B$12/(I636*10000)</f>
        <v>0.0222222222222222</v>
      </c>
      <c r="M636" s="6">
        <f>I636*10000*SUM(税费参数!$B$9:$B$10)/税费参数!$B$11</f>
        <v>202.5</v>
      </c>
    </row>
    <row r="637" ht="21" customHeight="1" spans="1:13">
      <c r="A637" s="5" t="s">
        <v>15</v>
      </c>
      <c r="B637" s="6" t="s">
        <v>66</v>
      </c>
      <c r="C637" s="6" t="s">
        <v>152</v>
      </c>
      <c r="D637" s="6" t="s">
        <v>153</v>
      </c>
      <c r="E637" s="6" t="s">
        <v>615</v>
      </c>
      <c r="F637" s="6" t="s">
        <v>1717</v>
      </c>
      <c r="G637" s="6">
        <v>45.45</v>
      </c>
      <c r="H637" s="6">
        <v>46.92</v>
      </c>
      <c r="I637" s="6">
        <v>96</v>
      </c>
      <c r="J637" s="6">
        <v>2300</v>
      </c>
      <c r="K637" s="7">
        <f>(J637-M637)*税费参数!$B$12/(I637*10000*(1+SUM(税费参数!$B$6:$B$8)))</f>
        <v>0.0213882163034705</v>
      </c>
      <c r="L637" s="7">
        <f>J637*税费参数!$B$12/(I637*10000)</f>
        <v>0.0239583333333333</v>
      </c>
      <c r="M637" s="6">
        <f>I637*10000*SUM(税费参数!$B$9:$B$10)/税费参数!$B$11</f>
        <v>180</v>
      </c>
    </row>
    <row r="638" ht="21" customHeight="1" spans="1:13">
      <c r="A638" s="5" t="s">
        <v>15</v>
      </c>
      <c r="B638" s="6" t="s">
        <v>66</v>
      </c>
      <c r="C638" s="6" t="s">
        <v>152</v>
      </c>
      <c r="D638" s="6" t="s">
        <v>153</v>
      </c>
      <c r="E638" s="6" t="s">
        <v>615</v>
      </c>
      <c r="F638" s="6" t="s">
        <v>1718</v>
      </c>
      <c r="G638" s="6">
        <v>45.45</v>
      </c>
      <c r="H638" s="6">
        <v>47.47</v>
      </c>
      <c r="I638" s="6">
        <v>96</v>
      </c>
      <c r="J638" s="6">
        <v>2200</v>
      </c>
      <c r="K638" s="7">
        <f>(J638-M638)*税费参数!$B$12/(I638*10000*(1+SUM(税费参数!$B$6:$B$8)))</f>
        <v>0.0203793381759483</v>
      </c>
      <c r="L638" s="7">
        <f>J638*税费参数!$B$12/(I638*10000)</f>
        <v>0.0229166666666667</v>
      </c>
      <c r="M638" s="6">
        <f>I638*10000*SUM(税费参数!$B$9:$B$10)/税费参数!$B$11</f>
        <v>180</v>
      </c>
    </row>
    <row r="639" ht="21" customHeight="1" spans="1:13">
      <c r="A639" s="5" t="s">
        <v>15</v>
      </c>
      <c r="B639" s="6" t="s">
        <v>66</v>
      </c>
      <c r="C639" s="6" t="s">
        <v>152</v>
      </c>
      <c r="D639" s="6" t="s">
        <v>153</v>
      </c>
      <c r="E639" s="6" t="s">
        <v>615</v>
      </c>
      <c r="F639" s="6" t="s">
        <v>1719</v>
      </c>
      <c r="G639" s="6">
        <v>45.45</v>
      </c>
      <c r="H639" s="6">
        <v>45.45</v>
      </c>
      <c r="I639" s="6">
        <v>96</v>
      </c>
      <c r="J639" s="6">
        <v>2025</v>
      </c>
      <c r="K639" s="7">
        <f>(J639-M639)*税费参数!$B$12/(I639*10000*(1+SUM(税费参数!$B$6:$B$8)))</f>
        <v>0.0186138014527845</v>
      </c>
      <c r="L639" s="7">
        <f>J639*税费参数!$B$12/(I639*10000)</f>
        <v>0.02109375</v>
      </c>
      <c r="M639" s="6">
        <f>I639*10000*SUM(税费参数!$B$9:$B$10)/税费参数!$B$11</f>
        <v>180</v>
      </c>
    </row>
    <row r="640" ht="21" customHeight="1" spans="1:13">
      <c r="A640" s="5" t="s">
        <v>15</v>
      </c>
      <c r="B640" s="6" t="s">
        <v>66</v>
      </c>
      <c r="C640" s="6" t="s">
        <v>152</v>
      </c>
      <c r="D640" s="6" t="s">
        <v>153</v>
      </c>
      <c r="E640" s="6" t="s">
        <v>615</v>
      </c>
      <c r="F640" s="6" t="s">
        <v>1720</v>
      </c>
      <c r="G640" s="6">
        <v>45.45</v>
      </c>
      <c r="H640" s="6">
        <v>45.33</v>
      </c>
      <c r="I640" s="6">
        <v>96</v>
      </c>
      <c r="J640" s="6">
        <v>2200</v>
      </c>
      <c r="K640" s="7">
        <f>(J640-M640)*税费参数!$B$12/(I640*10000*(1+SUM(税费参数!$B$6:$B$8)))</f>
        <v>0.0203793381759483</v>
      </c>
      <c r="L640" s="7">
        <f>J640*税费参数!$B$12/(I640*10000)</f>
        <v>0.0229166666666667</v>
      </c>
      <c r="M640" s="6">
        <f>I640*10000*SUM(税费参数!$B$9:$B$10)/税费参数!$B$11</f>
        <v>180</v>
      </c>
    </row>
    <row r="641" ht="21" customHeight="1" spans="1:13">
      <c r="A641" s="5" t="s">
        <v>15</v>
      </c>
      <c r="B641" s="6" t="s">
        <v>66</v>
      </c>
      <c r="C641" s="6" t="s">
        <v>152</v>
      </c>
      <c r="D641" s="6" t="s">
        <v>153</v>
      </c>
      <c r="E641" s="6" t="s">
        <v>615</v>
      </c>
      <c r="F641" s="6" t="s">
        <v>1721</v>
      </c>
      <c r="G641" s="6">
        <v>45.45</v>
      </c>
      <c r="H641" s="6">
        <v>45.47</v>
      </c>
      <c r="I641" s="6">
        <v>96</v>
      </c>
      <c r="J641" s="6">
        <v>2000</v>
      </c>
      <c r="K641" s="7">
        <f>(J641-M641)*税费参数!$B$12/(I641*10000*(1+SUM(税费参数!$B$6:$B$8)))</f>
        <v>0.018361581920904</v>
      </c>
      <c r="L641" s="7">
        <f>J641*税费参数!$B$12/(I641*10000)</f>
        <v>0.0208333333333333</v>
      </c>
      <c r="M641" s="6">
        <f>I641*10000*SUM(税费参数!$B$9:$B$10)/税费参数!$B$11</f>
        <v>180</v>
      </c>
    </row>
    <row r="642" ht="21" customHeight="1" spans="1:13">
      <c r="A642" s="5" t="s">
        <v>15</v>
      </c>
      <c r="B642" s="6" t="s">
        <v>66</v>
      </c>
      <c r="C642" s="6" t="s">
        <v>152</v>
      </c>
      <c r="D642" s="6" t="s">
        <v>153</v>
      </c>
      <c r="E642" s="6" t="s">
        <v>615</v>
      </c>
      <c r="F642" s="6" t="s">
        <v>1722</v>
      </c>
      <c r="G642" s="6">
        <v>45.45</v>
      </c>
      <c r="H642" s="6">
        <v>45.47</v>
      </c>
      <c r="I642" s="6">
        <v>96</v>
      </c>
      <c r="J642" s="6">
        <v>2000</v>
      </c>
      <c r="K642" s="7">
        <f>(J642-M642)*税费参数!$B$12/(I642*10000*(1+SUM(税费参数!$B$6:$B$8)))</f>
        <v>0.018361581920904</v>
      </c>
      <c r="L642" s="7">
        <f>J642*税费参数!$B$12/(I642*10000)</f>
        <v>0.0208333333333333</v>
      </c>
      <c r="M642" s="6">
        <f>I642*10000*SUM(税费参数!$B$9:$B$10)/税费参数!$B$11</f>
        <v>180</v>
      </c>
    </row>
    <row r="643" ht="21" customHeight="1" spans="1:13">
      <c r="A643" s="5" t="s">
        <v>15</v>
      </c>
      <c r="B643" s="6" t="s">
        <v>66</v>
      </c>
      <c r="C643" s="6" t="s">
        <v>152</v>
      </c>
      <c r="D643" s="6" t="s">
        <v>153</v>
      </c>
      <c r="E643" s="6" t="s">
        <v>615</v>
      </c>
      <c r="F643" s="6" t="s">
        <v>1723</v>
      </c>
      <c r="G643" s="6">
        <v>45.45</v>
      </c>
      <c r="H643" s="6">
        <v>50.1</v>
      </c>
      <c r="I643" s="6">
        <v>96</v>
      </c>
      <c r="J643" s="6">
        <v>2250</v>
      </c>
      <c r="K643" s="7">
        <f>(J643-M643)*税费参数!$B$12/(I643*10000*(1+SUM(税费参数!$B$6:$B$8)))</f>
        <v>0.0208837772397094</v>
      </c>
      <c r="L643" s="7">
        <f>J643*税费参数!$B$12/(I643*10000)</f>
        <v>0.0234375</v>
      </c>
      <c r="M643" s="6">
        <f>I643*10000*SUM(税费参数!$B$9:$B$10)/税费参数!$B$11</f>
        <v>180</v>
      </c>
    </row>
    <row r="644" ht="21" customHeight="1" spans="1:13">
      <c r="A644" s="5" t="s">
        <v>15</v>
      </c>
      <c r="B644" s="6" t="s">
        <v>66</v>
      </c>
      <c r="C644" s="6" t="s">
        <v>152</v>
      </c>
      <c r="D644" s="6" t="s">
        <v>153</v>
      </c>
      <c r="E644" s="6" t="s">
        <v>615</v>
      </c>
      <c r="F644" s="6" t="s">
        <v>1724</v>
      </c>
      <c r="G644" s="6">
        <v>45.45</v>
      </c>
      <c r="H644" s="6">
        <v>45</v>
      </c>
      <c r="I644" s="6">
        <v>96</v>
      </c>
      <c r="J644" s="6">
        <v>2100</v>
      </c>
      <c r="K644" s="7">
        <f>(J644-M644)*税费参数!$B$12/(I644*10000*(1+SUM(税费参数!$B$6:$B$8)))</f>
        <v>0.0193704600484262</v>
      </c>
      <c r="L644" s="7">
        <f>J644*税费参数!$B$12/(I644*10000)</f>
        <v>0.021875</v>
      </c>
      <c r="M644" s="6">
        <f>I644*10000*SUM(税费参数!$B$9:$B$10)/税费参数!$B$11</f>
        <v>180</v>
      </c>
    </row>
    <row r="645" ht="21" customHeight="1" spans="1:13">
      <c r="A645" s="5" t="s">
        <v>15</v>
      </c>
      <c r="B645" s="6" t="s">
        <v>66</v>
      </c>
      <c r="C645" s="6" t="s">
        <v>152</v>
      </c>
      <c r="D645" s="6" t="s">
        <v>153</v>
      </c>
      <c r="E645" s="6" t="s">
        <v>615</v>
      </c>
      <c r="F645" s="6" t="s">
        <v>1725</v>
      </c>
      <c r="G645" s="6">
        <v>45.45</v>
      </c>
      <c r="H645" s="6">
        <v>45.66</v>
      </c>
      <c r="I645" s="6">
        <v>96</v>
      </c>
      <c r="J645" s="6">
        <v>1900</v>
      </c>
      <c r="K645" s="7">
        <f>(J645-M645)*税费参数!$B$12/(I645*10000*(1+SUM(税费参数!$B$6:$B$8)))</f>
        <v>0.0173527037933818</v>
      </c>
      <c r="L645" s="7">
        <f>J645*税费参数!$B$12/(I645*10000)</f>
        <v>0.0197916666666667</v>
      </c>
      <c r="M645" s="6">
        <f>I645*10000*SUM(税费参数!$B$9:$B$10)/税费参数!$B$11</f>
        <v>180</v>
      </c>
    </row>
    <row r="646" ht="21" customHeight="1" spans="1:13">
      <c r="A646" s="5" t="s">
        <v>15</v>
      </c>
      <c r="B646" s="6" t="s">
        <v>66</v>
      </c>
      <c r="C646" s="6" t="s">
        <v>152</v>
      </c>
      <c r="D646" s="6" t="s">
        <v>153</v>
      </c>
      <c r="E646" s="6" t="s">
        <v>615</v>
      </c>
      <c r="F646" s="6" t="s">
        <v>1726</v>
      </c>
      <c r="G646" s="6">
        <v>45.45</v>
      </c>
      <c r="H646" s="6">
        <v>46.66</v>
      </c>
      <c r="I646" s="6">
        <v>96</v>
      </c>
      <c r="J646" s="6">
        <v>2100</v>
      </c>
      <c r="K646" s="7">
        <f>(J646-M646)*税费参数!$B$12/(I646*10000*(1+SUM(税费参数!$B$6:$B$8)))</f>
        <v>0.0193704600484262</v>
      </c>
      <c r="L646" s="7">
        <f>J646*税费参数!$B$12/(I646*10000)</f>
        <v>0.021875</v>
      </c>
      <c r="M646" s="6">
        <f>I646*10000*SUM(税费参数!$B$9:$B$10)/税费参数!$B$11</f>
        <v>180</v>
      </c>
    </row>
    <row r="647" ht="21" customHeight="1" spans="1:13">
      <c r="A647" s="5" t="s">
        <v>15</v>
      </c>
      <c r="B647" s="6" t="s">
        <v>66</v>
      </c>
      <c r="C647" s="6" t="s">
        <v>152</v>
      </c>
      <c r="D647" s="6" t="s">
        <v>153</v>
      </c>
      <c r="E647" s="6" t="s">
        <v>615</v>
      </c>
      <c r="F647" s="6" t="s">
        <v>1727</v>
      </c>
      <c r="G647" s="6">
        <v>45.45</v>
      </c>
      <c r="H647" s="6">
        <v>45.46</v>
      </c>
      <c r="I647" s="6">
        <v>96</v>
      </c>
      <c r="J647" s="6">
        <v>1900</v>
      </c>
      <c r="K647" s="7">
        <f>(J647-M647)*税费参数!$B$12/(I647*10000*(1+SUM(税费参数!$B$6:$B$8)))</f>
        <v>0.0173527037933818</v>
      </c>
      <c r="L647" s="7">
        <f>J647*税费参数!$B$12/(I647*10000)</f>
        <v>0.0197916666666667</v>
      </c>
      <c r="M647" s="6">
        <f>I647*10000*SUM(税费参数!$B$9:$B$10)/税费参数!$B$11</f>
        <v>180</v>
      </c>
    </row>
    <row r="648" ht="21" customHeight="1" spans="1:13">
      <c r="A648" s="5" t="s">
        <v>15</v>
      </c>
      <c r="B648" s="6" t="s">
        <v>66</v>
      </c>
      <c r="C648" s="6" t="s">
        <v>152</v>
      </c>
      <c r="D648" s="6" t="s">
        <v>153</v>
      </c>
      <c r="E648" s="6" t="s">
        <v>615</v>
      </c>
      <c r="F648" s="6" t="s">
        <v>1728</v>
      </c>
      <c r="G648" s="6">
        <v>45.45</v>
      </c>
      <c r="H648" s="6">
        <v>45.45</v>
      </c>
      <c r="I648" s="6">
        <v>96</v>
      </c>
      <c r="J648" s="6">
        <v>2000</v>
      </c>
      <c r="K648" s="7">
        <f>(J648-M648)*税费参数!$B$12/(I648*10000*(1+SUM(税费参数!$B$6:$B$8)))</f>
        <v>0.018361581920904</v>
      </c>
      <c r="L648" s="7">
        <f>J648*税费参数!$B$12/(I648*10000)</f>
        <v>0.0208333333333333</v>
      </c>
      <c r="M648" s="6">
        <f>I648*10000*SUM(税费参数!$B$9:$B$10)/税费参数!$B$11</f>
        <v>180</v>
      </c>
    </row>
    <row r="649" ht="21" customHeight="1" spans="1:13">
      <c r="A649" s="5" t="s">
        <v>15</v>
      </c>
      <c r="B649" s="6" t="s">
        <v>66</v>
      </c>
      <c r="C649" s="6" t="s">
        <v>152</v>
      </c>
      <c r="D649" s="6" t="s">
        <v>153</v>
      </c>
      <c r="E649" s="6" t="s">
        <v>615</v>
      </c>
      <c r="F649" s="6" t="s">
        <v>1729</v>
      </c>
      <c r="G649" s="6">
        <v>45.45</v>
      </c>
      <c r="H649" s="6">
        <v>45.26</v>
      </c>
      <c r="I649" s="6">
        <v>96</v>
      </c>
      <c r="J649" s="6">
        <v>2001</v>
      </c>
      <c r="K649" s="7">
        <f>(J649-M649)*税费参数!$B$12/(I649*10000*(1+SUM(税费参数!$B$6:$B$8)))</f>
        <v>0.0183716707021792</v>
      </c>
      <c r="L649" s="7">
        <f>J649*税费参数!$B$12/(I649*10000)</f>
        <v>0.02084375</v>
      </c>
      <c r="M649" s="6">
        <f>I649*10000*SUM(税费参数!$B$9:$B$10)/税费参数!$B$11</f>
        <v>180</v>
      </c>
    </row>
    <row r="650" ht="21" customHeight="1" spans="1:13">
      <c r="A650" s="5" t="s">
        <v>15</v>
      </c>
      <c r="B650" s="6" t="s">
        <v>66</v>
      </c>
      <c r="C650" s="6" t="s">
        <v>152</v>
      </c>
      <c r="D650" s="6" t="s">
        <v>153</v>
      </c>
      <c r="E650" s="6" t="s">
        <v>615</v>
      </c>
      <c r="F650" s="6" t="s">
        <v>1730</v>
      </c>
      <c r="G650" s="6">
        <v>45.45</v>
      </c>
      <c r="H650" s="6">
        <v>45.34</v>
      </c>
      <c r="I650" s="6">
        <v>96</v>
      </c>
      <c r="J650" s="6">
        <v>2000</v>
      </c>
      <c r="K650" s="7">
        <f>(J650-M650)*税费参数!$B$12/(I650*10000*(1+SUM(税费参数!$B$6:$B$8)))</f>
        <v>0.018361581920904</v>
      </c>
      <c r="L650" s="7">
        <f>J650*税费参数!$B$12/(I650*10000)</f>
        <v>0.0208333333333333</v>
      </c>
      <c r="M650" s="6">
        <f>I650*10000*SUM(税费参数!$B$9:$B$10)/税费参数!$B$11</f>
        <v>180</v>
      </c>
    </row>
    <row r="651" ht="21" customHeight="1" spans="1:13">
      <c r="A651" s="5" t="s">
        <v>15</v>
      </c>
      <c r="B651" s="6" t="s">
        <v>66</v>
      </c>
      <c r="C651" s="6" t="s">
        <v>152</v>
      </c>
      <c r="D651" s="6" t="s">
        <v>153</v>
      </c>
      <c r="E651" s="6" t="s">
        <v>615</v>
      </c>
      <c r="F651" s="6" t="s">
        <v>1731</v>
      </c>
      <c r="G651" s="6">
        <v>45.45</v>
      </c>
      <c r="H651" s="6">
        <v>45.45</v>
      </c>
      <c r="I651" s="6">
        <v>96</v>
      </c>
      <c r="J651" s="6">
        <v>2400</v>
      </c>
      <c r="K651" s="7">
        <f>(J651-M651)*税费参数!$B$12/(I651*10000*(1+SUM(税费参数!$B$6:$B$8)))</f>
        <v>0.0223970944309927</v>
      </c>
      <c r="L651" s="7">
        <f>J651*税费参数!$B$12/(I651*10000)</f>
        <v>0.025</v>
      </c>
      <c r="M651" s="6">
        <f>I651*10000*SUM(税费参数!$B$9:$B$10)/税费参数!$B$11</f>
        <v>180</v>
      </c>
    </row>
    <row r="652" ht="21" customHeight="1" spans="1:13">
      <c r="A652" s="5" t="s">
        <v>15</v>
      </c>
      <c r="B652" s="6" t="s">
        <v>66</v>
      </c>
      <c r="C652" s="6" t="s">
        <v>152</v>
      </c>
      <c r="D652" s="6" t="s">
        <v>153</v>
      </c>
      <c r="E652" s="6" t="s">
        <v>593</v>
      </c>
      <c r="F652" s="6" t="s">
        <v>1717</v>
      </c>
      <c r="G652" s="6">
        <v>45.79</v>
      </c>
      <c r="H652" s="6">
        <v>46.92</v>
      </c>
      <c r="I652" s="6">
        <v>98</v>
      </c>
      <c r="J652" s="6">
        <v>2300</v>
      </c>
      <c r="K652" s="7">
        <f>(J652-M652)*税费参数!$B$12/(I652*10000*(1+SUM(税费参数!$B$6:$B$8)))</f>
        <v>0.0209146612640213</v>
      </c>
      <c r="L652" s="7">
        <f>J652*税费参数!$B$12/(I652*10000)</f>
        <v>0.023469387755102</v>
      </c>
      <c r="M652" s="6">
        <f>I652*10000*SUM(税费参数!$B$9:$B$10)/税费参数!$B$11</f>
        <v>183.75</v>
      </c>
    </row>
    <row r="653" ht="21" customHeight="1" spans="1:13">
      <c r="A653" s="5" t="s">
        <v>15</v>
      </c>
      <c r="B653" s="6" t="s">
        <v>66</v>
      </c>
      <c r="C653" s="6" t="s">
        <v>152</v>
      </c>
      <c r="D653" s="6" t="s">
        <v>153</v>
      </c>
      <c r="E653" s="6" t="s">
        <v>593</v>
      </c>
      <c r="F653" s="6" t="s">
        <v>1718</v>
      </c>
      <c r="G653" s="6">
        <v>45.79</v>
      </c>
      <c r="H653" s="6">
        <v>47.47</v>
      </c>
      <c r="I653" s="6">
        <v>98</v>
      </c>
      <c r="J653" s="6">
        <v>2200</v>
      </c>
      <c r="K653" s="7">
        <f>(J653-M653)*税费参数!$B$12/(I653*10000*(1+SUM(税费参数!$B$6:$B$8)))</f>
        <v>0.0199263724860404</v>
      </c>
      <c r="L653" s="7">
        <f>J653*税费参数!$B$12/(I653*10000)</f>
        <v>0.0224489795918367</v>
      </c>
      <c r="M653" s="6">
        <f>I653*10000*SUM(税费参数!$B$9:$B$10)/税费参数!$B$11</f>
        <v>183.75</v>
      </c>
    </row>
    <row r="654" ht="21" customHeight="1" spans="1:13">
      <c r="A654" s="5" t="s">
        <v>15</v>
      </c>
      <c r="B654" s="6" t="s">
        <v>66</v>
      </c>
      <c r="C654" s="6" t="s">
        <v>152</v>
      </c>
      <c r="D654" s="6" t="s">
        <v>153</v>
      </c>
      <c r="E654" s="6" t="s">
        <v>593</v>
      </c>
      <c r="F654" s="6" t="s">
        <v>1719</v>
      </c>
      <c r="G654" s="6">
        <v>45.79</v>
      </c>
      <c r="H654" s="6">
        <v>45.45</v>
      </c>
      <c r="I654" s="6">
        <v>98</v>
      </c>
      <c r="J654" s="6">
        <v>2025</v>
      </c>
      <c r="K654" s="7">
        <f>(J654-M654)*税费参数!$B$12/(I654*10000*(1+SUM(税费参数!$B$6:$B$8)))</f>
        <v>0.0181968671245738</v>
      </c>
      <c r="L654" s="7">
        <f>J654*税费参数!$B$12/(I654*10000)</f>
        <v>0.0206632653061225</v>
      </c>
      <c r="M654" s="6">
        <f>I654*10000*SUM(税费参数!$B$9:$B$10)/税费参数!$B$11</f>
        <v>183.75</v>
      </c>
    </row>
    <row r="655" ht="21" customHeight="1" spans="1:13">
      <c r="A655" s="5" t="s">
        <v>15</v>
      </c>
      <c r="B655" s="6" t="s">
        <v>66</v>
      </c>
      <c r="C655" s="6" t="s">
        <v>152</v>
      </c>
      <c r="D655" s="6" t="s">
        <v>153</v>
      </c>
      <c r="E655" s="6" t="s">
        <v>593</v>
      </c>
      <c r="F655" s="6" t="s">
        <v>1720</v>
      </c>
      <c r="G655" s="6">
        <v>45.79</v>
      </c>
      <c r="H655" s="6">
        <v>45.33</v>
      </c>
      <c r="I655" s="6">
        <v>98</v>
      </c>
      <c r="J655" s="6">
        <v>2200</v>
      </c>
      <c r="K655" s="7">
        <f>(J655-M655)*税费参数!$B$12/(I655*10000*(1+SUM(税费参数!$B$6:$B$8)))</f>
        <v>0.0199263724860404</v>
      </c>
      <c r="L655" s="7">
        <f>J655*税费参数!$B$12/(I655*10000)</f>
        <v>0.0224489795918367</v>
      </c>
      <c r="M655" s="6">
        <f>I655*10000*SUM(税费参数!$B$9:$B$10)/税费参数!$B$11</f>
        <v>183.75</v>
      </c>
    </row>
    <row r="656" ht="21" customHeight="1" spans="1:13">
      <c r="A656" s="5" t="s">
        <v>15</v>
      </c>
      <c r="B656" s="6" t="s">
        <v>66</v>
      </c>
      <c r="C656" s="6" t="s">
        <v>152</v>
      </c>
      <c r="D656" s="6" t="s">
        <v>153</v>
      </c>
      <c r="E656" s="6" t="s">
        <v>593</v>
      </c>
      <c r="F656" s="6" t="s">
        <v>1721</v>
      </c>
      <c r="G656" s="6">
        <v>45.79</v>
      </c>
      <c r="H656" s="6">
        <v>45.47</v>
      </c>
      <c r="I656" s="6">
        <v>98</v>
      </c>
      <c r="J656" s="6">
        <v>2000</v>
      </c>
      <c r="K656" s="7">
        <f>(J656-M656)*税费参数!$B$12/(I656*10000*(1+SUM(税费参数!$B$6:$B$8)))</f>
        <v>0.0179497949300786</v>
      </c>
      <c r="L656" s="7">
        <f>J656*税费参数!$B$12/(I656*10000)</f>
        <v>0.0204081632653061</v>
      </c>
      <c r="M656" s="6">
        <f>I656*10000*SUM(税费参数!$B$9:$B$10)/税费参数!$B$11</f>
        <v>183.75</v>
      </c>
    </row>
    <row r="657" ht="21" customHeight="1" spans="1:13">
      <c r="A657" s="5" t="s">
        <v>15</v>
      </c>
      <c r="B657" s="6" t="s">
        <v>66</v>
      </c>
      <c r="C657" s="6" t="s">
        <v>152</v>
      </c>
      <c r="D657" s="6" t="s">
        <v>153</v>
      </c>
      <c r="E657" s="6" t="s">
        <v>593</v>
      </c>
      <c r="F657" s="6" t="s">
        <v>1722</v>
      </c>
      <c r="G657" s="6">
        <v>45.79</v>
      </c>
      <c r="H657" s="6">
        <v>45.47</v>
      </c>
      <c r="I657" s="6">
        <v>98</v>
      </c>
      <c r="J657" s="6">
        <v>2000</v>
      </c>
      <c r="K657" s="7">
        <f>(J657-M657)*税费参数!$B$12/(I657*10000*(1+SUM(税费参数!$B$6:$B$8)))</f>
        <v>0.0179497949300786</v>
      </c>
      <c r="L657" s="7">
        <f>J657*税费参数!$B$12/(I657*10000)</f>
        <v>0.0204081632653061</v>
      </c>
      <c r="M657" s="6">
        <f>I657*10000*SUM(税费参数!$B$9:$B$10)/税费参数!$B$11</f>
        <v>183.75</v>
      </c>
    </row>
    <row r="658" ht="21" customHeight="1" spans="1:13">
      <c r="A658" s="5" t="s">
        <v>15</v>
      </c>
      <c r="B658" s="6" t="s">
        <v>66</v>
      </c>
      <c r="C658" s="6" t="s">
        <v>152</v>
      </c>
      <c r="D658" s="6" t="s">
        <v>153</v>
      </c>
      <c r="E658" s="6" t="s">
        <v>593</v>
      </c>
      <c r="F658" s="6" t="s">
        <v>1723</v>
      </c>
      <c r="G658" s="6">
        <v>45.79</v>
      </c>
      <c r="H658" s="6">
        <v>50.1</v>
      </c>
      <c r="I658" s="6">
        <v>98</v>
      </c>
      <c r="J658" s="6">
        <v>2250</v>
      </c>
      <c r="K658" s="7">
        <f>(J658-M658)*税费参数!$B$12/(I658*10000*(1+SUM(税费参数!$B$6:$B$8)))</f>
        <v>0.0204205168750309</v>
      </c>
      <c r="L658" s="7">
        <f>J658*税费参数!$B$12/(I658*10000)</f>
        <v>0.0229591836734694</v>
      </c>
      <c r="M658" s="6">
        <f>I658*10000*SUM(税费参数!$B$9:$B$10)/税费参数!$B$11</f>
        <v>183.75</v>
      </c>
    </row>
    <row r="659" ht="21" customHeight="1" spans="1:13">
      <c r="A659" s="5" t="s">
        <v>15</v>
      </c>
      <c r="B659" s="6" t="s">
        <v>66</v>
      </c>
      <c r="C659" s="6" t="s">
        <v>152</v>
      </c>
      <c r="D659" s="6" t="s">
        <v>153</v>
      </c>
      <c r="E659" s="6" t="s">
        <v>593</v>
      </c>
      <c r="F659" s="6" t="s">
        <v>1724</v>
      </c>
      <c r="G659" s="6">
        <v>45.79</v>
      </c>
      <c r="H659" s="6">
        <v>45</v>
      </c>
      <c r="I659" s="6">
        <v>98</v>
      </c>
      <c r="J659" s="6">
        <v>2100</v>
      </c>
      <c r="K659" s="7">
        <f>(J659-M659)*税费参数!$B$12/(I659*10000*(1+SUM(税费参数!$B$6:$B$8)))</f>
        <v>0.0189380837080595</v>
      </c>
      <c r="L659" s="7">
        <f>J659*税费参数!$B$12/(I659*10000)</f>
        <v>0.0214285714285714</v>
      </c>
      <c r="M659" s="6">
        <f>I659*10000*SUM(税费参数!$B$9:$B$10)/税费参数!$B$11</f>
        <v>183.75</v>
      </c>
    </row>
    <row r="660" ht="21" customHeight="1" spans="1:13">
      <c r="A660" s="5" t="s">
        <v>15</v>
      </c>
      <c r="B660" s="6" t="s">
        <v>66</v>
      </c>
      <c r="C660" s="6" t="s">
        <v>152</v>
      </c>
      <c r="D660" s="6" t="s">
        <v>153</v>
      </c>
      <c r="E660" s="6" t="s">
        <v>593</v>
      </c>
      <c r="F660" s="6" t="s">
        <v>1725</v>
      </c>
      <c r="G660" s="6">
        <v>45.79</v>
      </c>
      <c r="H660" s="6">
        <v>45.66</v>
      </c>
      <c r="I660" s="6">
        <v>98</v>
      </c>
      <c r="J660" s="6">
        <v>1900</v>
      </c>
      <c r="K660" s="7">
        <f>(J660-M660)*税费参数!$B$12/(I660*10000*(1+SUM(税费参数!$B$6:$B$8)))</f>
        <v>0.0169615061520976</v>
      </c>
      <c r="L660" s="7">
        <f>J660*税费参数!$B$12/(I660*10000)</f>
        <v>0.0193877551020408</v>
      </c>
      <c r="M660" s="6">
        <f>I660*10000*SUM(税费参数!$B$9:$B$10)/税费参数!$B$11</f>
        <v>183.75</v>
      </c>
    </row>
    <row r="661" ht="21" customHeight="1" spans="1:13">
      <c r="A661" s="5" t="s">
        <v>15</v>
      </c>
      <c r="B661" s="6" t="s">
        <v>66</v>
      </c>
      <c r="C661" s="6" t="s">
        <v>152</v>
      </c>
      <c r="D661" s="6" t="s">
        <v>153</v>
      </c>
      <c r="E661" s="6" t="s">
        <v>593</v>
      </c>
      <c r="F661" s="6" t="s">
        <v>1726</v>
      </c>
      <c r="G661" s="6">
        <v>45.79</v>
      </c>
      <c r="H661" s="6">
        <v>46.66</v>
      </c>
      <c r="I661" s="6">
        <v>98</v>
      </c>
      <c r="J661" s="6">
        <v>2100</v>
      </c>
      <c r="K661" s="7">
        <f>(J661-M661)*税费参数!$B$12/(I661*10000*(1+SUM(税费参数!$B$6:$B$8)))</f>
        <v>0.0189380837080595</v>
      </c>
      <c r="L661" s="7">
        <f>J661*税费参数!$B$12/(I661*10000)</f>
        <v>0.0214285714285714</v>
      </c>
      <c r="M661" s="6">
        <f>I661*10000*SUM(税费参数!$B$9:$B$10)/税费参数!$B$11</f>
        <v>183.75</v>
      </c>
    </row>
    <row r="662" ht="21" customHeight="1" spans="1:13">
      <c r="A662" s="5" t="s">
        <v>15</v>
      </c>
      <c r="B662" s="6" t="s">
        <v>66</v>
      </c>
      <c r="C662" s="6" t="s">
        <v>152</v>
      </c>
      <c r="D662" s="6" t="s">
        <v>153</v>
      </c>
      <c r="E662" s="6" t="s">
        <v>593</v>
      </c>
      <c r="F662" s="6" t="s">
        <v>1727</v>
      </c>
      <c r="G662" s="6">
        <v>45.79</v>
      </c>
      <c r="H662" s="6">
        <v>45.46</v>
      </c>
      <c r="I662" s="6">
        <v>98</v>
      </c>
      <c r="J662" s="6">
        <v>1900</v>
      </c>
      <c r="K662" s="7">
        <f>(J662-M662)*税费参数!$B$12/(I662*10000*(1+SUM(税费参数!$B$6:$B$8)))</f>
        <v>0.0169615061520976</v>
      </c>
      <c r="L662" s="7">
        <f>J662*税费参数!$B$12/(I662*10000)</f>
        <v>0.0193877551020408</v>
      </c>
      <c r="M662" s="6">
        <f>I662*10000*SUM(税费参数!$B$9:$B$10)/税费参数!$B$11</f>
        <v>183.75</v>
      </c>
    </row>
    <row r="663" ht="21" customHeight="1" spans="1:13">
      <c r="A663" s="5" t="s">
        <v>15</v>
      </c>
      <c r="B663" s="6" t="s">
        <v>66</v>
      </c>
      <c r="C663" s="6" t="s">
        <v>152</v>
      </c>
      <c r="D663" s="6" t="s">
        <v>153</v>
      </c>
      <c r="E663" s="6" t="s">
        <v>593</v>
      </c>
      <c r="F663" s="6" t="s">
        <v>1728</v>
      </c>
      <c r="G663" s="6">
        <v>45.79</v>
      </c>
      <c r="H663" s="6">
        <v>45.45</v>
      </c>
      <c r="I663" s="6">
        <v>98</v>
      </c>
      <c r="J663" s="6">
        <v>2000</v>
      </c>
      <c r="K663" s="7">
        <f>(J663-M663)*税费参数!$B$12/(I663*10000*(1+SUM(税费参数!$B$6:$B$8)))</f>
        <v>0.0179497949300786</v>
      </c>
      <c r="L663" s="7">
        <f>J663*税费参数!$B$12/(I663*10000)</f>
        <v>0.0204081632653061</v>
      </c>
      <c r="M663" s="6">
        <f>I663*10000*SUM(税费参数!$B$9:$B$10)/税费参数!$B$11</f>
        <v>183.75</v>
      </c>
    </row>
    <row r="664" ht="21" customHeight="1" spans="1:13">
      <c r="A664" s="5" t="s">
        <v>15</v>
      </c>
      <c r="B664" s="6" t="s">
        <v>66</v>
      </c>
      <c r="C664" s="6" t="s">
        <v>152</v>
      </c>
      <c r="D664" s="6" t="s">
        <v>153</v>
      </c>
      <c r="E664" s="6" t="s">
        <v>593</v>
      </c>
      <c r="F664" s="6" t="s">
        <v>1729</v>
      </c>
      <c r="G664" s="6">
        <v>45.79</v>
      </c>
      <c r="H664" s="6">
        <v>45.26</v>
      </c>
      <c r="I664" s="6">
        <v>98</v>
      </c>
      <c r="J664" s="6">
        <v>2001</v>
      </c>
      <c r="K664" s="7">
        <f>(J664-M664)*税费参数!$B$12/(I664*10000*(1+SUM(税费参数!$B$6:$B$8)))</f>
        <v>0.0179596778178584</v>
      </c>
      <c r="L664" s="7">
        <f>J664*税费参数!$B$12/(I664*10000)</f>
        <v>0.0204183673469388</v>
      </c>
      <c r="M664" s="6">
        <f>I664*10000*SUM(税费参数!$B$9:$B$10)/税费参数!$B$11</f>
        <v>183.75</v>
      </c>
    </row>
    <row r="665" ht="21" customHeight="1" spans="1:13">
      <c r="A665" s="5" t="s">
        <v>15</v>
      </c>
      <c r="B665" s="6" t="s">
        <v>66</v>
      </c>
      <c r="C665" s="6" t="s">
        <v>152</v>
      </c>
      <c r="D665" s="6" t="s">
        <v>153</v>
      </c>
      <c r="E665" s="6" t="s">
        <v>593</v>
      </c>
      <c r="F665" s="6" t="s">
        <v>1730</v>
      </c>
      <c r="G665" s="6">
        <v>45.79</v>
      </c>
      <c r="H665" s="6">
        <v>45.34</v>
      </c>
      <c r="I665" s="6">
        <v>98</v>
      </c>
      <c r="J665" s="6">
        <v>2000</v>
      </c>
      <c r="K665" s="7">
        <f>(J665-M665)*税费参数!$B$12/(I665*10000*(1+SUM(税费参数!$B$6:$B$8)))</f>
        <v>0.0179497949300786</v>
      </c>
      <c r="L665" s="7">
        <f>J665*税费参数!$B$12/(I665*10000)</f>
        <v>0.0204081632653061</v>
      </c>
      <c r="M665" s="6">
        <f>I665*10000*SUM(税费参数!$B$9:$B$10)/税费参数!$B$11</f>
        <v>183.75</v>
      </c>
    </row>
    <row r="666" ht="21" customHeight="1" spans="1:13">
      <c r="A666" s="5" t="s">
        <v>15</v>
      </c>
      <c r="B666" s="6" t="s">
        <v>66</v>
      </c>
      <c r="C666" s="6" t="s">
        <v>152</v>
      </c>
      <c r="D666" s="6" t="s">
        <v>153</v>
      </c>
      <c r="E666" s="6" t="s">
        <v>593</v>
      </c>
      <c r="F666" s="6" t="s">
        <v>1731</v>
      </c>
      <c r="G666" s="6">
        <v>45.79</v>
      </c>
      <c r="H666" s="6">
        <v>45.45</v>
      </c>
      <c r="I666" s="6">
        <v>98</v>
      </c>
      <c r="J666" s="6">
        <v>2400</v>
      </c>
      <c r="K666" s="7">
        <f>(J666-M666)*税费参数!$B$12/(I666*10000*(1+SUM(税费参数!$B$6:$B$8)))</f>
        <v>0.0219029500420023</v>
      </c>
      <c r="L666" s="7">
        <f>J666*税费参数!$B$12/(I666*10000)</f>
        <v>0.0244897959183673</v>
      </c>
      <c r="M666" s="6">
        <f>I666*10000*SUM(税费参数!$B$9:$B$10)/税费参数!$B$11</f>
        <v>183.75</v>
      </c>
    </row>
    <row r="667" ht="21" customHeight="1" spans="1:13">
      <c r="A667" s="5" t="s">
        <v>15</v>
      </c>
      <c r="B667" s="6" t="s">
        <v>66</v>
      </c>
      <c r="C667" s="6" t="s">
        <v>152</v>
      </c>
      <c r="D667" s="6" t="s">
        <v>153</v>
      </c>
      <c r="E667" s="6" t="s">
        <v>605</v>
      </c>
      <c r="F667" s="6" t="s">
        <v>1717</v>
      </c>
      <c r="G667" s="6">
        <v>45.46</v>
      </c>
      <c r="H667" s="6">
        <v>46.92</v>
      </c>
      <c r="I667" s="6">
        <v>102</v>
      </c>
      <c r="J667" s="6">
        <v>2300</v>
      </c>
      <c r="K667" s="7">
        <f>(J667-M667)*税费参数!$B$12/(I667*10000*(1+SUM(税费参数!$B$6:$B$8)))</f>
        <v>0.0200232635427052</v>
      </c>
      <c r="L667" s="7">
        <f>J667*税费参数!$B$12/(I667*10000)</f>
        <v>0.0225490196078431</v>
      </c>
      <c r="M667" s="6">
        <f>I667*10000*SUM(税费参数!$B$9:$B$10)/税费参数!$B$11</f>
        <v>191.25</v>
      </c>
    </row>
    <row r="668" ht="21" customHeight="1" spans="1:13">
      <c r="A668" s="5" t="s">
        <v>15</v>
      </c>
      <c r="B668" s="6" t="s">
        <v>66</v>
      </c>
      <c r="C668" s="6" t="s">
        <v>152</v>
      </c>
      <c r="D668" s="6" t="s">
        <v>153</v>
      </c>
      <c r="E668" s="6" t="s">
        <v>605</v>
      </c>
      <c r="F668" s="6" t="s">
        <v>1718</v>
      </c>
      <c r="G668" s="6">
        <v>45.46</v>
      </c>
      <c r="H668" s="6">
        <v>47.47</v>
      </c>
      <c r="I668" s="6">
        <v>102</v>
      </c>
      <c r="J668" s="6">
        <v>2200</v>
      </c>
      <c r="K668" s="7">
        <f>(J668-M668)*税费参数!$B$12/(I668*10000*(1+SUM(税费参数!$B$6:$B$8)))</f>
        <v>0.0190737311873902</v>
      </c>
      <c r="L668" s="7">
        <f>J668*税费参数!$B$12/(I668*10000)</f>
        <v>0.0215686274509804</v>
      </c>
      <c r="M668" s="6">
        <f>I668*10000*SUM(税费参数!$B$9:$B$10)/税费参数!$B$11</f>
        <v>191.25</v>
      </c>
    </row>
    <row r="669" ht="21" customHeight="1" spans="1:13">
      <c r="A669" s="5" t="s">
        <v>15</v>
      </c>
      <c r="B669" s="6" t="s">
        <v>66</v>
      </c>
      <c r="C669" s="6" t="s">
        <v>152</v>
      </c>
      <c r="D669" s="6" t="s">
        <v>153</v>
      </c>
      <c r="E669" s="6" t="s">
        <v>605</v>
      </c>
      <c r="F669" s="6" t="s">
        <v>1719</v>
      </c>
      <c r="G669" s="6">
        <v>45.46</v>
      </c>
      <c r="H669" s="6">
        <v>45.45</v>
      </c>
      <c r="I669" s="6">
        <v>102</v>
      </c>
      <c r="J669" s="6">
        <v>2025</v>
      </c>
      <c r="K669" s="7">
        <f>(J669-M669)*税费参数!$B$12/(I669*10000*(1+SUM(税费参数!$B$6:$B$8)))</f>
        <v>0.0174120495655889</v>
      </c>
      <c r="L669" s="7">
        <f>J669*税费参数!$B$12/(I669*10000)</f>
        <v>0.0198529411764706</v>
      </c>
      <c r="M669" s="6">
        <f>I669*10000*SUM(税费参数!$B$9:$B$10)/税费参数!$B$11</f>
        <v>191.25</v>
      </c>
    </row>
    <row r="670" ht="21" customHeight="1" spans="1:13">
      <c r="A670" s="5" t="s">
        <v>15</v>
      </c>
      <c r="B670" s="6" t="s">
        <v>66</v>
      </c>
      <c r="C670" s="6" t="s">
        <v>152</v>
      </c>
      <c r="D670" s="6" t="s">
        <v>153</v>
      </c>
      <c r="E670" s="6" t="s">
        <v>605</v>
      </c>
      <c r="F670" s="6" t="s">
        <v>1720</v>
      </c>
      <c r="G670" s="6">
        <v>45.46</v>
      </c>
      <c r="H670" s="6">
        <v>45.33</v>
      </c>
      <c r="I670" s="6">
        <v>102</v>
      </c>
      <c r="J670" s="6">
        <v>2200</v>
      </c>
      <c r="K670" s="7">
        <f>(J670-M670)*税费参数!$B$12/(I670*10000*(1+SUM(税费参数!$B$6:$B$8)))</f>
        <v>0.0190737311873902</v>
      </c>
      <c r="L670" s="7">
        <f>J670*税费参数!$B$12/(I670*10000)</f>
        <v>0.0215686274509804</v>
      </c>
      <c r="M670" s="6">
        <f>I670*10000*SUM(税费参数!$B$9:$B$10)/税费参数!$B$11</f>
        <v>191.25</v>
      </c>
    </row>
    <row r="671" ht="21" customHeight="1" spans="1:13">
      <c r="A671" s="5" t="s">
        <v>15</v>
      </c>
      <c r="B671" s="6" t="s">
        <v>66</v>
      </c>
      <c r="C671" s="6" t="s">
        <v>152</v>
      </c>
      <c r="D671" s="6" t="s">
        <v>153</v>
      </c>
      <c r="E671" s="6" t="s">
        <v>605</v>
      </c>
      <c r="F671" s="6" t="s">
        <v>1721</v>
      </c>
      <c r="G671" s="6">
        <v>45.46</v>
      </c>
      <c r="H671" s="6">
        <v>45.47</v>
      </c>
      <c r="I671" s="6">
        <v>102</v>
      </c>
      <c r="J671" s="6">
        <v>2000</v>
      </c>
      <c r="K671" s="7">
        <f>(J671-M671)*税费参数!$B$12/(I671*10000*(1+SUM(税费参数!$B$6:$B$8)))</f>
        <v>0.0171746664767602</v>
      </c>
      <c r="L671" s="7">
        <f>J671*税费参数!$B$12/(I671*10000)</f>
        <v>0.0196078431372549</v>
      </c>
      <c r="M671" s="6">
        <f>I671*10000*SUM(税费参数!$B$9:$B$10)/税费参数!$B$11</f>
        <v>191.25</v>
      </c>
    </row>
    <row r="672" ht="21" customHeight="1" spans="1:13">
      <c r="A672" s="5" t="s">
        <v>15</v>
      </c>
      <c r="B672" s="6" t="s">
        <v>66</v>
      </c>
      <c r="C672" s="6" t="s">
        <v>152</v>
      </c>
      <c r="D672" s="6" t="s">
        <v>153</v>
      </c>
      <c r="E672" s="6" t="s">
        <v>605</v>
      </c>
      <c r="F672" s="6" t="s">
        <v>1722</v>
      </c>
      <c r="G672" s="6">
        <v>45.46</v>
      </c>
      <c r="H672" s="6">
        <v>45.47</v>
      </c>
      <c r="I672" s="6">
        <v>102</v>
      </c>
      <c r="J672" s="6">
        <v>2000</v>
      </c>
      <c r="K672" s="7">
        <f>(J672-M672)*税费参数!$B$12/(I672*10000*(1+SUM(税费参数!$B$6:$B$8)))</f>
        <v>0.0171746664767602</v>
      </c>
      <c r="L672" s="7">
        <f>J672*税费参数!$B$12/(I672*10000)</f>
        <v>0.0196078431372549</v>
      </c>
      <c r="M672" s="6">
        <f>I672*10000*SUM(税费参数!$B$9:$B$10)/税费参数!$B$11</f>
        <v>191.25</v>
      </c>
    </row>
    <row r="673" ht="21" customHeight="1" spans="1:13">
      <c r="A673" s="5" t="s">
        <v>15</v>
      </c>
      <c r="B673" s="6" t="s">
        <v>66</v>
      </c>
      <c r="C673" s="6" t="s">
        <v>152</v>
      </c>
      <c r="D673" s="6" t="s">
        <v>153</v>
      </c>
      <c r="E673" s="6" t="s">
        <v>605</v>
      </c>
      <c r="F673" s="6" t="s">
        <v>1723</v>
      </c>
      <c r="G673" s="6">
        <v>45.46</v>
      </c>
      <c r="H673" s="6">
        <v>50.1</v>
      </c>
      <c r="I673" s="6">
        <v>102</v>
      </c>
      <c r="J673" s="6">
        <v>2250</v>
      </c>
      <c r="K673" s="7">
        <f>(J673-M673)*税费参数!$B$12/(I673*10000*(1+SUM(税费参数!$B$6:$B$8)))</f>
        <v>0.0195484973650477</v>
      </c>
      <c r="L673" s="7">
        <f>J673*税费参数!$B$12/(I673*10000)</f>
        <v>0.0220588235294118</v>
      </c>
      <c r="M673" s="6">
        <f>I673*10000*SUM(税费参数!$B$9:$B$10)/税费参数!$B$11</f>
        <v>191.25</v>
      </c>
    </row>
    <row r="674" ht="21" customHeight="1" spans="1:13">
      <c r="A674" s="5" t="s">
        <v>15</v>
      </c>
      <c r="B674" s="6" t="s">
        <v>66</v>
      </c>
      <c r="C674" s="6" t="s">
        <v>152</v>
      </c>
      <c r="D674" s="6" t="s">
        <v>153</v>
      </c>
      <c r="E674" s="6" t="s">
        <v>605</v>
      </c>
      <c r="F674" s="6" t="s">
        <v>1724</v>
      </c>
      <c r="G674" s="6">
        <v>45.46</v>
      </c>
      <c r="H674" s="6">
        <v>45</v>
      </c>
      <c r="I674" s="6">
        <v>102</v>
      </c>
      <c r="J674" s="6">
        <v>2100</v>
      </c>
      <c r="K674" s="7">
        <f>(J674-M674)*税费参数!$B$12/(I674*10000*(1+SUM(税费参数!$B$6:$B$8)))</f>
        <v>0.0181241988320752</v>
      </c>
      <c r="L674" s="7">
        <f>J674*税费参数!$B$12/(I674*10000)</f>
        <v>0.0205882352941176</v>
      </c>
      <c r="M674" s="6">
        <f>I674*10000*SUM(税费参数!$B$9:$B$10)/税费参数!$B$11</f>
        <v>191.25</v>
      </c>
    </row>
    <row r="675" ht="21" customHeight="1" spans="1:13">
      <c r="A675" s="5" t="s">
        <v>15</v>
      </c>
      <c r="B675" s="6" t="s">
        <v>66</v>
      </c>
      <c r="C675" s="6" t="s">
        <v>152</v>
      </c>
      <c r="D675" s="6" t="s">
        <v>153</v>
      </c>
      <c r="E675" s="6" t="s">
        <v>605</v>
      </c>
      <c r="F675" s="6" t="s">
        <v>1725</v>
      </c>
      <c r="G675" s="6">
        <v>45.46</v>
      </c>
      <c r="H675" s="6">
        <v>45.66</v>
      </c>
      <c r="I675" s="6">
        <v>102</v>
      </c>
      <c r="J675" s="6">
        <v>1900</v>
      </c>
      <c r="K675" s="7">
        <f>(J675-M675)*税费参数!$B$12/(I675*10000*(1+SUM(税费参数!$B$6:$B$8)))</f>
        <v>0.0162251341214452</v>
      </c>
      <c r="L675" s="7">
        <f>J675*税费参数!$B$12/(I675*10000)</f>
        <v>0.0186274509803922</v>
      </c>
      <c r="M675" s="6">
        <f>I675*10000*SUM(税费参数!$B$9:$B$10)/税费参数!$B$11</f>
        <v>191.25</v>
      </c>
    </row>
    <row r="676" ht="21" customHeight="1" spans="1:13">
      <c r="A676" s="5" t="s">
        <v>15</v>
      </c>
      <c r="B676" s="6" t="s">
        <v>66</v>
      </c>
      <c r="C676" s="6" t="s">
        <v>152</v>
      </c>
      <c r="D676" s="6" t="s">
        <v>153</v>
      </c>
      <c r="E676" s="6" t="s">
        <v>605</v>
      </c>
      <c r="F676" s="6" t="s">
        <v>1726</v>
      </c>
      <c r="G676" s="6">
        <v>45.46</v>
      </c>
      <c r="H676" s="6">
        <v>46.66</v>
      </c>
      <c r="I676" s="6">
        <v>102</v>
      </c>
      <c r="J676" s="6">
        <v>2100</v>
      </c>
      <c r="K676" s="7">
        <f>(J676-M676)*税费参数!$B$12/(I676*10000*(1+SUM(税费参数!$B$6:$B$8)))</f>
        <v>0.0181241988320752</v>
      </c>
      <c r="L676" s="7">
        <f>J676*税费参数!$B$12/(I676*10000)</f>
        <v>0.0205882352941176</v>
      </c>
      <c r="M676" s="6">
        <f>I676*10000*SUM(税费参数!$B$9:$B$10)/税费参数!$B$11</f>
        <v>191.25</v>
      </c>
    </row>
    <row r="677" ht="21" customHeight="1" spans="1:13">
      <c r="A677" s="5" t="s">
        <v>15</v>
      </c>
      <c r="B677" s="6" t="s">
        <v>66</v>
      </c>
      <c r="C677" s="6" t="s">
        <v>152</v>
      </c>
      <c r="D677" s="6" t="s">
        <v>153</v>
      </c>
      <c r="E677" s="6" t="s">
        <v>605</v>
      </c>
      <c r="F677" s="6" t="s">
        <v>1727</v>
      </c>
      <c r="G677" s="6">
        <v>45.46</v>
      </c>
      <c r="H677" s="6">
        <v>45.46</v>
      </c>
      <c r="I677" s="6">
        <v>102</v>
      </c>
      <c r="J677" s="6">
        <v>1900</v>
      </c>
      <c r="K677" s="7">
        <f>(J677-M677)*税费参数!$B$12/(I677*10000*(1+SUM(税费参数!$B$6:$B$8)))</f>
        <v>0.0162251341214452</v>
      </c>
      <c r="L677" s="7">
        <f>J677*税费参数!$B$12/(I677*10000)</f>
        <v>0.0186274509803922</v>
      </c>
      <c r="M677" s="6">
        <f>I677*10000*SUM(税费参数!$B$9:$B$10)/税费参数!$B$11</f>
        <v>191.25</v>
      </c>
    </row>
    <row r="678" ht="21" customHeight="1" spans="1:13">
      <c r="A678" s="5" t="s">
        <v>15</v>
      </c>
      <c r="B678" s="6" t="s">
        <v>66</v>
      </c>
      <c r="C678" s="6" t="s">
        <v>152</v>
      </c>
      <c r="D678" s="6" t="s">
        <v>153</v>
      </c>
      <c r="E678" s="6" t="s">
        <v>605</v>
      </c>
      <c r="F678" s="6" t="s">
        <v>1728</v>
      </c>
      <c r="G678" s="6">
        <v>45.46</v>
      </c>
      <c r="H678" s="6">
        <v>45.45</v>
      </c>
      <c r="I678" s="6">
        <v>102</v>
      </c>
      <c r="J678" s="6">
        <v>2000</v>
      </c>
      <c r="K678" s="7">
        <f>(J678-M678)*税费参数!$B$12/(I678*10000*(1+SUM(税费参数!$B$6:$B$8)))</f>
        <v>0.0171746664767602</v>
      </c>
      <c r="L678" s="7">
        <f>J678*税费参数!$B$12/(I678*10000)</f>
        <v>0.0196078431372549</v>
      </c>
      <c r="M678" s="6">
        <f>I678*10000*SUM(税费参数!$B$9:$B$10)/税费参数!$B$11</f>
        <v>191.25</v>
      </c>
    </row>
    <row r="679" ht="21" customHeight="1" spans="1:13">
      <c r="A679" s="5" t="s">
        <v>15</v>
      </c>
      <c r="B679" s="6" t="s">
        <v>66</v>
      </c>
      <c r="C679" s="6" t="s">
        <v>152</v>
      </c>
      <c r="D679" s="6" t="s">
        <v>153</v>
      </c>
      <c r="E679" s="6" t="s">
        <v>605</v>
      </c>
      <c r="F679" s="6" t="s">
        <v>1729</v>
      </c>
      <c r="G679" s="6">
        <v>45.46</v>
      </c>
      <c r="H679" s="6">
        <v>45.26</v>
      </c>
      <c r="I679" s="6">
        <v>102</v>
      </c>
      <c r="J679" s="6">
        <v>2001</v>
      </c>
      <c r="K679" s="7">
        <f>(J679-M679)*税费参数!$B$12/(I679*10000*(1+SUM(税费参数!$B$6:$B$8)))</f>
        <v>0.0171841618003133</v>
      </c>
      <c r="L679" s="7">
        <f>J679*税费参数!$B$12/(I679*10000)</f>
        <v>0.0196176470588235</v>
      </c>
      <c r="M679" s="6">
        <f>I679*10000*SUM(税费参数!$B$9:$B$10)/税费参数!$B$11</f>
        <v>191.25</v>
      </c>
    </row>
    <row r="680" ht="21" customHeight="1" spans="1:13">
      <c r="A680" s="5" t="s">
        <v>15</v>
      </c>
      <c r="B680" s="6" t="s">
        <v>66</v>
      </c>
      <c r="C680" s="6" t="s">
        <v>152</v>
      </c>
      <c r="D680" s="6" t="s">
        <v>153</v>
      </c>
      <c r="E680" s="6" t="s">
        <v>605</v>
      </c>
      <c r="F680" s="6" t="s">
        <v>1730</v>
      </c>
      <c r="G680" s="6">
        <v>45.46</v>
      </c>
      <c r="H680" s="6">
        <v>45.34</v>
      </c>
      <c r="I680" s="6">
        <v>102</v>
      </c>
      <c r="J680" s="6">
        <v>2000</v>
      </c>
      <c r="K680" s="7">
        <f>(J680-M680)*税费参数!$B$12/(I680*10000*(1+SUM(税费参数!$B$6:$B$8)))</f>
        <v>0.0171746664767602</v>
      </c>
      <c r="L680" s="7">
        <f>J680*税费参数!$B$12/(I680*10000)</f>
        <v>0.0196078431372549</v>
      </c>
      <c r="M680" s="6">
        <f>I680*10000*SUM(税费参数!$B$9:$B$10)/税费参数!$B$11</f>
        <v>191.25</v>
      </c>
    </row>
    <row r="681" ht="21" customHeight="1" spans="1:13">
      <c r="A681" s="5" t="s">
        <v>15</v>
      </c>
      <c r="B681" s="6" t="s">
        <v>66</v>
      </c>
      <c r="C681" s="6" t="s">
        <v>152</v>
      </c>
      <c r="D681" s="6" t="s">
        <v>153</v>
      </c>
      <c r="E681" s="6" t="s">
        <v>605</v>
      </c>
      <c r="F681" s="6" t="s">
        <v>1731</v>
      </c>
      <c r="G681" s="6">
        <v>45.46</v>
      </c>
      <c r="H681" s="6">
        <v>45.45</v>
      </c>
      <c r="I681" s="6">
        <v>102</v>
      </c>
      <c r="J681" s="6">
        <v>2400</v>
      </c>
      <c r="K681" s="7">
        <f>(J681-M681)*税费参数!$B$12/(I681*10000*(1+SUM(税费参数!$B$6:$B$8)))</f>
        <v>0.0209727958980202</v>
      </c>
      <c r="L681" s="7">
        <f>J681*税费参数!$B$12/(I681*10000)</f>
        <v>0.0235294117647059</v>
      </c>
      <c r="M681" s="6">
        <f>I681*10000*SUM(税费参数!$B$9:$B$10)/税费参数!$B$11</f>
        <v>191.25</v>
      </c>
    </row>
    <row r="682" ht="21" customHeight="1" spans="1:13">
      <c r="A682" s="5" t="s">
        <v>15</v>
      </c>
      <c r="B682" s="6" t="s">
        <v>66</v>
      </c>
      <c r="C682" s="6" t="s">
        <v>152</v>
      </c>
      <c r="D682" s="6" t="s">
        <v>153</v>
      </c>
      <c r="E682" s="6" t="s">
        <v>619</v>
      </c>
      <c r="F682" s="6" t="s">
        <v>1717</v>
      </c>
      <c r="G682" s="6">
        <v>46.28</v>
      </c>
      <c r="H682" s="6">
        <v>46.92</v>
      </c>
      <c r="I682" s="6">
        <v>98</v>
      </c>
      <c r="J682" s="6">
        <v>2300</v>
      </c>
      <c r="K682" s="7">
        <f>(J682-M682)*税费参数!$B$12/(I682*10000*(1+SUM(税费参数!$B$6:$B$8)))</f>
        <v>0.0209146612640213</v>
      </c>
      <c r="L682" s="7">
        <f>J682*税费参数!$B$12/(I682*10000)</f>
        <v>0.023469387755102</v>
      </c>
      <c r="M682" s="6">
        <f>I682*10000*SUM(税费参数!$B$9:$B$10)/税费参数!$B$11</f>
        <v>183.75</v>
      </c>
    </row>
    <row r="683" ht="21" customHeight="1" spans="1:13">
      <c r="A683" s="5" t="s">
        <v>15</v>
      </c>
      <c r="B683" s="6" t="s">
        <v>66</v>
      </c>
      <c r="C683" s="6" t="s">
        <v>152</v>
      </c>
      <c r="D683" s="6" t="s">
        <v>153</v>
      </c>
      <c r="E683" s="6" t="s">
        <v>619</v>
      </c>
      <c r="F683" s="6" t="s">
        <v>1718</v>
      </c>
      <c r="G683" s="6">
        <v>46.28</v>
      </c>
      <c r="H683" s="6">
        <v>47.47</v>
      </c>
      <c r="I683" s="6">
        <v>98</v>
      </c>
      <c r="J683" s="6">
        <v>2200</v>
      </c>
      <c r="K683" s="7">
        <f>(J683-M683)*税费参数!$B$12/(I683*10000*(1+SUM(税费参数!$B$6:$B$8)))</f>
        <v>0.0199263724860404</v>
      </c>
      <c r="L683" s="7">
        <f>J683*税费参数!$B$12/(I683*10000)</f>
        <v>0.0224489795918367</v>
      </c>
      <c r="M683" s="6">
        <f>I683*10000*SUM(税费参数!$B$9:$B$10)/税费参数!$B$11</f>
        <v>183.75</v>
      </c>
    </row>
    <row r="684" ht="21" customHeight="1" spans="1:13">
      <c r="A684" s="5" t="s">
        <v>15</v>
      </c>
      <c r="B684" s="6" t="s">
        <v>66</v>
      </c>
      <c r="C684" s="6" t="s">
        <v>152</v>
      </c>
      <c r="D684" s="6" t="s">
        <v>153</v>
      </c>
      <c r="E684" s="6" t="s">
        <v>619</v>
      </c>
      <c r="F684" s="6" t="s">
        <v>1719</v>
      </c>
      <c r="G684" s="6">
        <v>46.28</v>
      </c>
      <c r="H684" s="6">
        <v>45.45</v>
      </c>
      <c r="I684" s="6">
        <v>98</v>
      </c>
      <c r="J684" s="6">
        <v>2025</v>
      </c>
      <c r="K684" s="7">
        <f>(J684-M684)*税费参数!$B$12/(I684*10000*(1+SUM(税费参数!$B$6:$B$8)))</f>
        <v>0.0181968671245738</v>
      </c>
      <c r="L684" s="7">
        <f>J684*税费参数!$B$12/(I684*10000)</f>
        <v>0.0206632653061225</v>
      </c>
      <c r="M684" s="6">
        <f>I684*10000*SUM(税费参数!$B$9:$B$10)/税费参数!$B$11</f>
        <v>183.75</v>
      </c>
    </row>
    <row r="685" ht="21" customHeight="1" spans="1:13">
      <c r="A685" s="5" t="s">
        <v>15</v>
      </c>
      <c r="B685" s="6" t="s">
        <v>66</v>
      </c>
      <c r="C685" s="6" t="s">
        <v>152</v>
      </c>
      <c r="D685" s="6" t="s">
        <v>153</v>
      </c>
      <c r="E685" s="6" t="s">
        <v>619</v>
      </c>
      <c r="F685" s="6" t="s">
        <v>1720</v>
      </c>
      <c r="G685" s="6">
        <v>46.28</v>
      </c>
      <c r="H685" s="6">
        <v>45.33</v>
      </c>
      <c r="I685" s="6">
        <v>98</v>
      </c>
      <c r="J685" s="6">
        <v>2200</v>
      </c>
      <c r="K685" s="7">
        <f>(J685-M685)*税费参数!$B$12/(I685*10000*(1+SUM(税费参数!$B$6:$B$8)))</f>
        <v>0.0199263724860404</v>
      </c>
      <c r="L685" s="7">
        <f>J685*税费参数!$B$12/(I685*10000)</f>
        <v>0.0224489795918367</v>
      </c>
      <c r="M685" s="6">
        <f>I685*10000*SUM(税费参数!$B$9:$B$10)/税费参数!$B$11</f>
        <v>183.75</v>
      </c>
    </row>
    <row r="686" ht="21" customHeight="1" spans="1:13">
      <c r="A686" s="5" t="s">
        <v>15</v>
      </c>
      <c r="B686" s="6" t="s">
        <v>66</v>
      </c>
      <c r="C686" s="6" t="s">
        <v>152</v>
      </c>
      <c r="D686" s="6" t="s">
        <v>153</v>
      </c>
      <c r="E686" s="6" t="s">
        <v>619</v>
      </c>
      <c r="F686" s="6" t="s">
        <v>1721</v>
      </c>
      <c r="G686" s="6">
        <v>46.28</v>
      </c>
      <c r="H686" s="6">
        <v>45.47</v>
      </c>
      <c r="I686" s="6">
        <v>98</v>
      </c>
      <c r="J686" s="6">
        <v>2000</v>
      </c>
      <c r="K686" s="7">
        <f>(J686-M686)*税费参数!$B$12/(I686*10000*(1+SUM(税费参数!$B$6:$B$8)))</f>
        <v>0.0179497949300786</v>
      </c>
      <c r="L686" s="7">
        <f>J686*税费参数!$B$12/(I686*10000)</f>
        <v>0.0204081632653061</v>
      </c>
      <c r="M686" s="6">
        <f>I686*10000*SUM(税费参数!$B$9:$B$10)/税费参数!$B$11</f>
        <v>183.75</v>
      </c>
    </row>
    <row r="687" ht="21" customHeight="1" spans="1:13">
      <c r="A687" s="5" t="s">
        <v>15</v>
      </c>
      <c r="B687" s="6" t="s">
        <v>66</v>
      </c>
      <c r="C687" s="6" t="s">
        <v>152</v>
      </c>
      <c r="D687" s="6" t="s">
        <v>153</v>
      </c>
      <c r="E687" s="6" t="s">
        <v>619</v>
      </c>
      <c r="F687" s="6" t="s">
        <v>1722</v>
      </c>
      <c r="G687" s="6">
        <v>46.28</v>
      </c>
      <c r="H687" s="6">
        <v>45.47</v>
      </c>
      <c r="I687" s="6">
        <v>98</v>
      </c>
      <c r="J687" s="6">
        <v>2000</v>
      </c>
      <c r="K687" s="7">
        <f>(J687-M687)*税费参数!$B$12/(I687*10000*(1+SUM(税费参数!$B$6:$B$8)))</f>
        <v>0.0179497949300786</v>
      </c>
      <c r="L687" s="7">
        <f>J687*税费参数!$B$12/(I687*10000)</f>
        <v>0.0204081632653061</v>
      </c>
      <c r="M687" s="6">
        <f>I687*10000*SUM(税费参数!$B$9:$B$10)/税费参数!$B$11</f>
        <v>183.75</v>
      </c>
    </row>
    <row r="688" ht="21" customHeight="1" spans="1:13">
      <c r="A688" s="5" t="s">
        <v>15</v>
      </c>
      <c r="B688" s="6" t="s">
        <v>66</v>
      </c>
      <c r="C688" s="6" t="s">
        <v>152</v>
      </c>
      <c r="D688" s="6" t="s">
        <v>153</v>
      </c>
      <c r="E688" s="6" t="s">
        <v>619</v>
      </c>
      <c r="F688" s="6" t="s">
        <v>1723</v>
      </c>
      <c r="G688" s="6">
        <v>46.28</v>
      </c>
      <c r="H688" s="6">
        <v>50.1</v>
      </c>
      <c r="I688" s="6">
        <v>98</v>
      </c>
      <c r="J688" s="6">
        <v>2250</v>
      </c>
      <c r="K688" s="7">
        <f>(J688-M688)*税费参数!$B$12/(I688*10000*(1+SUM(税费参数!$B$6:$B$8)))</f>
        <v>0.0204205168750309</v>
      </c>
      <c r="L688" s="7">
        <f>J688*税费参数!$B$12/(I688*10000)</f>
        <v>0.0229591836734694</v>
      </c>
      <c r="M688" s="6">
        <f>I688*10000*SUM(税费参数!$B$9:$B$10)/税费参数!$B$11</f>
        <v>183.75</v>
      </c>
    </row>
    <row r="689" ht="21" customHeight="1" spans="1:13">
      <c r="A689" s="5" t="s">
        <v>15</v>
      </c>
      <c r="B689" s="6" t="s">
        <v>66</v>
      </c>
      <c r="C689" s="6" t="s">
        <v>152</v>
      </c>
      <c r="D689" s="6" t="s">
        <v>153</v>
      </c>
      <c r="E689" s="6" t="s">
        <v>619</v>
      </c>
      <c r="F689" s="6" t="s">
        <v>1724</v>
      </c>
      <c r="G689" s="6">
        <v>46.28</v>
      </c>
      <c r="H689" s="6">
        <v>45</v>
      </c>
      <c r="I689" s="6">
        <v>98</v>
      </c>
      <c r="J689" s="6">
        <v>2100</v>
      </c>
      <c r="K689" s="7">
        <f>(J689-M689)*税费参数!$B$12/(I689*10000*(1+SUM(税费参数!$B$6:$B$8)))</f>
        <v>0.0189380837080595</v>
      </c>
      <c r="L689" s="7">
        <f>J689*税费参数!$B$12/(I689*10000)</f>
        <v>0.0214285714285714</v>
      </c>
      <c r="M689" s="6">
        <f>I689*10000*SUM(税费参数!$B$9:$B$10)/税费参数!$B$11</f>
        <v>183.75</v>
      </c>
    </row>
    <row r="690" ht="21" customHeight="1" spans="1:13">
      <c r="A690" s="5" t="s">
        <v>15</v>
      </c>
      <c r="B690" s="6" t="s">
        <v>66</v>
      </c>
      <c r="C690" s="6" t="s">
        <v>152</v>
      </c>
      <c r="D690" s="6" t="s">
        <v>153</v>
      </c>
      <c r="E690" s="6" t="s">
        <v>619</v>
      </c>
      <c r="F690" s="6" t="s">
        <v>1725</v>
      </c>
      <c r="G690" s="6">
        <v>46.28</v>
      </c>
      <c r="H690" s="6">
        <v>45.66</v>
      </c>
      <c r="I690" s="6">
        <v>98</v>
      </c>
      <c r="J690" s="6">
        <v>1900</v>
      </c>
      <c r="K690" s="7">
        <f>(J690-M690)*税费参数!$B$12/(I690*10000*(1+SUM(税费参数!$B$6:$B$8)))</f>
        <v>0.0169615061520976</v>
      </c>
      <c r="L690" s="7">
        <f>J690*税费参数!$B$12/(I690*10000)</f>
        <v>0.0193877551020408</v>
      </c>
      <c r="M690" s="6">
        <f>I690*10000*SUM(税费参数!$B$9:$B$10)/税费参数!$B$11</f>
        <v>183.75</v>
      </c>
    </row>
    <row r="691" ht="21" customHeight="1" spans="1:13">
      <c r="A691" s="5" t="s">
        <v>15</v>
      </c>
      <c r="B691" s="6" t="s">
        <v>66</v>
      </c>
      <c r="C691" s="6" t="s">
        <v>152</v>
      </c>
      <c r="D691" s="6" t="s">
        <v>153</v>
      </c>
      <c r="E691" s="6" t="s">
        <v>619</v>
      </c>
      <c r="F691" s="6" t="s">
        <v>1726</v>
      </c>
      <c r="G691" s="6">
        <v>46.28</v>
      </c>
      <c r="H691" s="6">
        <v>46.66</v>
      </c>
      <c r="I691" s="6">
        <v>98</v>
      </c>
      <c r="J691" s="6">
        <v>2100</v>
      </c>
      <c r="K691" s="7">
        <f>(J691-M691)*税费参数!$B$12/(I691*10000*(1+SUM(税费参数!$B$6:$B$8)))</f>
        <v>0.0189380837080595</v>
      </c>
      <c r="L691" s="7">
        <f>J691*税费参数!$B$12/(I691*10000)</f>
        <v>0.0214285714285714</v>
      </c>
      <c r="M691" s="6">
        <f>I691*10000*SUM(税费参数!$B$9:$B$10)/税费参数!$B$11</f>
        <v>183.75</v>
      </c>
    </row>
    <row r="692" ht="21" customHeight="1" spans="1:13">
      <c r="A692" s="5" t="s">
        <v>15</v>
      </c>
      <c r="B692" s="6" t="s">
        <v>66</v>
      </c>
      <c r="C692" s="6" t="s">
        <v>152</v>
      </c>
      <c r="D692" s="6" t="s">
        <v>153</v>
      </c>
      <c r="E692" s="6" t="s">
        <v>619</v>
      </c>
      <c r="F692" s="6" t="s">
        <v>1727</v>
      </c>
      <c r="G692" s="6">
        <v>46.28</v>
      </c>
      <c r="H692" s="6">
        <v>45.46</v>
      </c>
      <c r="I692" s="6">
        <v>98</v>
      </c>
      <c r="J692" s="6">
        <v>1900</v>
      </c>
      <c r="K692" s="7">
        <f>(J692-M692)*税费参数!$B$12/(I692*10000*(1+SUM(税费参数!$B$6:$B$8)))</f>
        <v>0.0169615061520976</v>
      </c>
      <c r="L692" s="7">
        <f>J692*税费参数!$B$12/(I692*10000)</f>
        <v>0.0193877551020408</v>
      </c>
      <c r="M692" s="6">
        <f>I692*10000*SUM(税费参数!$B$9:$B$10)/税费参数!$B$11</f>
        <v>183.75</v>
      </c>
    </row>
    <row r="693" ht="21" customHeight="1" spans="1:13">
      <c r="A693" s="5" t="s">
        <v>15</v>
      </c>
      <c r="B693" s="6" t="s">
        <v>66</v>
      </c>
      <c r="C693" s="6" t="s">
        <v>152</v>
      </c>
      <c r="D693" s="6" t="s">
        <v>153</v>
      </c>
      <c r="E693" s="6" t="s">
        <v>619</v>
      </c>
      <c r="F693" s="6" t="s">
        <v>1728</v>
      </c>
      <c r="G693" s="6">
        <v>46.28</v>
      </c>
      <c r="H693" s="6">
        <v>45.45</v>
      </c>
      <c r="I693" s="6">
        <v>98</v>
      </c>
      <c r="J693" s="6">
        <v>2000</v>
      </c>
      <c r="K693" s="7">
        <f>(J693-M693)*税费参数!$B$12/(I693*10000*(1+SUM(税费参数!$B$6:$B$8)))</f>
        <v>0.0179497949300786</v>
      </c>
      <c r="L693" s="7">
        <f>J693*税费参数!$B$12/(I693*10000)</f>
        <v>0.0204081632653061</v>
      </c>
      <c r="M693" s="6">
        <f>I693*10000*SUM(税费参数!$B$9:$B$10)/税费参数!$B$11</f>
        <v>183.75</v>
      </c>
    </row>
    <row r="694" ht="21" customHeight="1" spans="1:13">
      <c r="A694" s="5" t="s">
        <v>15</v>
      </c>
      <c r="B694" s="6" t="s">
        <v>66</v>
      </c>
      <c r="C694" s="6" t="s">
        <v>152</v>
      </c>
      <c r="D694" s="6" t="s">
        <v>153</v>
      </c>
      <c r="E694" s="6" t="s">
        <v>619</v>
      </c>
      <c r="F694" s="6" t="s">
        <v>1729</v>
      </c>
      <c r="G694" s="6">
        <v>46.28</v>
      </c>
      <c r="H694" s="6">
        <v>45.26</v>
      </c>
      <c r="I694" s="6">
        <v>98</v>
      </c>
      <c r="J694" s="6">
        <v>2001</v>
      </c>
      <c r="K694" s="7">
        <f>(J694-M694)*税费参数!$B$12/(I694*10000*(1+SUM(税费参数!$B$6:$B$8)))</f>
        <v>0.0179596778178584</v>
      </c>
      <c r="L694" s="7">
        <f>J694*税费参数!$B$12/(I694*10000)</f>
        <v>0.0204183673469388</v>
      </c>
      <c r="M694" s="6">
        <f>I694*10000*SUM(税费参数!$B$9:$B$10)/税费参数!$B$11</f>
        <v>183.75</v>
      </c>
    </row>
    <row r="695" ht="21" customHeight="1" spans="1:13">
      <c r="A695" s="5" t="s">
        <v>15</v>
      </c>
      <c r="B695" s="6" t="s">
        <v>66</v>
      </c>
      <c r="C695" s="6" t="s">
        <v>152</v>
      </c>
      <c r="D695" s="6" t="s">
        <v>153</v>
      </c>
      <c r="E695" s="6" t="s">
        <v>619</v>
      </c>
      <c r="F695" s="6" t="s">
        <v>1730</v>
      </c>
      <c r="G695" s="6">
        <v>46.28</v>
      </c>
      <c r="H695" s="6">
        <v>45.34</v>
      </c>
      <c r="I695" s="6">
        <v>98</v>
      </c>
      <c r="J695" s="6">
        <v>2000</v>
      </c>
      <c r="K695" s="7">
        <f>(J695-M695)*税费参数!$B$12/(I695*10000*(1+SUM(税费参数!$B$6:$B$8)))</f>
        <v>0.0179497949300786</v>
      </c>
      <c r="L695" s="7">
        <f>J695*税费参数!$B$12/(I695*10000)</f>
        <v>0.0204081632653061</v>
      </c>
      <c r="M695" s="6">
        <f>I695*10000*SUM(税费参数!$B$9:$B$10)/税费参数!$B$11</f>
        <v>183.75</v>
      </c>
    </row>
    <row r="696" ht="21" customHeight="1" spans="1:13">
      <c r="A696" s="5" t="s">
        <v>15</v>
      </c>
      <c r="B696" s="6" t="s">
        <v>66</v>
      </c>
      <c r="C696" s="6" t="s">
        <v>152</v>
      </c>
      <c r="D696" s="6" t="s">
        <v>153</v>
      </c>
      <c r="E696" s="6" t="s">
        <v>619</v>
      </c>
      <c r="F696" s="6" t="s">
        <v>1731</v>
      </c>
      <c r="G696" s="6">
        <v>46.28</v>
      </c>
      <c r="H696" s="6">
        <v>45.45</v>
      </c>
      <c r="I696" s="6">
        <v>98</v>
      </c>
      <c r="J696" s="6">
        <v>2400</v>
      </c>
      <c r="K696" s="7">
        <f>(J696-M696)*税费参数!$B$12/(I696*10000*(1+SUM(税费参数!$B$6:$B$8)))</f>
        <v>0.0219029500420023</v>
      </c>
      <c r="L696" s="7">
        <f>J696*税费参数!$B$12/(I696*10000)</f>
        <v>0.0244897959183673</v>
      </c>
      <c r="M696" s="6">
        <f>I696*10000*SUM(税费参数!$B$9:$B$10)/税费参数!$B$11</f>
        <v>183.75</v>
      </c>
    </row>
    <row r="697" ht="21" customHeight="1" spans="1:13">
      <c r="A697" s="5" t="s">
        <v>15</v>
      </c>
      <c r="B697" s="6" t="s">
        <v>66</v>
      </c>
      <c r="C697" s="6" t="s">
        <v>152</v>
      </c>
      <c r="D697" s="6" t="s">
        <v>153</v>
      </c>
      <c r="E697" s="6" t="s">
        <v>599</v>
      </c>
      <c r="F697" s="6" t="s">
        <v>1717</v>
      </c>
      <c r="G697" s="6">
        <v>45.65</v>
      </c>
      <c r="H697" s="6">
        <v>46.92</v>
      </c>
      <c r="I697" s="6">
        <v>109</v>
      </c>
      <c r="J697" s="6">
        <v>2300</v>
      </c>
      <c r="K697" s="7">
        <f>(J697-M697)*税费参数!$B$12/(I697*10000*(1+SUM(税费参数!$B$6:$B$8)))</f>
        <v>0.0186207432747629</v>
      </c>
      <c r="L697" s="7">
        <f>J697*税费参数!$B$12/(I697*10000)</f>
        <v>0.0211009174311927</v>
      </c>
      <c r="M697" s="6">
        <f>I697*10000*SUM(税费参数!$B$9:$B$10)/税费参数!$B$11</f>
        <v>204.375</v>
      </c>
    </row>
    <row r="698" ht="21" customHeight="1" spans="1:13">
      <c r="A698" s="5" t="s">
        <v>15</v>
      </c>
      <c r="B698" s="6" t="s">
        <v>66</v>
      </c>
      <c r="C698" s="6" t="s">
        <v>152</v>
      </c>
      <c r="D698" s="6" t="s">
        <v>153</v>
      </c>
      <c r="E698" s="6" t="s">
        <v>599</v>
      </c>
      <c r="F698" s="6" t="s">
        <v>1718</v>
      </c>
      <c r="G698" s="6">
        <v>45.65</v>
      </c>
      <c r="H698" s="6">
        <v>47.47</v>
      </c>
      <c r="I698" s="6">
        <v>109</v>
      </c>
      <c r="J698" s="6">
        <v>2200</v>
      </c>
      <c r="K698" s="7">
        <f>(J698-M698)*税费参数!$B$12/(I698*10000*(1+SUM(税费参数!$B$6:$B$8)))</f>
        <v>0.0177321900615323</v>
      </c>
      <c r="L698" s="7">
        <f>J698*税费参数!$B$12/(I698*10000)</f>
        <v>0.0201834862385321</v>
      </c>
      <c r="M698" s="6">
        <f>I698*10000*SUM(税费参数!$B$9:$B$10)/税费参数!$B$11</f>
        <v>204.375</v>
      </c>
    </row>
    <row r="699" ht="21" customHeight="1" spans="1:13">
      <c r="A699" s="5" t="s">
        <v>15</v>
      </c>
      <c r="B699" s="6" t="s">
        <v>66</v>
      </c>
      <c r="C699" s="6" t="s">
        <v>152</v>
      </c>
      <c r="D699" s="6" t="s">
        <v>153</v>
      </c>
      <c r="E699" s="6" t="s">
        <v>599</v>
      </c>
      <c r="F699" s="6" t="s">
        <v>1719</v>
      </c>
      <c r="G699" s="6">
        <v>45.65</v>
      </c>
      <c r="H699" s="6">
        <v>45.45</v>
      </c>
      <c r="I699" s="6">
        <v>109</v>
      </c>
      <c r="J699" s="6">
        <v>2025</v>
      </c>
      <c r="K699" s="7">
        <f>(J699-M699)*税费参数!$B$12/(I699*10000*(1+SUM(税费参数!$B$6:$B$8)))</f>
        <v>0.0161772219383788</v>
      </c>
      <c r="L699" s="7">
        <f>J699*税费参数!$B$12/(I699*10000)</f>
        <v>0.0185779816513761</v>
      </c>
      <c r="M699" s="6">
        <f>I699*10000*SUM(税费参数!$B$9:$B$10)/税费参数!$B$11</f>
        <v>204.375</v>
      </c>
    </row>
    <row r="700" ht="21" customHeight="1" spans="1:13">
      <c r="A700" s="5" t="s">
        <v>15</v>
      </c>
      <c r="B700" s="6" t="s">
        <v>66</v>
      </c>
      <c r="C700" s="6" t="s">
        <v>152</v>
      </c>
      <c r="D700" s="6" t="s">
        <v>153</v>
      </c>
      <c r="E700" s="6" t="s">
        <v>599</v>
      </c>
      <c r="F700" s="6" t="s">
        <v>1720</v>
      </c>
      <c r="G700" s="6">
        <v>45.65</v>
      </c>
      <c r="H700" s="6">
        <v>45.33</v>
      </c>
      <c r="I700" s="6">
        <v>109</v>
      </c>
      <c r="J700" s="6">
        <v>2200</v>
      </c>
      <c r="K700" s="7">
        <f>(J700-M700)*税费参数!$B$12/(I700*10000*(1+SUM(税费参数!$B$6:$B$8)))</f>
        <v>0.0177321900615323</v>
      </c>
      <c r="L700" s="7">
        <f>J700*税费参数!$B$12/(I700*10000)</f>
        <v>0.0201834862385321</v>
      </c>
      <c r="M700" s="6">
        <f>I700*10000*SUM(税费参数!$B$9:$B$10)/税费参数!$B$11</f>
        <v>204.375</v>
      </c>
    </row>
    <row r="701" ht="21" customHeight="1" spans="1:13">
      <c r="A701" s="5" t="s">
        <v>15</v>
      </c>
      <c r="B701" s="6" t="s">
        <v>66</v>
      </c>
      <c r="C701" s="6" t="s">
        <v>152</v>
      </c>
      <c r="D701" s="6" t="s">
        <v>153</v>
      </c>
      <c r="E701" s="6" t="s">
        <v>599</v>
      </c>
      <c r="F701" s="6" t="s">
        <v>1721</v>
      </c>
      <c r="G701" s="6">
        <v>45.65</v>
      </c>
      <c r="H701" s="6">
        <v>45.47</v>
      </c>
      <c r="I701" s="6">
        <v>109</v>
      </c>
      <c r="J701" s="6">
        <v>2000</v>
      </c>
      <c r="K701" s="7">
        <f>(J701-M701)*税费参数!$B$12/(I701*10000*(1+SUM(税费参数!$B$6:$B$8)))</f>
        <v>0.0159550836350712</v>
      </c>
      <c r="L701" s="7">
        <f>J701*税费参数!$B$12/(I701*10000)</f>
        <v>0.018348623853211</v>
      </c>
      <c r="M701" s="6">
        <f>I701*10000*SUM(税费参数!$B$9:$B$10)/税费参数!$B$11</f>
        <v>204.375</v>
      </c>
    </row>
    <row r="702" ht="21" customHeight="1" spans="1:13">
      <c r="A702" s="5" t="s">
        <v>15</v>
      </c>
      <c r="B702" s="6" t="s">
        <v>66</v>
      </c>
      <c r="C702" s="6" t="s">
        <v>152</v>
      </c>
      <c r="D702" s="6" t="s">
        <v>153</v>
      </c>
      <c r="E702" s="6" t="s">
        <v>599</v>
      </c>
      <c r="F702" s="6" t="s">
        <v>1722</v>
      </c>
      <c r="G702" s="6">
        <v>45.65</v>
      </c>
      <c r="H702" s="6">
        <v>45.47</v>
      </c>
      <c r="I702" s="6">
        <v>109</v>
      </c>
      <c r="J702" s="6">
        <v>2000</v>
      </c>
      <c r="K702" s="7">
        <f>(J702-M702)*税费参数!$B$12/(I702*10000*(1+SUM(税费参数!$B$6:$B$8)))</f>
        <v>0.0159550836350712</v>
      </c>
      <c r="L702" s="7">
        <f>J702*税费参数!$B$12/(I702*10000)</f>
        <v>0.018348623853211</v>
      </c>
      <c r="M702" s="6">
        <f>I702*10000*SUM(税费参数!$B$9:$B$10)/税费参数!$B$11</f>
        <v>204.375</v>
      </c>
    </row>
    <row r="703" ht="21" customHeight="1" spans="1:13">
      <c r="A703" s="5" t="s">
        <v>15</v>
      </c>
      <c r="B703" s="6" t="s">
        <v>66</v>
      </c>
      <c r="C703" s="6" t="s">
        <v>152</v>
      </c>
      <c r="D703" s="6" t="s">
        <v>153</v>
      </c>
      <c r="E703" s="6" t="s">
        <v>599</v>
      </c>
      <c r="F703" s="6" t="s">
        <v>1723</v>
      </c>
      <c r="G703" s="6">
        <v>45.65</v>
      </c>
      <c r="H703" s="6">
        <v>50.1</v>
      </c>
      <c r="I703" s="6">
        <v>109</v>
      </c>
      <c r="J703" s="6">
        <v>2250</v>
      </c>
      <c r="K703" s="7">
        <f>(J703-M703)*税费参数!$B$12/(I703*10000*(1+SUM(税费参数!$B$6:$B$8)))</f>
        <v>0.0181764666681476</v>
      </c>
      <c r="L703" s="7">
        <f>J703*税费参数!$B$12/(I703*10000)</f>
        <v>0.0206422018348624</v>
      </c>
      <c r="M703" s="6">
        <f>I703*10000*SUM(税费参数!$B$9:$B$10)/税费参数!$B$11</f>
        <v>204.375</v>
      </c>
    </row>
    <row r="704" ht="21" customHeight="1" spans="1:13">
      <c r="A704" s="5" t="s">
        <v>15</v>
      </c>
      <c r="B704" s="6" t="s">
        <v>66</v>
      </c>
      <c r="C704" s="6" t="s">
        <v>152</v>
      </c>
      <c r="D704" s="6" t="s">
        <v>153</v>
      </c>
      <c r="E704" s="6" t="s">
        <v>599</v>
      </c>
      <c r="F704" s="6" t="s">
        <v>1724</v>
      </c>
      <c r="G704" s="6">
        <v>45.65</v>
      </c>
      <c r="H704" s="6">
        <v>45</v>
      </c>
      <c r="I704" s="6">
        <v>109</v>
      </c>
      <c r="J704" s="6">
        <v>2100</v>
      </c>
      <c r="K704" s="7">
        <f>(J704-M704)*税费参数!$B$12/(I704*10000*(1+SUM(税费参数!$B$6:$B$8)))</f>
        <v>0.0168436368483018</v>
      </c>
      <c r="L704" s="7">
        <f>J704*税费参数!$B$12/(I704*10000)</f>
        <v>0.0192660550458716</v>
      </c>
      <c r="M704" s="6">
        <f>I704*10000*SUM(税费参数!$B$9:$B$10)/税费参数!$B$11</f>
        <v>204.375</v>
      </c>
    </row>
    <row r="705" ht="21" customHeight="1" spans="1:13">
      <c r="A705" s="5" t="s">
        <v>15</v>
      </c>
      <c r="B705" s="6" t="s">
        <v>66</v>
      </c>
      <c r="C705" s="6" t="s">
        <v>152</v>
      </c>
      <c r="D705" s="6" t="s">
        <v>153</v>
      </c>
      <c r="E705" s="6" t="s">
        <v>599</v>
      </c>
      <c r="F705" s="6" t="s">
        <v>1725</v>
      </c>
      <c r="G705" s="6">
        <v>45.65</v>
      </c>
      <c r="H705" s="6">
        <v>45.66</v>
      </c>
      <c r="I705" s="6">
        <v>109</v>
      </c>
      <c r="J705" s="6">
        <v>1900</v>
      </c>
      <c r="K705" s="7">
        <f>(J705-M705)*税费参数!$B$12/(I705*10000*(1+SUM(税费参数!$B$6:$B$8)))</f>
        <v>0.0150665304218406</v>
      </c>
      <c r="L705" s="7">
        <f>J705*税费参数!$B$12/(I705*10000)</f>
        <v>0.0174311926605505</v>
      </c>
      <c r="M705" s="6">
        <f>I705*10000*SUM(税费参数!$B$9:$B$10)/税费参数!$B$11</f>
        <v>204.375</v>
      </c>
    </row>
    <row r="706" ht="21" customHeight="1" spans="1:13">
      <c r="A706" s="5" t="s">
        <v>15</v>
      </c>
      <c r="B706" s="6" t="s">
        <v>66</v>
      </c>
      <c r="C706" s="6" t="s">
        <v>152</v>
      </c>
      <c r="D706" s="6" t="s">
        <v>153</v>
      </c>
      <c r="E706" s="6" t="s">
        <v>599</v>
      </c>
      <c r="F706" s="6" t="s">
        <v>1726</v>
      </c>
      <c r="G706" s="6">
        <v>45.65</v>
      </c>
      <c r="H706" s="6">
        <v>46.66</v>
      </c>
      <c r="I706" s="6">
        <v>109</v>
      </c>
      <c r="J706" s="6">
        <v>2100</v>
      </c>
      <c r="K706" s="7">
        <f>(J706-M706)*税费参数!$B$12/(I706*10000*(1+SUM(税费参数!$B$6:$B$8)))</f>
        <v>0.0168436368483018</v>
      </c>
      <c r="L706" s="7">
        <f>J706*税费参数!$B$12/(I706*10000)</f>
        <v>0.0192660550458716</v>
      </c>
      <c r="M706" s="6">
        <f>I706*10000*SUM(税费参数!$B$9:$B$10)/税费参数!$B$11</f>
        <v>204.375</v>
      </c>
    </row>
    <row r="707" ht="21" customHeight="1" spans="1:13">
      <c r="A707" s="5" t="s">
        <v>15</v>
      </c>
      <c r="B707" s="6" t="s">
        <v>66</v>
      </c>
      <c r="C707" s="6" t="s">
        <v>152</v>
      </c>
      <c r="D707" s="6" t="s">
        <v>153</v>
      </c>
      <c r="E707" s="6" t="s">
        <v>599</v>
      </c>
      <c r="F707" s="6" t="s">
        <v>1727</v>
      </c>
      <c r="G707" s="6">
        <v>45.65</v>
      </c>
      <c r="H707" s="6">
        <v>45.46</v>
      </c>
      <c r="I707" s="6">
        <v>109</v>
      </c>
      <c r="J707" s="6">
        <v>1900</v>
      </c>
      <c r="K707" s="7">
        <f>(J707-M707)*税费参数!$B$12/(I707*10000*(1+SUM(税费参数!$B$6:$B$8)))</f>
        <v>0.0150665304218406</v>
      </c>
      <c r="L707" s="7">
        <f>J707*税费参数!$B$12/(I707*10000)</f>
        <v>0.0174311926605505</v>
      </c>
      <c r="M707" s="6">
        <f>I707*10000*SUM(税费参数!$B$9:$B$10)/税费参数!$B$11</f>
        <v>204.375</v>
      </c>
    </row>
    <row r="708" ht="21" customHeight="1" spans="1:13">
      <c r="A708" s="5" t="s">
        <v>15</v>
      </c>
      <c r="B708" s="6" t="s">
        <v>66</v>
      </c>
      <c r="C708" s="6" t="s">
        <v>152</v>
      </c>
      <c r="D708" s="6" t="s">
        <v>153</v>
      </c>
      <c r="E708" s="6" t="s">
        <v>599</v>
      </c>
      <c r="F708" s="6" t="s">
        <v>1728</v>
      </c>
      <c r="G708" s="6">
        <v>45.65</v>
      </c>
      <c r="H708" s="6">
        <v>45.45</v>
      </c>
      <c r="I708" s="6">
        <v>109</v>
      </c>
      <c r="J708" s="6">
        <v>2000</v>
      </c>
      <c r="K708" s="7">
        <f>(J708-M708)*税费参数!$B$12/(I708*10000*(1+SUM(税费参数!$B$6:$B$8)))</f>
        <v>0.0159550836350712</v>
      </c>
      <c r="L708" s="7">
        <f>J708*税费参数!$B$12/(I708*10000)</f>
        <v>0.018348623853211</v>
      </c>
      <c r="M708" s="6">
        <f>I708*10000*SUM(税费参数!$B$9:$B$10)/税费参数!$B$11</f>
        <v>204.375</v>
      </c>
    </row>
    <row r="709" ht="21" customHeight="1" spans="1:13">
      <c r="A709" s="5" t="s">
        <v>15</v>
      </c>
      <c r="B709" s="6" t="s">
        <v>66</v>
      </c>
      <c r="C709" s="6" t="s">
        <v>152</v>
      </c>
      <c r="D709" s="6" t="s">
        <v>153</v>
      </c>
      <c r="E709" s="6" t="s">
        <v>599</v>
      </c>
      <c r="F709" s="6" t="s">
        <v>1729</v>
      </c>
      <c r="G709" s="6">
        <v>45.65</v>
      </c>
      <c r="H709" s="6">
        <v>45.26</v>
      </c>
      <c r="I709" s="6">
        <v>109</v>
      </c>
      <c r="J709" s="6">
        <v>2001</v>
      </c>
      <c r="K709" s="7">
        <f>(J709-M709)*税费参数!$B$12/(I709*10000*(1+SUM(税费参数!$B$6:$B$8)))</f>
        <v>0.0159639691672035</v>
      </c>
      <c r="L709" s="7">
        <f>J709*税费参数!$B$12/(I709*10000)</f>
        <v>0.0183577981651376</v>
      </c>
      <c r="M709" s="6">
        <f>I709*10000*SUM(税费参数!$B$9:$B$10)/税费参数!$B$11</f>
        <v>204.375</v>
      </c>
    </row>
    <row r="710" ht="21" customHeight="1" spans="1:13">
      <c r="A710" s="5" t="s">
        <v>15</v>
      </c>
      <c r="B710" s="6" t="s">
        <v>66</v>
      </c>
      <c r="C710" s="6" t="s">
        <v>152</v>
      </c>
      <c r="D710" s="6" t="s">
        <v>153</v>
      </c>
      <c r="E710" s="6" t="s">
        <v>599</v>
      </c>
      <c r="F710" s="6" t="s">
        <v>1730</v>
      </c>
      <c r="G710" s="6">
        <v>45.65</v>
      </c>
      <c r="H710" s="6">
        <v>45.34</v>
      </c>
      <c r="I710" s="6">
        <v>109</v>
      </c>
      <c r="J710" s="6">
        <v>2000</v>
      </c>
      <c r="K710" s="7">
        <f>(J710-M710)*税费参数!$B$12/(I710*10000*(1+SUM(税费参数!$B$6:$B$8)))</f>
        <v>0.0159550836350712</v>
      </c>
      <c r="L710" s="7">
        <f>J710*税费参数!$B$12/(I710*10000)</f>
        <v>0.018348623853211</v>
      </c>
      <c r="M710" s="6">
        <f>I710*10000*SUM(税费参数!$B$9:$B$10)/税费参数!$B$11</f>
        <v>204.375</v>
      </c>
    </row>
    <row r="711" ht="21" customHeight="1" spans="1:13">
      <c r="A711" s="5" t="s">
        <v>15</v>
      </c>
      <c r="B711" s="6" t="s">
        <v>66</v>
      </c>
      <c r="C711" s="6" t="s">
        <v>152</v>
      </c>
      <c r="D711" s="6" t="s">
        <v>153</v>
      </c>
      <c r="E711" s="6" t="s">
        <v>599</v>
      </c>
      <c r="F711" s="6" t="s">
        <v>1731</v>
      </c>
      <c r="G711" s="6">
        <v>45.65</v>
      </c>
      <c r="H711" s="6">
        <v>45.45</v>
      </c>
      <c r="I711" s="6">
        <v>109</v>
      </c>
      <c r="J711" s="6">
        <v>2400</v>
      </c>
      <c r="K711" s="7">
        <f>(J711-M711)*税费参数!$B$12/(I711*10000*(1+SUM(税费参数!$B$6:$B$8)))</f>
        <v>0.0195092964879934</v>
      </c>
      <c r="L711" s="7">
        <f>J711*税费参数!$B$12/(I711*10000)</f>
        <v>0.0220183486238532</v>
      </c>
      <c r="M711" s="6">
        <f>I711*10000*SUM(税费参数!$B$9:$B$10)/税费参数!$B$11</f>
        <v>204.375</v>
      </c>
    </row>
    <row r="712" ht="21" customHeight="1" spans="1:13">
      <c r="A712" s="5" t="s">
        <v>15</v>
      </c>
      <c r="B712" s="6" t="s">
        <v>66</v>
      </c>
      <c r="C712" s="6" t="s">
        <v>152</v>
      </c>
      <c r="D712" s="6" t="s">
        <v>153</v>
      </c>
      <c r="E712" s="6" t="s">
        <v>613</v>
      </c>
      <c r="F712" s="6" t="s">
        <v>1717</v>
      </c>
      <c r="G712" s="6">
        <v>45.48</v>
      </c>
      <c r="H712" s="6">
        <v>46.92</v>
      </c>
      <c r="I712" s="6">
        <v>105</v>
      </c>
      <c r="J712" s="6">
        <v>2300</v>
      </c>
      <c r="K712" s="7">
        <f>(J712-M712)*税费参数!$B$12/(I712*10000*(1+SUM(税费参数!$B$6:$B$8)))</f>
        <v>0.0193992851377839</v>
      </c>
      <c r="L712" s="7">
        <f>J712*税费参数!$B$12/(I712*10000)</f>
        <v>0.0219047619047619</v>
      </c>
      <c r="M712" s="6">
        <f>I712*10000*SUM(税费参数!$B$9:$B$10)/税费参数!$B$11</f>
        <v>196.875</v>
      </c>
    </row>
    <row r="713" ht="21" customHeight="1" spans="1:13">
      <c r="A713" s="5" t="s">
        <v>15</v>
      </c>
      <c r="B713" s="6" t="s">
        <v>66</v>
      </c>
      <c r="C713" s="6" t="s">
        <v>152</v>
      </c>
      <c r="D713" s="6" t="s">
        <v>153</v>
      </c>
      <c r="E713" s="6" t="s">
        <v>613</v>
      </c>
      <c r="F713" s="6" t="s">
        <v>1718</v>
      </c>
      <c r="G713" s="6">
        <v>45.48</v>
      </c>
      <c r="H713" s="6">
        <v>47.47</v>
      </c>
      <c r="I713" s="6">
        <v>105</v>
      </c>
      <c r="J713" s="6">
        <v>2200</v>
      </c>
      <c r="K713" s="7">
        <f>(J713-M713)*税费参数!$B$12/(I713*10000*(1+SUM(税费参数!$B$6:$B$8)))</f>
        <v>0.0184768822783351</v>
      </c>
      <c r="L713" s="7">
        <f>J713*税费参数!$B$12/(I713*10000)</f>
        <v>0.020952380952381</v>
      </c>
      <c r="M713" s="6">
        <f>I713*10000*SUM(税费参数!$B$9:$B$10)/税费参数!$B$11</f>
        <v>196.875</v>
      </c>
    </row>
    <row r="714" ht="21" customHeight="1" spans="1:13">
      <c r="A714" s="5" t="s">
        <v>15</v>
      </c>
      <c r="B714" s="6" t="s">
        <v>66</v>
      </c>
      <c r="C714" s="6" t="s">
        <v>152</v>
      </c>
      <c r="D714" s="6" t="s">
        <v>153</v>
      </c>
      <c r="E714" s="6" t="s">
        <v>613</v>
      </c>
      <c r="F714" s="6" t="s">
        <v>1719</v>
      </c>
      <c r="G714" s="6">
        <v>45.48</v>
      </c>
      <c r="H714" s="6">
        <v>45.45</v>
      </c>
      <c r="I714" s="6">
        <v>105</v>
      </c>
      <c r="J714" s="6">
        <v>2025</v>
      </c>
      <c r="K714" s="7">
        <f>(J714-M714)*税费参数!$B$12/(I714*10000*(1+SUM(税费参数!$B$6:$B$8)))</f>
        <v>0.0168626772742996</v>
      </c>
      <c r="L714" s="7">
        <f>J714*税费参数!$B$12/(I714*10000)</f>
        <v>0.0192857142857143</v>
      </c>
      <c r="M714" s="6">
        <f>I714*10000*SUM(税费参数!$B$9:$B$10)/税费参数!$B$11</f>
        <v>196.875</v>
      </c>
    </row>
    <row r="715" ht="21" customHeight="1" spans="1:13">
      <c r="A715" s="5" t="s">
        <v>15</v>
      </c>
      <c r="B715" s="6" t="s">
        <v>66</v>
      </c>
      <c r="C715" s="6" t="s">
        <v>152</v>
      </c>
      <c r="D715" s="6" t="s">
        <v>153</v>
      </c>
      <c r="E715" s="6" t="s">
        <v>613</v>
      </c>
      <c r="F715" s="6" t="s">
        <v>1720</v>
      </c>
      <c r="G715" s="6">
        <v>45.48</v>
      </c>
      <c r="H715" s="6">
        <v>45.33</v>
      </c>
      <c r="I715" s="6">
        <v>105</v>
      </c>
      <c r="J715" s="6">
        <v>2200</v>
      </c>
      <c r="K715" s="7">
        <f>(J715-M715)*税费参数!$B$12/(I715*10000*(1+SUM(税费参数!$B$6:$B$8)))</f>
        <v>0.0184768822783351</v>
      </c>
      <c r="L715" s="7">
        <f>J715*税费参数!$B$12/(I715*10000)</f>
        <v>0.020952380952381</v>
      </c>
      <c r="M715" s="6">
        <f>I715*10000*SUM(税费参数!$B$9:$B$10)/税费参数!$B$11</f>
        <v>196.875</v>
      </c>
    </row>
    <row r="716" ht="21" customHeight="1" spans="1:13">
      <c r="A716" s="5" t="s">
        <v>15</v>
      </c>
      <c r="B716" s="6" t="s">
        <v>66</v>
      </c>
      <c r="C716" s="6" t="s">
        <v>152</v>
      </c>
      <c r="D716" s="6" t="s">
        <v>153</v>
      </c>
      <c r="E716" s="6" t="s">
        <v>613</v>
      </c>
      <c r="F716" s="6" t="s">
        <v>1721</v>
      </c>
      <c r="G716" s="6">
        <v>45.48</v>
      </c>
      <c r="H716" s="6">
        <v>45.47</v>
      </c>
      <c r="I716" s="6">
        <v>105</v>
      </c>
      <c r="J716" s="6">
        <v>2000</v>
      </c>
      <c r="K716" s="7">
        <f>(J716-M716)*税费参数!$B$12/(I716*10000*(1+SUM(税费参数!$B$6:$B$8)))</f>
        <v>0.0166320765594373</v>
      </c>
      <c r="L716" s="7">
        <f>J716*税费参数!$B$12/(I716*10000)</f>
        <v>0.019047619047619</v>
      </c>
      <c r="M716" s="6">
        <f>I716*10000*SUM(税费参数!$B$9:$B$10)/税费参数!$B$11</f>
        <v>196.875</v>
      </c>
    </row>
    <row r="717" ht="21" customHeight="1" spans="1:13">
      <c r="A717" s="5" t="s">
        <v>15</v>
      </c>
      <c r="B717" s="6" t="s">
        <v>66</v>
      </c>
      <c r="C717" s="6" t="s">
        <v>152</v>
      </c>
      <c r="D717" s="6" t="s">
        <v>153</v>
      </c>
      <c r="E717" s="6" t="s">
        <v>613</v>
      </c>
      <c r="F717" s="6" t="s">
        <v>1722</v>
      </c>
      <c r="G717" s="6">
        <v>45.48</v>
      </c>
      <c r="H717" s="6">
        <v>45.47</v>
      </c>
      <c r="I717" s="6">
        <v>105</v>
      </c>
      <c r="J717" s="6">
        <v>2000</v>
      </c>
      <c r="K717" s="7">
        <f>(J717-M717)*税费参数!$B$12/(I717*10000*(1+SUM(税费参数!$B$6:$B$8)))</f>
        <v>0.0166320765594373</v>
      </c>
      <c r="L717" s="7">
        <f>J717*税费参数!$B$12/(I717*10000)</f>
        <v>0.019047619047619</v>
      </c>
      <c r="M717" s="6">
        <f>I717*10000*SUM(税费参数!$B$9:$B$10)/税费参数!$B$11</f>
        <v>196.875</v>
      </c>
    </row>
    <row r="718" ht="21" customHeight="1" spans="1:13">
      <c r="A718" s="5" t="s">
        <v>15</v>
      </c>
      <c r="B718" s="6" t="s">
        <v>66</v>
      </c>
      <c r="C718" s="6" t="s">
        <v>152</v>
      </c>
      <c r="D718" s="6" t="s">
        <v>153</v>
      </c>
      <c r="E718" s="6" t="s">
        <v>613</v>
      </c>
      <c r="F718" s="6" t="s">
        <v>1723</v>
      </c>
      <c r="G718" s="6">
        <v>45.48</v>
      </c>
      <c r="H718" s="6">
        <v>50.1</v>
      </c>
      <c r="I718" s="6">
        <v>105</v>
      </c>
      <c r="J718" s="6">
        <v>2250</v>
      </c>
      <c r="K718" s="7">
        <f>(J718-M718)*税费参数!$B$12/(I718*10000*(1+SUM(税费参数!$B$6:$B$8)))</f>
        <v>0.0189380837080595</v>
      </c>
      <c r="L718" s="7">
        <f>J718*税费参数!$B$12/(I718*10000)</f>
        <v>0.0214285714285714</v>
      </c>
      <c r="M718" s="6">
        <f>I718*10000*SUM(税费参数!$B$9:$B$10)/税费参数!$B$11</f>
        <v>196.875</v>
      </c>
    </row>
    <row r="719" ht="21" customHeight="1" spans="1:13">
      <c r="A719" s="5" t="s">
        <v>15</v>
      </c>
      <c r="B719" s="6" t="s">
        <v>66</v>
      </c>
      <c r="C719" s="6" t="s">
        <v>152</v>
      </c>
      <c r="D719" s="6" t="s">
        <v>153</v>
      </c>
      <c r="E719" s="6" t="s">
        <v>613</v>
      </c>
      <c r="F719" s="6" t="s">
        <v>1724</v>
      </c>
      <c r="G719" s="6">
        <v>45.48</v>
      </c>
      <c r="H719" s="6">
        <v>45</v>
      </c>
      <c r="I719" s="6">
        <v>105</v>
      </c>
      <c r="J719" s="6">
        <v>2100</v>
      </c>
      <c r="K719" s="7">
        <f>(J719-M719)*税费参数!$B$12/(I719*10000*(1+SUM(税费参数!$B$6:$B$8)))</f>
        <v>0.0175544794188862</v>
      </c>
      <c r="L719" s="7">
        <f>J719*税费参数!$B$12/(I719*10000)</f>
        <v>0.02</v>
      </c>
      <c r="M719" s="6">
        <f>I719*10000*SUM(税费参数!$B$9:$B$10)/税费参数!$B$11</f>
        <v>196.875</v>
      </c>
    </row>
    <row r="720" ht="21" customHeight="1" spans="1:13">
      <c r="A720" s="5" t="s">
        <v>15</v>
      </c>
      <c r="B720" s="6" t="s">
        <v>66</v>
      </c>
      <c r="C720" s="6" t="s">
        <v>152</v>
      </c>
      <c r="D720" s="6" t="s">
        <v>153</v>
      </c>
      <c r="E720" s="6" t="s">
        <v>613</v>
      </c>
      <c r="F720" s="6" t="s">
        <v>1725</v>
      </c>
      <c r="G720" s="6">
        <v>45.48</v>
      </c>
      <c r="H720" s="6">
        <v>45.66</v>
      </c>
      <c r="I720" s="6">
        <v>105</v>
      </c>
      <c r="J720" s="6">
        <v>1900</v>
      </c>
      <c r="K720" s="7">
        <f>(J720-M720)*税费参数!$B$12/(I720*10000*(1+SUM(税费参数!$B$6:$B$8)))</f>
        <v>0.0157096736999885</v>
      </c>
      <c r="L720" s="7">
        <f>J720*税费参数!$B$12/(I720*10000)</f>
        <v>0.0180952380952381</v>
      </c>
      <c r="M720" s="6">
        <f>I720*10000*SUM(税费参数!$B$9:$B$10)/税费参数!$B$11</f>
        <v>196.875</v>
      </c>
    </row>
    <row r="721" ht="21" customHeight="1" spans="1:13">
      <c r="A721" s="5" t="s">
        <v>15</v>
      </c>
      <c r="B721" s="6" t="s">
        <v>66</v>
      </c>
      <c r="C721" s="6" t="s">
        <v>152</v>
      </c>
      <c r="D721" s="6" t="s">
        <v>153</v>
      </c>
      <c r="E721" s="6" t="s">
        <v>613</v>
      </c>
      <c r="F721" s="6" t="s">
        <v>1726</v>
      </c>
      <c r="G721" s="6">
        <v>45.48</v>
      </c>
      <c r="H721" s="6">
        <v>46.66</v>
      </c>
      <c r="I721" s="6">
        <v>105</v>
      </c>
      <c r="J721" s="6">
        <v>2100</v>
      </c>
      <c r="K721" s="7">
        <f>(J721-M721)*税费参数!$B$12/(I721*10000*(1+SUM(税费参数!$B$6:$B$8)))</f>
        <v>0.0175544794188862</v>
      </c>
      <c r="L721" s="7">
        <f>J721*税费参数!$B$12/(I721*10000)</f>
        <v>0.02</v>
      </c>
      <c r="M721" s="6">
        <f>I721*10000*SUM(税费参数!$B$9:$B$10)/税费参数!$B$11</f>
        <v>196.875</v>
      </c>
    </row>
    <row r="722" ht="21" customHeight="1" spans="1:13">
      <c r="A722" s="5" t="s">
        <v>15</v>
      </c>
      <c r="B722" s="6" t="s">
        <v>66</v>
      </c>
      <c r="C722" s="6" t="s">
        <v>152</v>
      </c>
      <c r="D722" s="6" t="s">
        <v>153</v>
      </c>
      <c r="E722" s="6" t="s">
        <v>613</v>
      </c>
      <c r="F722" s="6" t="s">
        <v>1727</v>
      </c>
      <c r="G722" s="6">
        <v>45.48</v>
      </c>
      <c r="H722" s="6">
        <v>45.46</v>
      </c>
      <c r="I722" s="6">
        <v>105</v>
      </c>
      <c r="J722" s="6">
        <v>1900</v>
      </c>
      <c r="K722" s="7">
        <f>(J722-M722)*税费参数!$B$12/(I722*10000*(1+SUM(税费参数!$B$6:$B$8)))</f>
        <v>0.0157096736999885</v>
      </c>
      <c r="L722" s="7">
        <f>J722*税费参数!$B$12/(I722*10000)</f>
        <v>0.0180952380952381</v>
      </c>
      <c r="M722" s="6">
        <f>I722*10000*SUM(税费参数!$B$9:$B$10)/税费参数!$B$11</f>
        <v>196.875</v>
      </c>
    </row>
    <row r="723" ht="21" customHeight="1" spans="1:13">
      <c r="A723" s="5" t="s">
        <v>15</v>
      </c>
      <c r="B723" s="6" t="s">
        <v>66</v>
      </c>
      <c r="C723" s="6" t="s">
        <v>152</v>
      </c>
      <c r="D723" s="6" t="s">
        <v>153</v>
      </c>
      <c r="E723" s="6" t="s">
        <v>613</v>
      </c>
      <c r="F723" s="6" t="s">
        <v>1728</v>
      </c>
      <c r="G723" s="6">
        <v>45.48</v>
      </c>
      <c r="H723" s="6">
        <v>45.45</v>
      </c>
      <c r="I723" s="6">
        <v>105</v>
      </c>
      <c r="J723" s="6">
        <v>2000</v>
      </c>
      <c r="K723" s="7">
        <f>(J723-M723)*税费参数!$B$12/(I723*10000*(1+SUM(税费参数!$B$6:$B$8)))</f>
        <v>0.0166320765594373</v>
      </c>
      <c r="L723" s="7">
        <f>J723*税费参数!$B$12/(I723*10000)</f>
        <v>0.019047619047619</v>
      </c>
      <c r="M723" s="6">
        <f>I723*10000*SUM(税费参数!$B$9:$B$10)/税费参数!$B$11</f>
        <v>196.875</v>
      </c>
    </row>
    <row r="724" ht="21" customHeight="1" spans="1:13">
      <c r="A724" s="5" t="s">
        <v>15</v>
      </c>
      <c r="B724" s="6" t="s">
        <v>66</v>
      </c>
      <c r="C724" s="6" t="s">
        <v>152</v>
      </c>
      <c r="D724" s="6" t="s">
        <v>153</v>
      </c>
      <c r="E724" s="6" t="s">
        <v>613</v>
      </c>
      <c r="F724" s="6" t="s">
        <v>1729</v>
      </c>
      <c r="G724" s="6">
        <v>45.48</v>
      </c>
      <c r="H724" s="6">
        <v>45.26</v>
      </c>
      <c r="I724" s="6">
        <v>105</v>
      </c>
      <c r="J724" s="6">
        <v>2001</v>
      </c>
      <c r="K724" s="7">
        <f>(J724-M724)*税费参数!$B$12/(I724*10000*(1+SUM(税费参数!$B$6:$B$8)))</f>
        <v>0.0166413005880318</v>
      </c>
      <c r="L724" s="7">
        <f>J724*税费参数!$B$12/(I724*10000)</f>
        <v>0.0190571428571429</v>
      </c>
      <c r="M724" s="6">
        <f>I724*10000*SUM(税费参数!$B$9:$B$10)/税费参数!$B$11</f>
        <v>196.875</v>
      </c>
    </row>
    <row r="725" ht="21" customHeight="1" spans="1:13">
      <c r="A725" s="5" t="s">
        <v>15</v>
      </c>
      <c r="B725" s="6" t="s">
        <v>66</v>
      </c>
      <c r="C725" s="6" t="s">
        <v>152</v>
      </c>
      <c r="D725" s="6" t="s">
        <v>153</v>
      </c>
      <c r="E725" s="6" t="s">
        <v>613</v>
      </c>
      <c r="F725" s="6" t="s">
        <v>1730</v>
      </c>
      <c r="G725" s="6">
        <v>45.48</v>
      </c>
      <c r="H725" s="6">
        <v>45.34</v>
      </c>
      <c r="I725" s="6">
        <v>105</v>
      </c>
      <c r="J725" s="6">
        <v>2000</v>
      </c>
      <c r="K725" s="7">
        <f>(J725-M725)*税费参数!$B$12/(I725*10000*(1+SUM(税费参数!$B$6:$B$8)))</f>
        <v>0.0166320765594373</v>
      </c>
      <c r="L725" s="7">
        <f>J725*税费参数!$B$12/(I725*10000)</f>
        <v>0.019047619047619</v>
      </c>
      <c r="M725" s="6">
        <f>I725*10000*SUM(税费参数!$B$9:$B$10)/税费参数!$B$11</f>
        <v>196.875</v>
      </c>
    </row>
    <row r="726" ht="21" customHeight="1" spans="1:13">
      <c r="A726" s="5" t="s">
        <v>15</v>
      </c>
      <c r="B726" s="6" t="s">
        <v>66</v>
      </c>
      <c r="C726" s="6" t="s">
        <v>152</v>
      </c>
      <c r="D726" s="6" t="s">
        <v>153</v>
      </c>
      <c r="E726" s="6" t="s">
        <v>613</v>
      </c>
      <c r="F726" s="6" t="s">
        <v>1731</v>
      </c>
      <c r="G726" s="6">
        <v>45.48</v>
      </c>
      <c r="H726" s="6">
        <v>45.45</v>
      </c>
      <c r="I726" s="6">
        <v>105</v>
      </c>
      <c r="J726" s="6">
        <v>2400</v>
      </c>
      <c r="K726" s="7">
        <f>(J726-M726)*税费参数!$B$12/(I726*10000*(1+SUM(税费参数!$B$6:$B$8)))</f>
        <v>0.0203216879972328</v>
      </c>
      <c r="L726" s="7">
        <f>J726*税费参数!$B$12/(I726*10000)</f>
        <v>0.0228571428571429</v>
      </c>
      <c r="M726" s="6">
        <f>I726*10000*SUM(税费参数!$B$9:$B$10)/税费参数!$B$11</f>
        <v>196.875</v>
      </c>
    </row>
    <row r="727" ht="21" customHeight="1" spans="1:13">
      <c r="A727" s="5" t="s">
        <v>15</v>
      </c>
      <c r="B727" s="6" t="s">
        <v>66</v>
      </c>
      <c r="C727" s="6" t="s">
        <v>152</v>
      </c>
      <c r="D727" s="6" t="s">
        <v>153</v>
      </c>
      <c r="E727" s="6" t="s">
        <v>617</v>
      </c>
      <c r="F727" s="6" t="s">
        <v>1717</v>
      </c>
      <c r="G727" s="6">
        <v>45.78</v>
      </c>
      <c r="H727" s="6">
        <v>46.92</v>
      </c>
      <c r="I727" s="6">
        <v>109</v>
      </c>
      <c r="J727" s="6">
        <v>2300</v>
      </c>
      <c r="K727" s="7">
        <f>(J727-M727)*税费参数!$B$12/(I727*10000*(1+SUM(税费参数!$B$6:$B$8)))</f>
        <v>0.0186207432747629</v>
      </c>
      <c r="L727" s="7">
        <f>J727*税费参数!$B$12/(I727*10000)</f>
        <v>0.0211009174311927</v>
      </c>
      <c r="M727" s="6">
        <f>I727*10000*SUM(税费参数!$B$9:$B$10)/税费参数!$B$11</f>
        <v>204.375</v>
      </c>
    </row>
    <row r="728" ht="21" customHeight="1" spans="1:13">
      <c r="A728" s="5" t="s">
        <v>15</v>
      </c>
      <c r="B728" s="6" t="s">
        <v>66</v>
      </c>
      <c r="C728" s="6" t="s">
        <v>152</v>
      </c>
      <c r="D728" s="6" t="s">
        <v>153</v>
      </c>
      <c r="E728" s="6" t="s">
        <v>617</v>
      </c>
      <c r="F728" s="6" t="s">
        <v>1718</v>
      </c>
      <c r="G728" s="6">
        <v>45.78</v>
      </c>
      <c r="H728" s="6">
        <v>47.47</v>
      </c>
      <c r="I728" s="6">
        <v>109</v>
      </c>
      <c r="J728" s="6">
        <v>2200</v>
      </c>
      <c r="K728" s="7">
        <f>(J728-M728)*税费参数!$B$12/(I728*10000*(1+SUM(税费参数!$B$6:$B$8)))</f>
        <v>0.0177321900615323</v>
      </c>
      <c r="L728" s="7">
        <f>J728*税费参数!$B$12/(I728*10000)</f>
        <v>0.0201834862385321</v>
      </c>
      <c r="M728" s="6">
        <f>I728*10000*SUM(税费参数!$B$9:$B$10)/税费参数!$B$11</f>
        <v>204.375</v>
      </c>
    </row>
    <row r="729" ht="21" customHeight="1" spans="1:13">
      <c r="A729" s="5" t="s">
        <v>15</v>
      </c>
      <c r="B729" s="6" t="s">
        <v>66</v>
      </c>
      <c r="C729" s="6" t="s">
        <v>152</v>
      </c>
      <c r="D729" s="6" t="s">
        <v>153</v>
      </c>
      <c r="E729" s="6" t="s">
        <v>617</v>
      </c>
      <c r="F729" s="6" t="s">
        <v>1719</v>
      </c>
      <c r="G729" s="6">
        <v>45.78</v>
      </c>
      <c r="H729" s="6">
        <v>45.45</v>
      </c>
      <c r="I729" s="6">
        <v>109</v>
      </c>
      <c r="J729" s="6">
        <v>2025</v>
      </c>
      <c r="K729" s="7">
        <f>(J729-M729)*税费参数!$B$12/(I729*10000*(1+SUM(税费参数!$B$6:$B$8)))</f>
        <v>0.0161772219383788</v>
      </c>
      <c r="L729" s="7">
        <f>J729*税费参数!$B$12/(I729*10000)</f>
        <v>0.0185779816513761</v>
      </c>
      <c r="M729" s="6">
        <f>I729*10000*SUM(税费参数!$B$9:$B$10)/税费参数!$B$11</f>
        <v>204.375</v>
      </c>
    </row>
    <row r="730" ht="21" customHeight="1" spans="1:13">
      <c r="A730" s="5" t="s">
        <v>15</v>
      </c>
      <c r="B730" s="6" t="s">
        <v>66</v>
      </c>
      <c r="C730" s="6" t="s">
        <v>152</v>
      </c>
      <c r="D730" s="6" t="s">
        <v>153</v>
      </c>
      <c r="E730" s="6" t="s">
        <v>617</v>
      </c>
      <c r="F730" s="6" t="s">
        <v>1720</v>
      </c>
      <c r="G730" s="6">
        <v>45.78</v>
      </c>
      <c r="H730" s="6">
        <v>45.33</v>
      </c>
      <c r="I730" s="6">
        <v>109</v>
      </c>
      <c r="J730" s="6">
        <v>2200</v>
      </c>
      <c r="K730" s="7">
        <f>(J730-M730)*税费参数!$B$12/(I730*10000*(1+SUM(税费参数!$B$6:$B$8)))</f>
        <v>0.0177321900615323</v>
      </c>
      <c r="L730" s="7">
        <f>J730*税费参数!$B$12/(I730*10000)</f>
        <v>0.0201834862385321</v>
      </c>
      <c r="M730" s="6">
        <f>I730*10000*SUM(税费参数!$B$9:$B$10)/税费参数!$B$11</f>
        <v>204.375</v>
      </c>
    </row>
    <row r="731" ht="21" customHeight="1" spans="1:13">
      <c r="A731" s="5" t="s">
        <v>15</v>
      </c>
      <c r="B731" s="6" t="s">
        <v>66</v>
      </c>
      <c r="C731" s="6" t="s">
        <v>152</v>
      </c>
      <c r="D731" s="6" t="s">
        <v>153</v>
      </c>
      <c r="E731" s="6" t="s">
        <v>617</v>
      </c>
      <c r="F731" s="6" t="s">
        <v>1721</v>
      </c>
      <c r="G731" s="6">
        <v>45.78</v>
      </c>
      <c r="H731" s="6">
        <v>45.47</v>
      </c>
      <c r="I731" s="6">
        <v>109</v>
      </c>
      <c r="J731" s="6">
        <v>2000</v>
      </c>
      <c r="K731" s="7">
        <f>(J731-M731)*税费参数!$B$12/(I731*10000*(1+SUM(税费参数!$B$6:$B$8)))</f>
        <v>0.0159550836350712</v>
      </c>
      <c r="L731" s="7">
        <f>J731*税费参数!$B$12/(I731*10000)</f>
        <v>0.018348623853211</v>
      </c>
      <c r="M731" s="6">
        <f>I731*10000*SUM(税费参数!$B$9:$B$10)/税费参数!$B$11</f>
        <v>204.375</v>
      </c>
    </row>
    <row r="732" ht="21" customHeight="1" spans="1:13">
      <c r="A732" s="5" t="s">
        <v>15</v>
      </c>
      <c r="B732" s="6" t="s">
        <v>66</v>
      </c>
      <c r="C732" s="6" t="s">
        <v>152</v>
      </c>
      <c r="D732" s="6" t="s">
        <v>153</v>
      </c>
      <c r="E732" s="6" t="s">
        <v>617</v>
      </c>
      <c r="F732" s="6" t="s">
        <v>1722</v>
      </c>
      <c r="G732" s="6">
        <v>45.78</v>
      </c>
      <c r="H732" s="6">
        <v>45.47</v>
      </c>
      <c r="I732" s="6">
        <v>109</v>
      </c>
      <c r="J732" s="6">
        <v>2000</v>
      </c>
      <c r="K732" s="7">
        <f>(J732-M732)*税费参数!$B$12/(I732*10000*(1+SUM(税费参数!$B$6:$B$8)))</f>
        <v>0.0159550836350712</v>
      </c>
      <c r="L732" s="7">
        <f>J732*税费参数!$B$12/(I732*10000)</f>
        <v>0.018348623853211</v>
      </c>
      <c r="M732" s="6">
        <f>I732*10000*SUM(税费参数!$B$9:$B$10)/税费参数!$B$11</f>
        <v>204.375</v>
      </c>
    </row>
    <row r="733" ht="21" customHeight="1" spans="1:13">
      <c r="A733" s="5" t="s">
        <v>15</v>
      </c>
      <c r="B733" s="6" t="s">
        <v>66</v>
      </c>
      <c r="C733" s="6" t="s">
        <v>152</v>
      </c>
      <c r="D733" s="6" t="s">
        <v>153</v>
      </c>
      <c r="E733" s="6" t="s">
        <v>617</v>
      </c>
      <c r="F733" s="6" t="s">
        <v>1723</v>
      </c>
      <c r="G733" s="6">
        <v>45.78</v>
      </c>
      <c r="H733" s="6">
        <v>50.1</v>
      </c>
      <c r="I733" s="6">
        <v>109</v>
      </c>
      <c r="J733" s="6">
        <v>2250</v>
      </c>
      <c r="K733" s="7">
        <f>(J733-M733)*税费参数!$B$12/(I733*10000*(1+SUM(税费参数!$B$6:$B$8)))</f>
        <v>0.0181764666681476</v>
      </c>
      <c r="L733" s="7">
        <f>J733*税费参数!$B$12/(I733*10000)</f>
        <v>0.0206422018348624</v>
      </c>
      <c r="M733" s="6">
        <f>I733*10000*SUM(税费参数!$B$9:$B$10)/税费参数!$B$11</f>
        <v>204.375</v>
      </c>
    </row>
    <row r="734" ht="21" customHeight="1" spans="1:13">
      <c r="A734" s="5" t="s">
        <v>15</v>
      </c>
      <c r="B734" s="6" t="s">
        <v>66</v>
      </c>
      <c r="C734" s="6" t="s">
        <v>152</v>
      </c>
      <c r="D734" s="6" t="s">
        <v>153</v>
      </c>
      <c r="E734" s="6" t="s">
        <v>617</v>
      </c>
      <c r="F734" s="6" t="s">
        <v>1724</v>
      </c>
      <c r="G734" s="6">
        <v>45.78</v>
      </c>
      <c r="H734" s="6">
        <v>45</v>
      </c>
      <c r="I734" s="6">
        <v>109</v>
      </c>
      <c r="J734" s="6">
        <v>2100</v>
      </c>
      <c r="K734" s="7">
        <f>(J734-M734)*税费参数!$B$12/(I734*10000*(1+SUM(税费参数!$B$6:$B$8)))</f>
        <v>0.0168436368483018</v>
      </c>
      <c r="L734" s="7">
        <f>J734*税费参数!$B$12/(I734*10000)</f>
        <v>0.0192660550458716</v>
      </c>
      <c r="M734" s="6">
        <f>I734*10000*SUM(税费参数!$B$9:$B$10)/税费参数!$B$11</f>
        <v>204.375</v>
      </c>
    </row>
    <row r="735" ht="21" customHeight="1" spans="1:13">
      <c r="A735" s="5" t="s">
        <v>15</v>
      </c>
      <c r="B735" s="6" t="s">
        <v>66</v>
      </c>
      <c r="C735" s="6" t="s">
        <v>152</v>
      </c>
      <c r="D735" s="6" t="s">
        <v>153</v>
      </c>
      <c r="E735" s="6" t="s">
        <v>617</v>
      </c>
      <c r="F735" s="6" t="s">
        <v>1725</v>
      </c>
      <c r="G735" s="6">
        <v>45.78</v>
      </c>
      <c r="H735" s="6">
        <v>45.66</v>
      </c>
      <c r="I735" s="6">
        <v>109</v>
      </c>
      <c r="J735" s="6">
        <v>1900</v>
      </c>
      <c r="K735" s="7">
        <f>(J735-M735)*税费参数!$B$12/(I735*10000*(1+SUM(税费参数!$B$6:$B$8)))</f>
        <v>0.0150665304218406</v>
      </c>
      <c r="L735" s="7">
        <f>J735*税费参数!$B$12/(I735*10000)</f>
        <v>0.0174311926605505</v>
      </c>
      <c r="M735" s="6">
        <f>I735*10000*SUM(税费参数!$B$9:$B$10)/税费参数!$B$11</f>
        <v>204.375</v>
      </c>
    </row>
    <row r="736" ht="21" customHeight="1" spans="1:13">
      <c r="A736" s="5" t="s">
        <v>15</v>
      </c>
      <c r="B736" s="6" t="s">
        <v>66</v>
      </c>
      <c r="C736" s="6" t="s">
        <v>152</v>
      </c>
      <c r="D736" s="6" t="s">
        <v>153</v>
      </c>
      <c r="E736" s="6" t="s">
        <v>617</v>
      </c>
      <c r="F736" s="6" t="s">
        <v>1726</v>
      </c>
      <c r="G736" s="6">
        <v>45.78</v>
      </c>
      <c r="H736" s="6">
        <v>46.66</v>
      </c>
      <c r="I736" s="6">
        <v>109</v>
      </c>
      <c r="J736" s="6">
        <v>2100</v>
      </c>
      <c r="K736" s="7">
        <f>(J736-M736)*税费参数!$B$12/(I736*10000*(1+SUM(税费参数!$B$6:$B$8)))</f>
        <v>0.0168436368483018</v>
      </c>
      <c r="L736" s="7">
        <f>J736*税费参数!$B$12/(I736*10000)</f>
        <v>0.0192660550458716</v>
      </c>
      <c r="M736" s="6">
        <f>I736*10000*SUM(税费参数!$B$9:$B$10)/税费参数!$B$11</f>
        <v>204.375</v>
      </c>
    </row>
    <row r="737" ht="21" customHeight="1" spans="1:13">
      <c r="A737" s="5" t="s">
        <v>15</v>
      </c>
      <c r="B737" s="6" t="s">
        <v>66</v>
      </c>
      <c r="C737" s="6" t="s">
        <v>152</v>
      </c>
      <c r="D737" s="6" t="s">
        <v>153</v>
      </c>
      <c r="E737" s="6" t="s">
        <v>617</v>
      </c>
      <c r="F737" s="6" t="s">
        <v>1727</v>
      </c>
      <c r="G737" s="6">
        <v>45.78</v>
      </c>
      <c r="H737" s="6">
        <v>45.46</v>
      </c>
      <c r="I737" s="6">
        <v>109</v>
      </c>
      <c r="J737" s="6">
        <v>1900</v>
      </c>
      <c r="K737" s="7">
        <f>(J737-M737)*税费参数!$B$12/(I737*10000*(1+SUM(税费参数!$B$6:$B$8)))</f>
        <v>0.0150665304218406</v>
      </c>
      <c r="L737" s="7">
        <f>J737*税费参数!$B$12/(I737*10000)</f>
        <v>0.0174311926605505</v>
      </c>
      <c r="M737" s="6">
        <f>I737*10000*SUM(税费参数!$B$9:$B$10)/税费参数!$B$11</f>
        <v>204.375</v>
      </c>
    </row>
    <row r="738" ht="21" customHeight="1" spans="1:13">
      <c r="A738" s="5" t="s">
        <v>15</v>
      </c>
      <c r="B738" s="6" t="s">
        <v>66</v>
      </c>
      <c r="C738" s="6" t="s">
        <v>152</v>
      </c>
      <c r="D738" s="6" t="s">
        <v>153</v>
      </c>
      <c r="E738" s="6" t="s">
        <v>617</v>
      </c>
      <c r="F738" s="6" t="s">
        <v>1728</v>
      </c>
      <c r="G738" s="6">
        <v>45.78</v>
      </c>
      <c r="H738" s="6">
        <v>45.45</v>
      </c>
      <c r="I738" s="6">
        <v>109</v>
      </c>
      <c r="J738" s="6">
        <v>2000</v>
      </c>
      <c r="K738" s="7">
        <f>(J738-M738)*税费参数!$B$12/(I738*10000*(1+SUM(税费参数!$B$6:$B$8)))</f>
        <v>0.0159550836350712</v>
      </c>
      <c r="L738" s="7">
        <f>J738*税费参数!$B$12/(I738*10000)</f>
        <v>0.018348623853211</v>
      </c>
      <c r="M738" s="6">
        <f>I738*10000*SUM(税费参数!$B$9:$B$10)/税费参数!$B$11</f>
        <v>204.375</v>
      </c>
    </row>
    <row r="739" ht="21" customHeight="1" spans="1:13">
      <c r="A739" s="5" t="s">
        <v>15</v>
      </c>
      <c r="B739" s="6" t="s">
        <v>66</v>
      </c>
      <c r="C739" s="6" t="s">
        <v>152</v>
      </c>
      <c r="D739" s="6" t="s">
        <v>153</v>
      </c>
      <c r="E739" s="6" t="s">
        <v>617</v>
      </c>
      <c r="F739" s="6" t="s">
        <v>1729</v>
      </c>
      <c r="G739" s="6">
        <v>45.78</v>
      </c>
      <c r="H739" s="6">
        <v>45.26</v>
      </c>
      <c r="I739" s="6">
        <v>109</v>
      </c>
      <c r="J739" s="6">
        <v>2001</v>
      </c>
      <c r="K739" s="7">
        <f>(J739-M739)*税费参数!$B$12/(I739*10000*(1+SUM(税费参数!$B$6:$B$8)))</f>
        <v>0.0159639691672035</v>
      </c>
      <c r="L739" s="7">
        <f>J739*税费参数!$B$12/(I739*10000)</f>
        <v>0.0183577981651376</v>
      </c>
      <c r="M739" s="6">
        <f>I739*10000*SUM(税费参数!$B$9:$B$10)/税费参数!$B$11</f>
        <v>204.375</v>
      </c>
    </row>
    <row r="740" ht="21" customHeight="1" spans="1:13">
      <c r="A740" s="5" t="s">
        <v>15</v>
      </c>
      <c r="B740" s="6" t="s">
        <v>66</v>
      </c>
      <c r="C740" s="6" t="s">
        <v>152</v>
      </c>
      <c r="D740" s="6" t="s">
        <v>153</v>
      </c>
      <c r="E740" s="6" t="s">
        <v>617</v>
      </c>
      <c r="F740" s="6" t="s">
        <v>1730</v>
      </c>
      <c r="G740" s="6">
        <v>45.78</v>
      </c>
      <c r="H740" s="6">
        <v>45.34</v>
      </c>
      <c r="I740" s="6">
        <v>109</v>
      </c>
      <c r="J740" s="6">
        <v>2000</v>
      </c>
      <c r="K740" s="7">
        <f>(J740-M740)*税费参数!$B$12/(I740*10000*(1+SUM(税费参数!$B$6:$B$8)))</f>
        <v>0.0159550836350712</v>
      </c>
      <c r="L740" s="7">
        <f>J740*税费参数!$B$12/(I740*10000)</f>
        <v>0.018348623853211</v>
      </c>
      <c r="M740" s="6">
        <f>I740*10000*SUM(税费参数!$B$9:$B$10)/税费参数!$B$11</f>
        <v>204.375</v>
      </c>
    </row>
    <row r="741" ht="21" customHeight="1" spans="1:13">
      <c r="A741" s="5" t="s">
        <v>15</v>
      </c>
      <c r="B741" s="6" t="s">
        <v>66</v>
      </c>
      <c r="C741" s="6" t="s">
        <v>152</v>
      </c>
      <c r="D741" s="6" t="s">
        <v>153</v>
      </c>
      <c r="E741" s="6" t="s">
        <v>617</v>
      </c>
      <c r="F741" s="6" t="s">
        <v>1731</v>
      </c>
      <c r="G741" s="6">
        <v>45.78</v>
      </c>
      <c r="H741" s="6">
        <v>45.45</v>
      </c>
      <c r="I741" s="6">
        <v>109</v>
      </c>
      <c r="J741" s="6">
        <v>2400</v>
      </c>
      <c r="K741" s="7">
        <f>(J741-M741)*税费参数!$B$12/(I741*10000*(1+SUM(税费参数!$B$6:$B$8)))</f>
        <v>0.0195092964879934</v>
      </c>
      <c r="L741" s="7">
        <f>J741*税费参数!$B$12/(I741*10000)</f>
        <v>0.0220183486238532</v>
      </c>
      <c r="M741" s="6">
        <f>I741*10000*SUM(税费参数!$B$9:$B$10)/税费参数!$B$11</f>
        <v>204.375</v>
      </c>
    </row>
    <row r="742" ht="21" customHeight="1" spans="1:13">
      <c r="A742" s="5" t="s">
        <v>15</v>
      </c>
      <c r="B742" s="6" t="s">
        <v>66</v>
      </c>
      <c r="C742" s="6" t="s">
        <v>152</v>
      </c>
      <c r="D742" s="6" t="s">
        <v>153</v>
      </c>
      <c r="E742" s="6" t="s">
        <v>597</v>
      </c>
      <c r="F742" s="6" t="s">
        <v>1717</v>
      </c>
      <c r="G742" s="6">
        <v>45.33</v>
      </c>
      <c r="H742" s="6">
        <v>46.92</v>
      </c>
      <c r="I742" s="6">
        <v>99</v>
      </c>
      <c r="J742" s="6">
        <v>2300</v>
      </c>
      <c r="K742" s="7">
        <f>(J742-M742)*税费参数!$B$12/(I742*10000*(1+SUM(税费参数!$B$6:$B$8)))</f>
        <v>0.020685058820652</v>
      </c>
      <c r="L742" s="7">
        <f>J742*税费参数!$B$12/(I742*10000)</f>
        <v>0.0232323232323232</v>
      </c>
      <c r="M742" s="6">
        <f>I742*10000*SUM(税费参数!$B$9:$B$10)/税费参数!$B$11</f>
        <v>185.625</v>
      </c>
    </row>
    <row r="743" ht="21" customHeight="1" spans="1:13">
      <c r="A743" s="5" t="s">
        <v>15</v>
      </c>
      <c r="B743" s="6" t="s">
        <v>66</v>
      </c>
      <c r="C743" s="6" t="s">
        <v>152</v>
      </c>
      <c r="D743" s="6" t="s">
        <v>153</v>
      </c>
      <c r="E743" s="6" t="s">
        <v>597</v>
      </c>
      <c r="F743" s="6" t="s">
        <v>1718</v>
      </c>
      <c r="G743" s="6">
        <v>45.33</v>
      </c>
      <c r="H743" s="6">
        <v>47.47</v>
      </c>
      <c r="I743" s="6">
        <v>99</v>
      </c>
      <c r="J743" s="6">
        <v>2200</v>
      </c>
      <c r="K743" s="7">
        <f>(J743-M743)*税费参数!$B$12/(I743*10000*(1+SUM(税费参数!$B$6:$B$8)))</f>
        <v>0.0197067527576002</v>
      </c>
      <c r="L743" s="7">
        <f>J743*税费参数!$B$12/(I743*10000)</f>
        <v>0.0222222222222222</v>
      </c>
      <c r="M743" s="6">
        <f>I743*10000*SUM(税费参数!$B$9:$B$10)/税费参数!$B$11</f>
        <v>185.625</v>
      </c>
    </row>
    <row r="744" ht="21" customHeight="1" spans="1:13">
      <c r="A744" s="5" t="s">
        <v>15</v>
      </c>
      <c r="B744" s="6" t="s">
        <v>66</v>
      </c>
      <c r="C744" s="6" t="s">
        <v>152</v>
      </c>
      <c r="D744" s="6" t="s">
        <v>153</v>
      </c>
      <c r="E744" s="6" t="s">
        <v>597</v>
      </c>
      <c r="F744" s="6" t="s">
        <v>1719</v>
      </c>
      <c r="G744" s="6">
        <v>45.33</v>
      </c>
      <c r="H744" s="6">
        <v>45.45</v>
      </c>
      <c r="I744" s="6">
        <v>99</v>
      </c>
      <c r="J744" s="6">
        <v>2025</v>
      </c>
      <c r="K744" s="7">
        <f>(J744-M744)*税费参数!$B$12/(I744*10000*(1+SUM(税费参数!$B$6:$B$8)))</f>
        <v>0.0179947171472595</v>
      </c>
      <c r="L744" s="7">
        <f>J744*税费参数!$B$12/(I744*10000)</f>
        <v>0.0204545454545455</v>
      </c>
      <c r="M744" s="6">
        <f>I744*10000*SUM(税费参数!$B$9:$B$10)/税费参数!$B$11</f>
        <v>185.625</v>
      </c>
    </row>
    <row r="745" ht="21" customHeight="1" spans="1:13">
      <c r="A745" s="5" t="s">
        <v>15</v>
      </c>
      <c r="B745" s="6" t="s">
        <v>66</v>
      </c>
      <c r="C745" s="6" t="s">
        <v>152</v>
      </c>
      <c r="D745" s="6" t="s">
        <v>153</v>
      </c>
      <c r="E745" s="6" t="s">
        <v>597</v>
      </c>
      <c r="F745" s="6" t="s">
        <v>1720</v>
      </c>
      <c r="G745" s="6">
        <v>45.33</v>
      </c>
      <c r="H745" s="6">
        <v>45.33</v>
      </c>
      <c r="I745" s="6">
        <v>99</v>
      </c>
      <c r="J745" s="6">
        <v>2200</v>
      </c>
      <c r="K745" s="7">
        <f>(J745-M745)*税费参数!$B$12/(I745*10000*(1+SUM(税费参数!$B$6:$B$8)))</f>
        <v>0.0197067527576002</v>
      </c>
      <c r="L745" s="7">
        <f>J745*税费参数!$B$12/(I745*10000)</f>
        <v>0.0222222222222222</v>
      </c>
      <c r="M745" s="6">
        <f>I745*10000*SUM(税费参数!$B$9:$B$10)/税费参数!$B$11</f>
        <v>185.625</v>
      </c>
    </row>
    <row r="746" ht="21" customHeight="1" spans="1:13">
      <c r="A746" s="5" t="s">
        <v>15</v>
      </c>
      <c r="B746" s="6" t="s">
        <v>66</v>
      </c>
      <c r="C746" s="6" t="s">
        <v>152</v>
      </c>
      <c r="D746" s="6" t="s">
        <v>153</v>
      </c>
      <c r="E746" s="6" t="s">
        <v>597</v>
      </c>
      <c r="F746" s="6" t="s">
        <v>1721</v>
      </c>
      <c r="G746" s="6">
        <v>45.33</v>
      </c>
      <c r="H746" s="6">
        <v>45.47</v>
      </c>
      <c r="I746" s="6">
        <v>99</v>
      </c>
      <c r="J746" s="6">
        <v>2000</v>
      </c>
      <c r="K746" s="7">
        <f>(J746-M746)*税费参数!$B$12/(I746*10000*(1+SUM(税费参数!$B$6:$B$8)))</f>
        <v>0.0177501406314966</v>
      </c>
      <c r="L746" s="7">
        <f>J746*税费参数!$B$12/(I746*10000)</f>
        <v>0.0202020202020202</v>
      </c>
      <c r="M746" s="6">
        <f>I746*10000*SUM(税费参数!$B$9:$B$10)/税费参数!$B$11</f>
        <v>185.625</v>
      </c>
    </row>
    <row r="747" ht="21" customHeight="1" spans="1:13">
      <c r="A747" s="5" t="s">
        <v>15</v>
      </c>
      <c r="B747" s="6" t="s">
        <v>66</v>
      </c>
      <c r="C747" s="6" t="s">
        <v>152</v>
      </c>
      <c r="D747" s="6" t="s">
        <v>153</v>
      </c>
      <c r="E747" s="6" t="s">
        <v>597</v>
      </c>
      <c r="F747" s="6" t="s">
        <v>1722</v>
      </c>
      <c r="G747" s="6">
        <v>45.33</v>
      </c>
      <c r="H747" s="6">
        <v>45.47</v>
      </c>
      <c r="I747" s="6">
        <v>99</v>
      </c>
      <c r="J747" s="6">
        <v>2000</v>
      </c>
      <c r="K747" s="7">
        <f>(J747-M747)*税费参数!$B$12/(I747*10000*(1+SUM(税费参数!$B$6:$B$8)))</f>
        <v>0.0177501406314966</v>
      </c>
      <c r="L747" s="7">
        <f>J747*税费参数!$B$12/(I747*10000)</f>
        <v>0.0202020202020202</v>
      </c>
      <c r="M747" s="6">
        <f>I747*10000*SUM(税费参数!$B$9:$B$10)/税费参数!$B$11</f>
        <v>185.625</v>
      </c>
    </row>
    <row r="748" ht="21" customHeight="1" spans="1:13">
      <c r="A748" s="5" t="s">
        <v>15</v>
      </c>
      <c r="B748" s="6" t="s">
        <v>66</v>
      </c>
      <c r="C748" s="6" t="s">
        <v>152</v>
      </c>
      <c r="D748" s="6" t="s">
        <v>153</v>
      </c>
      <c r="E748" s="6" t="s">
        <v>597</v>
      </c>
      <c r="F748" s="6" t="s">
        <v>1723</v>
      </c>
      <c r="G748" s="6">
        <v>45.33</v>
      </c>
      <c r="H748" s="6">
        <v>50.1</v>
      </c>
      <c r="I748" s="6">
        <v>99</v>
      </c>
      <c r="J748" s="6">
        <v>2250</v>
      </c>
      <c r="K748" s="7">
        <f>(J748-M748)*税费参数!$B$12/(I748*10000*(1+SUM(税费参数!$B$6:$B$8)))</f>
        <v>0.0201959057891261</v>
      </c>
      <c r="L748" s="7">
        <f>J748*税费参数!$B$12/(I748*10000)</f>
        <v>0.0227272727272727</v>
      </c>
      <c r="M748" s="6">
        <f>I748*10000*SUM(税费参数!$B$9:$B$10)/税费参数!$B$11</f>
        <v>185.625</v>
      </c>
    </row>
    <row r="749" ht="21" customHeight="1" spans="1:13">
      <c r="A749" s="5" t="s">
        <v>15</v>
      </c>
      <c r="B749" s="6" t="s">
        <v>66</v>
      </c>
      <c r="C749" s="6" t="s">
        <v>152</v>
      </c>
      <c r="D749" s="6" t="s">
        <v>153</v>
      </c>
      <c r="E749" s="6" t="s">
        <v>597</v>
      </c>
      <c r="F749" s="6" t="s">
        <v>1724</v>
      </c>
      <c r="G749" s="6">
        <v>45.33</v>
      </c>
      <c r="H749" s="6">
        <v>45</v>
      </c>
      <c r="I749" s="6">
        <v>99</v>
      </c>
      <c r="J749" s="6">
        <v>2100</v>
      </c>
      <c r="K749" s="7">
        <f>(J749-M749)*税费参数!$B$12/(I749*10000*(1+SUM(税费参数!$B$6:$B$8)))</f>
        <v>0.0187284466945484</v>
      </c>
      <c r="L749" s="7">
        <f>J749*税费参数!$B$12/(I749*10000)</f>
        <v>0.0212121212121212</v>
      </c>
      <c r="M749" s="6">
        <f>I749*10000*SUM(税费参数!$B$9:$B$10)/税费参数!$B$11</f>
        <v>185.625</v>
      </c>
    </row>
    <row r="750" ht="21" customHeight="1" spans="1:13">
      <c r="A750" s="5" t="s">
        <v>15</v>
      </c>
      <c r="B750" s="6" t="s">
        <v>66</v>
      </c>
      <c r="C750" s="6" t="s">
        <v>152</v>
      </c>
      <c r="D750" s="6" t="s">
        <v>153</v>
      </c>
      <c r="E750" s="6" t="s">
        <v>597</v>
      </c>
      <c r="F750" s="6" t="s">
        <v>1725</v>
      </c>
      <c r="G750" s="6">
        <v>45.33</v>
      </c>
      <c r="H750" s="6">
        <v>45.66</v>
      </c>
      <c r="I750" s="6">
        <v>99</v>
      </c>
      <c r="J750" s="6">
        <v>1900</v>
      </c>
      <c r="K750" s="7">
        <f>(J750-M750)*税费参数!$B$12/(I750*10000*(1+SUM(税费参数!$B$6:$B$8)))</f>
        <v>0.0167718345684447</v>
      </c>
      <c r="L750" s="7">
        <f>J750*税费参数!$B$12/(I750*10000)</f>
        <v>0.0191919191919192</v>
      </c>
      <c r="M750" s="6">
        <f>I750*10000*SUM(税费参数!$B$9:$B$10)/税费参数!$B$11</f>
        <v>185.625</v>
      </c>
    </row>
    <row r="751" ht="21" customHeight="1" spans="1:13">
      <c r="A751" s="5" t="s">
        <v>15</v>
      </c>
      <c r="B751" s="6" t="s">
        <v>66</v>
      </c>
      <c r="C751" s="6" t="s">
        <v>152</v>
      </c>
      <c r="D751" s="6" t="s">
        <v>153</v>
      </c>
      <c r="E751" s="6" t="s">
        <v>597</v>
      </c>
      <c r="F751" s="6" t="s">
        <v>1726</v>
      </c>
      <c r="G751" s="6">
        <v>45.33</v>
      </c>
      <c r="H751" s="6">
        <v>46.66</v>
      </c>
      <c r="I751" s="6">
        <v>99</v>
      </c>
      <c r="J751" s="6">
        <v>2100</v>
      </c>
      <c r="K751" s="7">
        <f>(J751-M751)*税费参数!$B$12/(I751*10000*(1+SUM(税费参数!$B$6:$B$8)))</f>
        <v>0.0187284466945484</v>
      </c>
      <c r="L751" s="7">
        <f>J751*税费参数!$B$12/(I751*10000)</f>
        <v>0.0212121212121212</v>
      </c>
      <c r="M751" s="6">
        <f>I751*10000*SUM(税费参数!$B$9:$B$10)/税费参数!$B$11</f>
        <v>185.625</v>
      </c>
    </row>
    <row r="752" ht="21" customHeight="1" spans="1:13">
      <c r="A752" s="5" t="s">
        <v>15</v>
      </c>
      <c r="B752" s="6" t="s">
        <v>66</v>
      </c>
      <c r="C752" s="6" t="s">
        <v>152</v>
      </c>
      <c r="D752" s="6" t="s">
        <v>153</v>
      </c>
      <c r="E752" s="6" t="s">
        <v>597</v>
      </c>
      <c r="F752" s="6" t="s">
        <v>1727</v>
      </c>
      <c r="G752" s="6">
        <v>45.33</v>
      </c>
      <c r="H752" s="6">
        <v>45.46</v>
      </c>
      <c r="I752" s="6">
        <v>99</v>
      </c>
      <c r="J752" s="6">
        <v>1900</v>
      </c>
      <c r="K752" s="7">
        <f>(J752-M752)*税费参数!$B$12/(I752*10000*(1+SUM(税费参数!$B$6:$B$8)))</f>
        <v>0.0167718345684447</v>
      </c>
      <c r="L752" s="7">
        <f>J752*税费参数!$B$12/(I752*10000)</f>
        <v>0.0191919191919192</v>
      </c>
      <c r="M752" s="6">
        <f>I752*10000*SUM(税费参数!$B$9:$B$10)/税费参数!$B$11</f>
        <v>185.625</v>
      </c>
    </row>
    <row r="753" ht="21" customHeight="1" spans="1:13">
      <c r="A753" s="5" t="s">
        <v>15</v>
      </c>
      <c r="B753" s="6" t="s">
        <v>66</v>
      </c>
      <c r="C753" s="6" t="s">
        <v>152</v>
      </c>
      <c r="D753" s="6" t="s">
        <v>153</v>
      </c>
      <c r="E753" s="6" t="s">
        <v>597</v>
      </c>
      <c r="F753" s="6" t="s">
        <v>1728</v>
      </c>
      <c r="G753" s="6">
        <v>45.33</v>
      </c>
      <c r="H753" s="6">
        <v>45.45</v>
      </c>
      <c r="I753" s="6">
        <v>99</v>
      </c>
      <c r="J753" s="6">
        <v>2000</v>
      </c>
      <c r="K753" s="7">
        <f>(J753-M753)*税费参数!$B$12/(I753*10000*(1+SUM(税费参数!$B$6:$B$8)))</f>
        <v>0.0177501406314966</v>
      </c>
      <c r="L753" s="7">
        <f>J753*税费参数!$B$12/(I753*10000)</f>
        <v>0.0202020202020202</v>
      </c>
      <c r="M753" s="6">
        <f>I753*10000*SUM(税费参数!$B$9:$B$10)/税费参数!$B$11</f>
        <v>185.625</v>
      </c>
    </row>
    <row r="754" ht="21" customHeight="1" spans="1:13">
      <c r="A754" s="5" t="s">
        <v>15</v>
      </c>
      <c r="B754" s="6" t="s">
        <v>66</v>
      </c>
      <c r="C754" s="6" t="s">
        <v>152</v>
      </c>
      <c r="D754" s="6" t="s">
        <v>153</v>
      </c>
      <c r="E754" s="6" t="s">
        <v>597</v>
      </c>
      <c r="F754" s="6" t="s">
        <v>1729</v>
      </c>
      <c r="G754" s="6">
        <v>45.33</v>
      </c>
      <c r="H754" s="6">
        <v>45.26</v>
      </c>
      <c r="I754" s="6">
        <v>99</v>
      </c>
      <c r="J754" s="6">
        <v>2001</v>
      </c>
      <c r="K754" s="7">
        <f>(J754-M754)*税费参数!$B$12/(I754*10000*(1+SUM(税费参数!$B$6:$B$8)))</f>
        <v>0.0177599236921271</v>
      </c>
      <c r="L754" s="7">
        <f>J754*税费参数!$B$12/(I754*10000)</f>
        <v>0.0202121212121212</v>
      </c>
      <c r="M754" s="6">
        <f>I754*10000*SUM(税费参数!$B$9:$B$10)/税费参数!$B$11</f>
        <v>185.625</v>
      </c>
    </row>
    <row r="755" ht="21" customHeight="1" spans="1:13">
      <c r="A755" s="5" t="s">
        <v>15</v>
      </c>
      <c r="B755" s="6" t="s">
        <v>66</v>
      </c>
      <c r="C755" s="6" t="s">
        <v>152</v>
      </c>
      <c r="D755" s="6" t="s">
        <v>153</v>
      </c>
      <c r="E755" s="6" t="s">
        <v>597</v>
      </c>
      <c r="F755" s="6" t="s">
        <v>1730</v>
      </c>
      <c r="G755" s="6">
        <v>45.33</v>
      </c>
      <c r="H755" s="6">
        <v>45.34</v>
      </c>
      <c r="I755" s="6">
        <v>99</v>
      </c>
      <c r="J755" s="6">
        <v>2000</v>
      </c>
      <c r="K755" s="7">
        <f>(J755-M755)*税费参数!$B$12/(I755*10000*(1+SUM(税费参数!$B$6:$B$8)))</f>
        <v>0.0177501406314966</v>
      </c>
      <c r="L755" s="7">
        <f>J755*税费参数!$B$12/(I755*10000)</f>
        <v>0.0202020202020202</v>
      </c>
      <c r="M755" s="6">
        <f>I755*10000*SUM(税费参数!$B$9:$B$10)/税费参数!$B$11</f>
        <v>185.625</v>
      </c>
    </row>
    <row r="756" ht="21" customHeight="1" spans="1:13">
      <c r="A756" s="5" t="s">
        <v>15</v>
      </c>
      <c r="B756" s="6" t="s">
        <v>66</v>
      </c>
      <c r="C756" s="6" t="s">
        <v>152</v>
      </c>
      <c r="D756" s="6" t="s">
        <v>153</v>
      </c>
      <c r="E756" s="6" t="s">
        <v>597</v>
      </c>
      <c r="F756" s="6" t="s">
        <v>1731</v>
      </c>
      <c r="G756" s="6">
        <v>45.33</v>
      </c>
      <c r="H756" s="6">
        <v>45.45</v>
      </c>
      <c r="I756" s="6">
        <v>99</v>
      </c>
      <c r="J756" s="6">
        <v>2400</v>
      </c>
      <c r="K756" s="7">
        <f>(J756-M756)*税费参数!$B$12/(I756*10000*(1+SUM(税费参数!$B$6:$B$8)))</f>
        <v>0.0216633648837039</v>
      </c>
      <c r="L756" s="7">
        <f>J756*税费参数!$B$12/(I756*10000)</f>
        <v>0.0242424242424242</v>
      </c>
      <c r="M756" s="6">
        <f>I756*10000*SUM(税费参数!$B$9:$B$10)/税费参数!$B$11</f>
        <v>185.625</v>
      </c>
    </row>
    <row r="757" ht="21" customHeight="1" spans="1:13">
      <c r="A757" s="5" t="s">
        <v>15</v>
      </c>
      <c r="B757" s="6" t="s">
        <v>66</v>
      </c>
      <c r="C757" s="6" t="s">
        <v>152</v>
      </c>
      <c r="D757" s="6" t="s">
        <v>153</v>
      </c>
      <c r="E757" s="6" t="s">
        <v>611</v>
      </c>
      <c r="F757" s="6" t="s">
        <v>1717</v>
      </c>
      <c r="G757" s="6">
        <v>47.47</v>
      </c>
      <c r="H757" s="6">
        <v>46.92</v>
      </c>
      <c r="I757" s="6">
        <v>95</v>
      </c>
      <c r="J757" s="6">
        <v>2300</v>
      </c>
      <c r="K757" s="7">
        <f>(J757-M757)*税费参数!$B$12/(I757*10000*(1+SUM(税费参数!$B$6:$B$8)))</f>
        <v>0.0216324710080285</v>
      </c>
      <c r="L757" s="7">
        <f>J757*税费参数!$B$12/(I757*10000)</f>
        <v>0.0242105263157895</v>
      </c>
      <c r="M757" s="6">
        <f>I757*10000*SUM(税费参数!$B$9:$B$10)/税费参数!$B$11</f>
        <v>178.125</v>
      </c>
    </row>
    <row r="758" ht="21" customHeight="1" spans="1:13">
      <c r="A758" s="5" t="s">
        <v>15</v>
      </c>
      <c r="B758" s="6" t="s">
        <v>66</v>
      </c>
      <c r="C758" s="6" t="s">
        <v>152</v>
      </c>
      <c r="D758" s="6" t="s">
        <v>153</v>
      </c>
      <c r="E758" s="6" t="s">
        <v>611</v>
      </c>
      <c r="F758" s="6" t="s">
        <v>1718</v>
      </c>
      <c r="G758" s="6">
        <v>47.47</v>
      </c>
      <c r="H758" s="6">
        <v>47.47</v>
      </c>
      <c r="I758" s="6">
        <v>95</v>
      </c>
      <c r="J758" s="6">
        <v>2200</v>
      </c>
      <c r="K758" s="7">
        <f>(J758-M758)*税费参数!$B$12/(I758*10000*(1+SUM(税费参数!$B$6:$B$8)))</f>
        <v>0.020612973110743</v>
      </c>
      <c r="L758" s="7">
        <f>J758*税费参数!$B$12/(I758*10000)</f>
        <v>0.0231578947368421</v>
      </c>
      <c r="M758" s="6">
        <f>I758*10000*SUM(税费参数!$B$9:$B$10)/税费参数!$B$11</f>
        <v>178.125</v>
      </c>
    </row>
    <row r="759" ht="21" customHeight="1" spans="1:13">
      <c r="A759" s="5" t="s">
        <v>15</v>
      </c>
      <c r="B759" s="6" t="s">
        <v>66</v>
      </c>
      <c r="C759" s="6" t="s">
        <v>152</v>
      </c>
      <c r="D759" s="6" t="s">
        <v>153</v>
      </c>
      <c r="E759" s="6" t="s">
        <v>611</v>
      </c>
      <c r="F759" s="6" t="s">
        <v>1719</v>
      </c>
      <c r="G759" s="6">
        <v>47.47</v>
      </c>
      <c r="H759" s="6">
        <v>45.45</v>
      </c>
      <c r="I759" s="6">
        <v>95</v>
      </c>
      <c r="J759" s="6">
        <v>2025</v>
      </c>
      <c r="K759" s="7">
        <f>(J759-M759)*税费参数!$B$12/(I759*10000*(1+SUM(税费参数!$B$6:$B$8)))</f>
        <v>0.0188288517904932</v>
      </c>
      <c r="L759" s="7">
        <f>J759*税费参数!$B$12/(I759*10000)</f>
        <v>0.0213157894736842</v>
      </c>
      <c r="M759" s="6">
        <f>I759*10000*SUM(税费参数!$B$9:$B$10)/税费参数!$B$11</f>
        <v>178.125</v>
      </c>
    </row>
    <row r="760" ht="21" customHeight="1" spans="1:13">
      <c r="A760" s="5" t="s">
        <v>15</v>
      </c>
      <c r="B760" s="6" t="s">
        <v>66</v>
      </c>
      <c r="C760" s="6" t="s">
        <v>152</v>
      </c>
      <c r="D760" s="6" t="s">
        <v>153</v>
      </c>
      <c r="E760" s="6" t="s">
        <v>611</v>
      </c>
      <c r="F760" s="6" t="s">
        <v>1720</v>
      </c>
      <c r="G760" s="6">
        <v>47.47</v>
      </c>
      <c r="H760" s="6">
        <v>45.33</v>
      </c>
      <c r="I760" s="6">
        <v>95</v>
      </c>
      <c r="J760" s="6">
        <v>2200</v>
      </c>
      <c r="K760" s="7">
        <f>(J760-M760)*税费参数!$B$12/(I760*10000*(1+SUM(税费参数!$B$6:$B$8)))</f>
        <v>0.020612973110743</v>
      </c>
      <c r="L760" s="7">
        <f>J760*税费参数!$B$12/(I760*10000)</f>
        <v>0.0231578947368421</v>
      </c>
      <c r="M760" s="6">
        <f>I760*10000*SUM(税费参数!$B$9:$B$10)/税费参数!$B$11</f>
        <v>178.125</v>
      </c>
    </row>
    <row r="761" ht="21" customHeight="1" spans="1:13">
      <c r="A761" s="5" t="s">
        <v>15</v>
      </c>
      <c r="B761" s="6" t="s">
        <v>66</v>
      </c>
      <c r="C761" s="6" t="s">
        <v>152</v>
      </c>
      <c r="D761" s="6" t="s">
        <v>153</v>
      </c>
      <c r="E761" s="6" t="s">
        <v>611</v>
      </c>
      <c r="F761" s="6" t="s">
        <v>1721</v>
      </c>
      <c r="G761" s="6">
        <v>47.47</v>
      </c>
      <c r="H761" s="6">
        <v>45.47</v>
      </c>
      <c r="I761" s="6">
        <v>95</v>
      </c>
      <c r="J761" s="6">
        <v>2000</v>
      </c>
      <c r="K761" s="7">
        <f>(J761-M761)*税费参数!$B$12/(I761*10000*(1+SUM(税费参数!$B$6:$B$8)))</f>
        <v>0.0185739773161718</v>
      </c>
      <c r="L761" s="7">
        <f>J761*税费参数!$B$12/(I761*10000)</f>
        <v>0.0210526315789474</v>
      </c>
      <c r="M761" s="6">
        <f>I761*10000*SUM(税费参数!$B$9:$B$10)/税费参数!$B$11</f>
        <v>178.125</v>
      </c>
    </row>
    <row r="762" ht="21" customHeight="1" spans="1:13">
      <c r="A762" s="5" t="s">
        <v>15</v>
      </c>
      <c r="B762" s="6" t="s">
        <v>66</v>
      </c>
      <c r="C762" s="6" t="s">
        <v>152</v>
      </c>
      <c r="D762" s="6" t="s">
        <v>153</v>
      </c>
      <c r="E762" s="6" t="s">
        <v>611</v>
      </c>
      <c r="F762" s="6" t="s">
        <v>1722</v>
      </c>
      <c r="G762" s="6">
        <v>47.47</v>
      </c>
      <c r="H762" s="6">
        <v>45.47</v>
      </c>
      <c r="I762" s="6">
        <v>95</v>
      </c>
      <c r="J762" s="6">
        <v>2000</v>
      </c>
      <c r="K762" s="7">
        <f>(J762-M762)*税费参数!$B$12/(I762*10000*(1+SUM(税费参数!$B$6:$B$8)))</f>
        <v>0.0185739773161718</v>
      </c>
      <c r="L762" s="7">
        <f>J762*税费参数!$B$12/(I762*10000)</f>
        <v>0.0210526315789474</v>
      </c>
      <c r="M762" s="6">
        <f>I762*10000*SUM(税费参数!$B$9:$B$10)/税费参数!$B$11</f>
        <v>178.125</v>
      </c>
    </row>
    <row r="763" ht="21" customHeight="1" spans="1:13">
      <c r="A763" s="5" t="s">
        <v>15</v>
      </c>
      <c r="B763" s="6" t="s">
        <v>66</v>
      </c>
      <c r="C763" s="6" t="s">
        <v>152</v>
      </c>
      <c r="D763" s="6" t="s">
        <v>153</v>
      </c>
      <c r="E763" s="6" t="s">
        <v>611</v>
      </c>
      <c r="F763" s="6" t="s">
        <v>1723</v>
      </c>
      <c r="G763" s="6">
        <v>47.47</v>
      </c>
      <c r="H763" s="6">
        <v>50.1</v>
      </c>
      <c r="I763" s="6">
        <v>95</v>
      </c>
      <c r="J763" s="6">
        <v>2250</v>
      </c>
      <c r="K763" s="7">
        <f>(J763-M763)*税费参数!$B$12/(I763*10000*(1+SUM(税费参数!$B$6:$B$8)))</f>
        <v>0.0211227220593858</v>
      </c>
      <c r="L763" s="7">
        <f>J763*税费参数!$B$12/(I763*10000)</f>
        <v>0.0236842105263158</v>
      </c>
      <c r="M763" s="6">
        <f>I763*10000*SUM(税费参数!$B$9:$B$10)/税费参数!$B$11</f>
        <v>178.125</v>
      </c>
    </row>
    <row r="764" ht="21" customHeight="1" spans="1:13">
      <c r="A764" s="5" t="s">
        <v>15</v>
      </c>
      <c r="B764" s="6" t="s">
        <v>66</v>
      </c>
      <c r="C764" s="6" t="s">
        <v>152</v>
      </c>
      <c r="D764" s="6" t="s">
        <v>153</v>
      </c>
      <c r="E764" s="6" t="s">
        <v>611</v>
      </c>
      <c r="F764" s="6" t="s">
        <v>1724</v>
      </c>
      <c r="G764" s="6">
        <v>47.47</v>
      </c>
      <c r="H764" s="6">
        <v>45</v>
      </c>
      <c r="I764" s="6">
        <v>95</v>
      </c>
      <c r="J764" s="6">
        <v>2100</v>
      </c>
      <c r="K764" s="7">
        <f>(J764-M764)*税费参数!$B$12/(I764*10000*(1+SUM(税费参数!$B$6:$B$8)))</f>
        <v>0.0195934752134574</v>
      </c>
      <c r="L764" s="7">
        <f>J764*税费参数!$B$12/(I764*10000)</f>
        <v>0.0221052631578947</v>
      </c>
      <c r="M764" s="6">
        <f>I764*10000*SUM(税费参数!$B$9:$B$10)/税费参数!$B$11</f>
        <v>178.125</v>
      </c>
    </row>
    <row r="765" ht="21" customHeight="1" spans="1:13">
      <c r="A765" s="5" t="s">
        <v>15</v>
      </c>
      <c r="B765" s="6" t="s">
        <v>66</v>
      </c>
      <c r="C765" s="6" t="s">
        <v>152</v>
      </c>
      <c r="D765" s="6" t="s">
        <v>153</v>
      </c>
      <c r="E765" s="6" t="s">
        <v>611</v>
      </c>
      <c r="F765" s="6" t="s">
        <v>1725</v>
      </c>
      <c r="G765" s="6">
        <v>47.47</v>
      </c>
      <c r="H765" s="6">
        <v>45.66</v>
      </c>
      <c r="I765" s="6">
        <v>95</v>
      </c>
      <c r="J765" s="6">
        <v>1900</v>
      </c>
      <c r="K765" s="7">
        <f>(J765-M765)*税费参数!$B$12/(I765*10000*(1+SUM(税费参数!$B$6:$B$8)))</f>
        <v>0.0175544794188862</v>
      </c>
      <c r="L765" s="7">
        <f>J765*税费参数!$B$12/(I765*10000)</f>
        <v>0.02</v>
      </c>
      <c r="M765" s="6">
        <f>I765*10000*SUM(税费参数!$B$9:$B$10)/税费参数!$B$11</f>
        <v>178.125</v>
      </c>
    </row>
    <row r="766" ht="21" customHeight="1" spans="1:13">
      <c r="A766" s="5" t="s">
        <v>15</v>
      </c>
      <c r="B766" s="6" t="s">
        <v>66</v>
      </c>
      <c r="C766" s="6" t="s">
        <v>152</v>
      </c>
      <c r="D766" s="6" t="s">
        <v>153</v>
      </c>
      <c r="E766" s="6" t="s">
        <v>611</v>
      </c>
      <c r="F766" s="6" t="s">
        <v>1726</v>
      </c>
      <c r="G766" s="6">
        <v>47.47</v>
      </c>
      <c r="H766" s="6">
        <v>46.66</v>
      </c>
      <c r="I766" s="6">
        <v>95</v>
      </c>
      <c r="J766" s="6">
        <v>2100</v>
      </c>
      <c r="K766" s="7">
        <f>(J766-M766)*税费参数!$B$12/(I766*10000*(1+SUM(税费参数!$B$6:$B$8)))</f>
        <v>0.0195934752134574</v>
      </c>
      <c r="L766" s="7">
        <f>J766*税费参数!$B$12/(I766*10000)</f>
        <v>0.0221052631578947</v>
      </c>
      <c r="M766" s="6">
        <f>I766*10000*SUM(税费参数!$B$9:$B$10)/税费参数!$B$11</f>
        <v>178.125</v>
      </c>
    </row>
    <row r="767" ht="21" customHeight="1" spans="1:13">
      <c r="A767" s="5" t="s">
        <v>15</v>
      </c>
      <c r="B767" s="6" t="s">
        <v>66</v>
      </c>
      <c r="C767" s="6" t="s">
        <v>152</v>
      </c>
      <c r="D767" s="6" t="s">
        <v>153</v>
      </c>
      <c r="E767" s="6" t="s">
        <v>611</v>
      </c>
      <c r="F767" s="6" t="s">
        <v>1727</v>
      </c>
      <c r="G767" s="6">
        <v>47.47</v>
      </c>
      <c r="H767" s="6">
        <v>45.46</v>
      </c>
      <c r="I767" s="6">
        <v>95</v>
      </c>
      <c r="J767" s="6">
        <v>1900</v>
      </c>
      <c r="K767" s="7">
        <f>(J767-M767)*税费参数!$B$12/(I767*10000*(1+SUM(税费参数!$B$6:$B$8)))</f>
        <v>0.0175544794188862</v>
      </c>
      <c r="L767" s="7">
        <f>J767*税费参数!$B$12/(I767*10000)</f>
        <v>0.02</v>
      </c>
      <c r="M767" s="6">
        <f>I767*10000*SUM(税费参数!$B$9:$B$10)/税费参数!$B$11</f>
        <v>178.125</v>
      </c>
    </row>
    <row r="768" ht="21" customHeight="1" spans="1:13">
      <c r="A768" s="5" t="s">
        <v>15</v>
      </c>
      <c r="B768" s="6" t="s">
        <v>66</v>
      </c>
      <c r="C768" s="6" t="s">
        <v>152</v>
      </c>
      <c r="D768" s="6" t="s">
        <v>153</v>
      </c>
      <c r="E768" s="6" t="s">
        <v>611</v>
      </c>
      <c r="F768" s="6" t="s">
        <v>1728</v>
      </c>
      <c r="G768" s="6">
        <v>47.47</v>
      </c>
      <c r="H768" s="6">
        <v>45.45</v>
      </c>
      <c r="I768" s="6">
        <v>95</v>
      </c>
      <c r="J768" s="6">
        <v>2000</v>
      </c>
      <c r="K768" s="7">
        <f>(J768-M768)*税费参数!$B$12/(I768*10000*(1+SUM(税费参数!$B$6:$B$8)))</f>
        <v>0.0185739773161718</v>
      </c>
      <c r="L768" s="7">
        <f>J768*税费参数!$B$12/(I768*10000)</f>
        <v>0.0210526315789474</v>
      </c>
      <c r="M768" s="6">
        <f>I768*10000*SUM(税费参数!$B$9:$B$10)/税费参数!$B$11</f>
        <v>178.125</v>
      </c>
    </row>
    <row r="769" ht="21" customHeight="1" spans="1:13">
      <c r="A769" s="5" t="s">
        <v>15</v>
      </c>
      <c r="B769" s="6" t="s">
        <v>66</v>
      </c>
      <c r="C769" s="6" t="s">
        <v>152</v>
      </c>
      <c r="D769" s="6" t="s">
        <v>153</v>
      </c>
      <c r="E769" s="6" t="s">
        <v>611</v>
      </c>
      <c r="F769" s="6" t="s">
        <v>1729</v>
      </c>
      <c r="G769" s="6">
        <v>47.47</v>
      </c>
      <c r="H769" s="6">
        <v>45.26</v>
      </c>
      <c r="I769" s="6">
        <v>95</v>
      </c>
      <c r="J769" s="6">
        <v>2001</v>
      </c>
      <c r="K769" s="7">
        <f>(J769-M769)*税费参数!$B$12/(I769*10000*(1+SUM(税费参数!$B$6:$B$8)))</f>
        <v>0.0185841722951446</v>
      </c>
      <c r="L769" s="7">
        <f>J769*税费参数!$B$12/(I769*10000)</f>
        <v>0.0210631578947368</v>
      </c>
      <c r="M769" s="6">
        <f>I769*10000*SUM(税费参数!$B$9:$B$10)/税费参数!$B$11</f>
        <v>178.125</v>
      </c>
    </row>
    <row r="770" ht="21" customHeight="1" spans="1:13">
      <c r="A770" s="5" t="s">
        <v>15</v>
      </c>
      <c r="B770" s="6" t="s">
        <v>66</v>
      </c>
      <c r="C770" s="6" t="s">
        <v>152</v>
      </c>
      <c r="D770" s="6" t="s">
        <v>153</v>
      </c>
      <c r="E770" s="6" t="s">
        <v>611</v>
      </c>
      <c r="F770" s="6" t="s">
        <v>1730</v>
      </c>
      <c r="G770" s="6">
        <v>47.47</v>
      </c>
      <c r="H770" s="6">
        <v>45.34</v>
      </c>
      <c r="I770" s="6">
        <v>95</v>
      </c>
      <c r="J770" s="6">
        <v>2000</v>
      </c>
      <c r="K770" s="7">
        <f>(J770-M770)*税费参数!$B$12/(I770*10000*(1+SUM(税费参数!$B$6:$B$8)))</f>
        <v>0.0185739773161718</v>
      </c>
      <c r="L770" s="7">
        <f>J770*税费参数!$B$12/(I770*10000)</f>
        <v>0.0210526315789474</v>
      </c>
      <c r="M770" s="6">
        <f>I770*10000*SUM(税费参数!$B$9:$B$10)/税费参数!$B$11</f>
        <v>178.125</v>
      </c>
    </row>
    <row r="771" ht="21" customHeight="1" spans="1:13">
      <c r="A771" s="5" t="s">
        <v>15</v>
      </c>
      <c r="B771" s="6" t="s">
        <v>66</v>
      </c>
      <c r="C771" s="6" t="s">
        <v>152</v>
      </c>
      <c r="D771" s="6" t="s">
        <v>153</v>
      </c>
      <c r="E771" s="6" t="s">
        <v>611</v>
      </c>
      <c r="F771" s="6" t="s">
        <v>1731</v>
      </c>
      <c r="G771" s="6">
        <v>47.47</v>
      </c>
      <c r="H771" s="6">
        <v>45.45</v>
      </c>
      <c r="I771" s="6">
        <v>95</v>
      </c>
      <c r="J771" s="6">
        <v>2400</v>
      </c>
      <c r="K771" s="7">
        <f>(J771-M771)*税费参数!$B$12/(I771*10000*(1+SUM(税费参数!$B$6:$B$8)))</f>
        <v>0.0226519689053141</v>
      </c>
      <c r="L771" s="7">
        <f>J771*税费参数!$B$12/(I771*10000)</f>
        <v>0.0252631578947368</v>
      </c>
      <c r="M771" s="6">
        <f>I771*10000*SUM(税费参数!$B$9:$B$10)/税费参数!$B$11</f>
        <v>178.125</v>
      </c>
    </row>
    <row r="772" ht="21" customHeight="1" spans="1:13">
      <c r="A772" s="5" t="s">
        <v>15</v>
      </c>
      <c r="B772" s="6" t="s">
        <v>66</v>
      </c>
      <c r="C772" s="6" t="s">
        <v>152</v>
      </c>
      <c r="D772" s="6" t="s">
        <v>153</v>
      </c>
      <c r="E772" s="6" t="s">
        <v>621</v>
      </c>
      <c r="F772" s="6" t="s">
        <v>1717</v>
      </c>
      <c r="G772" s="6">
        <v>45.47</v>
      </c>
      <c r="H772" s="6">
        <v>46.92</v>
      </c>
      <c r="I772" s="6">
        <v>86</v>
      </c>
      <c r="J772" s="6">
        <v>2300</v>
      </c>
      <c r="K772" s="7">
        <f>(J772-M772)*税费参数!$B$12/(I772*10000*(1+SUM(税费参数!$B$6:$B$8)))</f>
        <v>0.0240863787375415</v>
      </c>
      <c r="L772" s="7">
        <f>J772*税费参数!$B$12/(I772*10000)</f>
        <v>0.0267441860465116</v>
      </c>
      <c r="M772" s="6">
        <f>I772*10000*SUM(税费参数!$B$9:$B$10)/税费参数!$B$11</f>
        <v>161.25</v>
      </c>
    </row>
    <row r="773" ht="21" customHeight="1" spans="1:13">
      <c r="A773" s="5" t="s">
        <v>15</v>
      </c>
      <c r="B773" s="6" t="s">
        <v>66</v>
      </c>
      <c r="C773" s="6" t="s">
        <v>152</v>
      </c>
      <c r="D773" s="6" t="s">
        <v>153</v>
      </c>
      <c r="E773" s="6" t="s">
        <v>621</v>
      </c>
      <c r="F773" s="6" t="s">
        <v>1718</v>
      </c>
      <c r="G773" s="6">
        <v>45.47</v>
      </c>
      <c r="H773" s="6">
        <v>47.47</v>
      </c>
      <c r="I773" s="6">
        <v>86</v>
      </c>
      <c r="J773" s="6">
        <v>2200</v>
      </c>
      <c r="K773" s="7">
        <f>(J773-M773)*税费参数!$B$12/(I773*10000*(1+SUM(税费参数!$B$6:$B$8)))</f>
        <v>0.0229601891998423</v>
      </c>
      <c r="L773" s="7">
        <f>J773*税费参数!$B$12/(I773*10000)</f>
        <v>0.0255813953488372</v>
      </c>
      <c r="M773" s="6">
        <f>I773*10000*SUM(税费参数!$B$9:$B$10)/税费参数!$B$11</f>
        <v>161.25</v>
      </c>
    </row>
    <row r="774" ht="21" customHeight="1" spans="1:13">
      <c r="A774" s="5" t="s">
        <v>15</v>
      </c>
      <c r="B774" s="6" t="s">
        <v>66</v>
      </c>
      <c r="C774" s="6" t="s">
        <v>152</v>
      </c>
      <c r="D774" s="6" t="s">
        <v>153</v>
      </c>
      <c r="E774" s="6" t="s">
        <v>621</v>
      </c>
      <c r="F774" s="6" t="s">
        <v>1719</v>
      </c>
      <c r="G774" s="6">
        <v>45.47</v>
      </c>
      <c r="H774" s="6">
        <v>45.45</v>
      </c>
      <c r="I774" s="6">
        <v>86</v>
      </c>
      <c r="J774" s="6">
        <v>2025</v>
      </c>
      <c r="K774" s="7">
        <f>(J774-M774)*税费参数!$B$12/(I774*10000*(1+SUM(税费参数!$B$6:$B$8)))</f>
        <v>0.0209893575088687</v>
      </c>
      <c r="L774" s="7">
        <f>J774*税费参数!$B$12/(I774*10000)</f>
        <v>0.023546511627907</v>
      </c>
      <c r="M774" s="6">
        <f>I774*10000*SUM(税费参数!$B$9:$B$10)/税费参数!$B$11</f>
        <v>161.25</v>
      </c>
    </row>
    <row r="775" ht="21" customHeight="1" spans="1:13">
      <c r="A775" s="5" t="s">
        <v>15</v>
      </c>
      <c r="B775" s="6" t="s">
        <v>66</v>
      </c>
      <c r="C775" s="6" t="s">
        <v>152</v>
      </c>
      <c r="D775" s="6" t="s">
        <v>153</v>
      </c>
      <c r="E775" s="6" t="s">
        <v>621</v>
      </c>
      <c r="F775" s="6" t="s">
        <v>1720</v>
      </c>
      <c r="G775" s="6">
        <v>45.47</v>
      </c>
      <c r="H775" s="6">
        <v>45.33</v>
      </c>
      <c r="I775" s="6">
        <v>86</v>
      </c>
      <c r="J775" s="6">
        <v>2200</v>
      </c>
      <c r="K775" s="7">
        <f>(J775-M775)*税费参数!$B$12/(I775*10000*(1+SUM(税费参数!$B$6:$B$8)))</f>
        <v>0.0229601891998423</v>
      </c>
      <c r="L775" s="7">
        <f>J775*税费参数!$B$12/(I775*10000)</f>
        <v>0.0255813953488372</v>
      </c>
      <c r="M775" s="6">
        <f>I775*10000*SUM(税费参数!$B$9:$B$10)/税费参数!$B$11</f>
        <v>161.25</v>
      </c>
    </row>
    <row r="776" ht="21" customHeight="1" spans="1:13">
      <c r="A776" s="5" t="s">
        <v>15</v>
      </c>
      <c r="B776" s="6" t="s">
        <v>66</v>
      </c>
      <c r="C776" s="6" t="s">
        <v>152</v>
      </c>
      <c r="D776" s="6" t="s">
        <v>153</v>
      </c>
      <c r="E776" s="6" t="s">
        <v>621</v>
      </c>
      <c r="F776" s="6" t="s">
        <v>1721</v>
      </c>
      <c r="G776" s="6">
        <v>45.47</v>
      </c>
      <c r="H776" s="6">
        <v>45.47</v>
      </c>
      <c r="I776" s="6">
        <v>86</v>
      </c>
      <c r="J776" s="6">
        <v>2000</v>
      </c>
      <c r="K776" s="7">
        <f>(J776-M776)*税费参数!$B$12/(I776*10000*(1+SUM(税费参数!$B$6:$B$8)))</f>
        <v>0.0207078101244439</v>
      </c>
      <c r="L776" s="7">
        <f>J776*税费参数!$B$12/(I776*10000)</f>
        <v>0.0232558139534884</v>
      </c>
      <c r="M776" s="6">
        <f>I776*10000*SUM(税费参数!$B$9:$B$10)/税费参数!$B$11</f>
        <v>161.25</v>
      </c>
    </row>
    <row r="777" ht="21" customHeight="1" spans="1:13">
      <c r="A777" s="5" t="s">
        <v>15</v>
      </c>
      <c r="B777" s="6" t="s">
        <v>66</v>
      </c>
      <c r="C777" s="6" t="s">
        <v>152</v>
      </c>
      <c r="D777" s="6" t="s">
        <v>153</v>
      </c>
      <c r="E777" s="6" t="s">
        <v>621</v>
      </c>
      <c r="F777" s="6" t="s">
        <v>1722</v>
      </c>
      <c r="G777" s="6">
        <v>45.47</v>
      </c>
      <c r="H777" s="6">
        <v>45.47</v>
      </c>
      <c r="I777" s="6">
        <v>86</v>
      </c>
      <c r="J777" s="6">
        <v>2000</v>
      </c>
      <c r="K777" s="7">
        <f>(J777-M777)*税费参数!$B$12/(I777*10000*(1+SUM(税费参数!$B$6:$B$8)))</f>
        <v>0.0207078101244439</v>
      </c>
      <c r="L777" s="7">
        <f>J777*税费参数!$B$12/(I777*10000)</f>
        <v>0.0232558139534884</v>
      </c>
      <c r="M777" s="6">
        <f>I777*10000*SUM(税费参数!$B$9:$B$10)/税费参数!$B$11</f>
        <v>161.25</v>
      </c>
    </row>
    <row r="778" ht="21" customHeight="1" spans="1:13">
      <c r="A778" s="5" t="s">
        <v>15</v>
      </c>
      <c r="B778" s="6" t="s">
        <v>66</v>
      </c>
      <c r="C778" s="6" t="s">
        <v>152</v>
      </c>
      <c r="D778" s="6" t="s">
        <v>153</v>
      </c>
      <c r="E778" s="6" t="s">
        <v>621</v>
      </c>
      <c r="F778" s="6" t="s">
        <v>1723</v>
      </c>
      <c r="G778" s="6">
        <v>45.47</v>
      </c>
      <c r="H778" s="6">
        <v>50.1</v>
      </c>
      <c r="I778" s="6">
        <v>86</v>
      </c>
      <c r="J778" s="6">
        <v>2250</v>
      </c>
      <c r="K778" s="7">
        <f>(J778-M778)*税费参数!$B$12/(I778*10000*(1+SUM(税费参数!$B$6:$B$8)))</f>
        <v>0.0235232839686919</v>
      </c>
      <c r="L778" s="7">
        <f>J778*税费参数!$B$12/(I778*10000)</f>
        <v>0.0261627906976744</v>
      </c>
      <c r="M778" s="6">
        <f>I778*10000*SUM(税费参数!$B$9:$B$10)/税费参数!$B$11</f>
        <v>161.25</v>
      </c>
    </row>
    <row r="779" ht="21" customHeight="1" spans="1:13">
      <c r="A779" s="5" t="s">
        <v>15</v>
      </c>
      <c r="B779" s="6" t="s">
        <v>66</v>
      </c>
      <c r="C779" s="6" t="s">
        <v>152</v>
      </c>
      <c r="D779" s="6" t="s">
        <v>153</v>
      </c>
      <c r="E779" s="6" t="s">
        <v>621</v>
      </c>
      <c r="F779" s="6" t="s">
        <v>1724</v>
      </c>
      <c r="G779" s="6">
        <v>45.47</v>
      </c>
      <c r="H779" s="6">
        <v>45</v>
      </c>
      <c r="I779" s="6">
        <v>86</v>
      </c>
      <c r="J779" s="6">
        <v>2100</v>
      </c>
      <c r="K779" s="7">
        <f>(J779-M779)*税费参数!$B$12/(I779*10000*(1+SUM(税费参数!$B$6:$B$8)))</f>
        <v>0.0218339996621431</v>
      </c>
      <c r="L779" s="7">
        <f>J779*税费参数!$B$12/(I779*10000)</f>
        <v>0.0244186046511628</v>
      </c>
      <c r="M779" s="6">
        <f>I779*10000*SUM(税费参数!$B$9:$B$10)/税费参数!$B$11</f>
        <v>161.25</v>
      </c>
    </row>
    <row r="780" ht="21" customHeight="1" spans="1:13">
      <c r="A780" s="5" t="s">
        <v>15</v>
      </c>
      <c r="B780" s="6" t="s">
        <v>66</v>
      </c>
      <c r="C780" s="6" t="s">
        <v>152</v>
      </c>
      <c r="D780" s="6" t="s">
        <v>153</v>
      </c>
      <c r="E780" s="6" t="s">
        <v>621</v>
      </c>
      <c r="F780" s="6" t="s">
        <v>1725</v>
      </c>
      <c r="G780" s="6">
        <v>45.47</v>
      </c>
      <c r="H780" s="6">
        <v>45.66</v>
      </c>
      <c r="I780" s="6">
        <v>86</v>
      </c>
      <c r="J780" s="6">
        <v>1900</v>
      </c>
      <c r="K780" s="7">
        <f>(J780-M780)*税费参数!$B$12/(I780*10000*(1+SUM(税费参数!$B$6:$B$8)))</f>
        <v>0.0195816205867447</v>
      </c>
      <c r="L780" s="7">
        <f>J780*税费参数!$B$12/(I780*10000)</f>
        <v>0.022093023255814</v>
      </c>
      <c r="M780" s="6">
        <f>I780*10000*SUM(税费参数!$B$9:$B$10)/税费参数!$B$11</f>
        <v>161.25</v>
      </c>
    </row>
    <row r="781" ht="21" customHeight="1" spans="1:13">
      <c r="A781" s="5" t="s">
        <v>15</v>
      </c>
      <c r="B781" s="6" t="s">
        <v>66</v>
      </c>
      <c r="C781" s="6" t="s">
        <v>152</v>
      </c>
      <c r="D781" s="6" t="s">
        <v>153</v>
      </c>
      <c r="E781" s="6" t="s">
        <v>621</v>
      </c>
      <c r="F781" s="6" t="s">
        <v>1726</v>
      </c>
      <c r="G781" s="6">
        <v>45.47</v>
      </c>
      <c r="H781" s="6">
        <v>46.66</v>
      </c>
      <c r="I781" s="6">
        <v>86</v>
      </c>
      <c r="J781" s="6">
        <v>2100</v>
      </c>
      <c r="K781" s="7">
        <f>(J781-M781)*税费参数!$B$12/(I781*10000*(1+SUM(税费参数!$B$6:$B$8)))</f>
        <v>0.0218339996621431</v>
      </c>
      <c r="L781" s="7">
        <f>J781*税费参数!$B$12/(I781*10000)</f>
        <v>0.0244186046511628</v>
      </c>
      <c r="M781" s="6">
        <f>I781*10000*SUM(税费参数!$B$9:$B$10)/税费参数!$B$11</f>
        <v>161.25</v>
      </c>
    </row>
    <row r="782" ht="21" customHeight="1" spans="1:13">
      <c r="A782" s="5" t="s">
        <v>15</v>
      </c>
      <c r="B782" s="6" t="s">
        <v>66</v>
      </c>
      <c r="C782" s="6" t="s">
        <v>152</v>
      </c>
      <c r="D782" s="6" t="s">
        <v>153</v>
      </c>
      <c r="E782" s="6" t="s">
        <v>621</v>
      </c>
      <c r="F782" s="6" t="s">
        <v>1727</v>
      </c>
      <c r="G782" s="6">
        <v>45.47</v>
      </c>
      <c r="H782" s="6">
        <v>45.46</v>
      </c>
      <c r="I782" s="6">
        <v>86</v>
      </c>
      <c r="J782" s="6">
        <v>1900</v>
      </c>
      <c r="K782" s="7">
        <f>(J782-M782)*税费参数!$B$12/(I782*10000*(1+SUM(税费参数!$B$6:$B$8)))</f>
        <v>0.0195816205867447</v>
      </c>
      <c r="L782" s="7">
        <f>J782*税费参数!$B$12/(I782*10000)</f>
        <v>0.022093023255814</v>
      </c>
      <c r="M782" s="6">
        <f>I782*10000*SUM(税费参数!$B$9:$B$10)/税费参数!$B$11</f>
        <v>161.25</v>
      </c>
    </row>
    <row r="783" ht="21" customHeight="1" spans="1:13">
      <c r="A783" s="5" t="s">
        <v>15</v>
      </c>
      <c r="B783" s="6" t="s">
        <v>66</v>
      </c>
      <c r="C783" s="6" t="s">
        <v>152</v>
      </c>
      <c r="D783" s="6" t="s">
        <v>153</v>
      </c>
      <c r="E783" s="6" t="s">
        <v>621</v>
      </c>
      <c r="F783" s="6" t="s">
        <v>1728</v>
      </c>
      <c r="G783" s="6">
        <v>45.47</v>
      </c>
      <c r="H783" s="6">
        <v>45.45</v>
      </c>
      <c r="I783" s="6">
        <v>86</v>
      </c>
      <c r="J783" s="6">
        <v>2000</v>
      </c>
      <c r="K783" s="7">
        <f>(J783-M783)*税费参数!$B$12/(I783*10000*(1+SUM(税费参数!$B$6:$B$8)))</f>
        <v>0.0207078101244439</v>
      </c>
      <c r="L783" s="7">
        <f>J783*税费参数!$B$12/(I783*10000)</f>
        <v>0.0232558139534884</v>
      </c>
      <c r="M783" s="6">
        <f>I783*10000*SUM(税费参数!$B$9:$B$10)/税费参数!$B$11</f>
        <v>161.25</v>
      </c>
    </row>
    <row r="784" ht="21" customHeight="1" spans="1:13">
      <c r="A784" s="5" t="s">
        <v>15</v>
      </c>
      <c r="B784" s="6" t="s">
        <v>66</v>
      </c>
      <c r="C784" s="6" t="s">
        <v>152</v>
      </c>
      <c r="D784" s="6" t="s">
        <v>153</v>
      </c>
      <c r="E784" s="6" t="s">
        <v>621</v>
      </c>
      <c r="F784" s="6" t="s">
        <v>1729</v>
      </c>
      <c r="G784" s="6">
        <v>45.47</v>
      </c>
      <c r="H784" s="6">
        <v>45.26</v>
      </c>
      <c r="I784" s="6">
        <v>86</v>
      </c>
      <c r="J784" s="6">
        <v>2001</v>
      </c>
      <c r="K784" s="7">
        <f>(J784-M784)*税费参数!$B$12/(I784*10000*(1+SUM(税费参数!$B$6:$B$8)))</f>
        <v>0.0207190720198209</v>
      </c>
      <c r="L784" s="7">
        <f>J784*税费参数!$B$12/(I784*10000)</f>
        <v>0.0232674418604651</v>
      </c>
      <c r="M784" s="6">
        <f>I784*10000*SUM(税费参数!$B$9:$B$10)/税费参数!$B$11</f>
        <v>161.25</v>
      </c>
    </row>
    <row r="785" ht="21" customHeight="1" spans="1:13">
      <c r="A785" s="5" t="s">
        <v>15</v>
      </c>
      <c r="B785" s="6" t="s">
        <v>66</v>
      </c>
      <c r="C785" s="6" t="s">
        <v>152</v>
      </c>
      <c r="D785" s="6" t="s">
        <v>153</v>
      </c>
      <c r="E785" s="6" t="s">
        <v>621</v>
      </c>
      <c r="F785" s="6" t="s">
        <v>1730</v>
      </c>
      <c r="G785" s="6">
        <v>45.47</v>
      </c>
      <c r="H785" s="6">
        <v>45.34</v>
      </c>
      <c r="I785" s="6">
        <v>86</v>
      </c>
      <c r="J785" s="6">
        <v>2000</v>
      </c>
      <c r="K785" s="7">
        <f>(J785-M785)*税费参数!$B$12/(I785*10000*(1+SUM(税费参数!$B$6:$B$8)))</f>
        <v>0.0207078101244439</v>
      </c>
      <c r="L785" s="7">
        <f>J785*税费参数!$B$12/(I785*10000)</f>
        <v>0.0232558139534884</v>
      </c>
      <c r="M785" s="6">
        <f>I785*10000*SUM(税费参数!$B$9:$B$10)/税费参数!$B$11</f>
        <v>161.25</v>
      </c>
    </row>
    <row r="786" ht="21" customHeight="1" spans="1:13">
      <c r="A786" s="5" t="s">
        <v>15</v>
      </c>
      <c r="B786" s="6" t="s">
        <v>66</v>
      </c>
      <c r="C786" s="6" t="s">
        <v>152</v>
      </c>
      <c r="D786" s="6" t="s">
        <v>153</v>
      </c>
      <c r="E786" s="6" t="s">
        <v>621</v>
      </c>
      <c r="F786" s="6" t="s">
        <v>1731</v>
      </c>
      <c r="G786" s="6">
        <v>45.47</v>
      </c>
      <c r="H786" s="6">
        <v>45.45</v>
      </c>
      <c r="I786" s="6">
        <v>86</v>
      </c>
      <c r="J786" s="6">
        <v>2400</v>
      </c>
      <c r="K786" s="7">
        <f>(J786-M786)*税费参数!$B$12/(I786*10000*(1+SUM(税费参数!$B$6:$B$8)))</f>
        <v>0.0252125682752407</v>
      </c>
      <c r="L786" s="7">
        <f>J786*税费参数!$B$12/(I786*10000)</f>
        <v>0.027906976744186</v>
      </c>
      <c r="M786" s="6">
        <f>I786*10000*SUM(税费参数!$B$9:$B$10)/税费参数!$B$11</f>
        <v>161.25</v>
      </c>
    </row>
    <row r="787" ht="21" customHeight="1" spans="1:13">
      <c r="A787" s="5" t="s">
        <v>15</v>
      </c>
      <c r="B787" s="6" t="s">
        <v>54</v>
      </c>
      <c r="C787" s="6" t="s">
        <v>152</v>
      </c>
      <c r="D787" s="6" t="s">
        <v>153</v>
      </c>
      <c r="E787" s="6" t="s">
        <v>627</v>
      </c>
      <c r="F787" s="6" t="s">
        <v>1732</v>
      </c>
      <c r="G787" s="6">
        <v>53.53</v>
      </c>
      <c r="H787" s="6">
        <v>53.62</v>
      </c>
      <c r="I787" s="6">
        <v>73</v>
      </c>
      <c r="J787" s="6">
        <v>2200</v>
      </c>
      <c r="K787" s="7">
        <f>(J787-M787)*税费参数!$B$12/(I787*10000*(1+SUM(税费参数!$B$6:$B$8)))</f>
        <v>0.0273723838269926</v>
      </c>
      <c r="L787" s="7">
        <f>J787*税费参数!$B$12/(I787*10000)</f>
        <v>0.0301369863013699</v>
      </c>
      <c r="M787" s="6">
        <f>I787*10000*SUM(税费参数!$B$9:$B$10)/税费参数!$B$11</f>
        <v>136.875</v>
      </c>
    </row>
    <row r="788" ht="21" customHeight="1" spans="1:13">
      <c r="A788" s="5" t="s">
        <v>12</v>
      </c>
      <c r="B788" s="6" t="s">
        <v>75</v>
      </c>
      <c r="C788" s="6" t="s">
        <v>152</v>
      </c>
      <c r="D788" s="6" t="s">
        <v>153</v>
      </c>
      <c r="E788" s="6" t="s">
        <v>631</v>
      </c>
      <c r="F788" s="6" t="s">
        <v>1733</v>
      </c>
      <c r="G788" s="6">
        <v>47.74</v>
      </c>
      <c r="H788" s="6">
        <v>48.39</v>
      </c>
      <c r="I788" s="6">
        <v>84.9</v>
      </c>
      <c r="J788" s="6">
        <v>2500</v>
      </c>
      <c r="K788" s="7">
        <f>(J788-M788)*税费参数!$B$12/(I788*10000*(1+SUM(税费参数!$B$6:$B$8)))</f>
        <v>0.0267035424099567</v>
      </c>
      <c r="L788" s="7">
        <f>J788*税费参数!$B$12/(I788*10000)</f>
        <v>0.0294464075382803</v>
      </c>
      <c r="M788" s="6">
        <f>I788*10000*SUM(税费参数!$B$9:$B$10)/税费参数!$B$11</f>
        <v>159.1875</v>
      </c>
    </row>
    <row r="789" ht="21" customHeight="1" spans="1:13">
      <c r="A789" s="5" t="s">
        <v>12</v>
      </c>
      <c r="B789" s="6" t="s">
        <v>75</v>
      </c>
      <c r="C789" s="6" t="s">
        <v>152</v>
      </c>
      <c r="D789" s="6" t="s">
        <v>153</v>
      </c>
      <c r="E789" s="6" t="s">
        <v>633</v>
      </c>
      <c r="F789" s="6" t="s">
        <v>1733</v>
      </c>
      <c r="G789" s="6">
        <v>46.73</v>
      </c>
      <c r="H789" s="6">
        <v>48.39</v>
      </c>
      <c r="I789" s="6">
        <v>79</v>
      </c>
      <c r="J789" s="6">
        <v>2500</v>
      </c>
      <c r="K789" s="7">
        <f>(J789-M789)*税费参数!$B$12/(I789*10000*(1+SUM(税费参数!$B$6:$B$8)))</f>
        <v>0.0288334814724002</v>
      </c>
      <c r="L789" s="7">
        <f>J789*税费参数!$B$12/(I789*10000)</f>
        <v>0.0316455696202532</v>
      </c>
      <c r="M789" s="6">
        <f>I789*10000*SUM(税费参数!$B$9:$B$10)/税费参数!$B$11</f>
        <v>148.125</v>
      </c>
    </row>
    <row r="790" ht="21" customHeight="1" spans="1:13">
      <c r="A790" s="5" t="s">
        <v>12</v>
      </c>
      <c r="B790" s="6" t="s">
        <v>75</v>
      </c>
      <c r="C790" s="6" t="s">
        <v>152</v>
      </c>
      <c r="D790" s="6" t="s">
        <v>153</v>
      </c>
      <c r="E790" s="6" t="s">
        <v>629</v>
      </c>
      <c r="F790" s="6" t="s">
        <v>1733</v>
      </c>
      <c r="G790" s="6">
        <v>47.74</v>
      </c>
      <c r="H790" s="6">
        <v>48.39</v>
      </c>
      <c r="I790" s="6">
        <v>79</v>
      </c>
      <c r="J790" s="6">
        <v>2500</v>
      </c>
      <c r="K790" s="7">
        <f>(J790-M790)*税费参数!$B$12/(I790*10000*(1+SUM(税费参数!$B$6:$B$8)))</f>
        <v>0.0288334814724002</v>
      </c>
      <c r="L790" s="7">
        <f>J790*税费参数!$B$12/(I790*10000)</f>
        <v>0.0316455696202532</v>
      </c>
      <c r="M790" s="6">
        <f>I790*10000*SUM(税费参数!$B$9:$B$10)/税费参数!$B$11</f>
        <v>148.125</v>
      </c>
    </row>
    <row r="791" ht="21" customHeight="1" spans="1:13">
      <c r="A791" s="5" t="s">
        <v>12</v>
      </c>
      <c r="B791" s="6" t="s">
        <v>77</v>
      </c>
      <c r="C791" s="6" t="s">
        <v>152</v>
      </c>
      <c r="D791" s="6" t="s">
        <v>153</v>
      </c>
      <c r="E791" s="6" t="s">
        <v>639</v>
      </c>
      <c r="F791" s="6" t="s">
        <v>1734</v>
      </c>
      <c r="G791" s="6">
        <v>54.77</v>
      </c>
      <c r="H791" s="6">
        <v>54.77</v>
      </c>
      <c r="I791" s="6">
        <v>83</v>
      </c>
      <c r="J791" s="6">
        <v>3130</v>
      </c>
      <c r="K791" s="7">
        <f>(J791-M791)*税费参数!$B$12/(I791*10000*(1+SUM(税费参数!$B$6:$B$8)))</f>
        <v>0.0347078386183961</v>
      </c>
      <c r="L791" s="7">
        <f>J791*税费参数!$B$12/(I791*10000)</f>
        <v>0.037710843373494</v>
      </c>
      <c r="M791" s="6">
        <f>I791*10000*SUM(税费参数!$B$9:$B$10)/税费参数!$B$11</f>
        <v>155.625</v>
      </c>
    </row>
    <row r="792" ht="21" customHeight="1" spans="1:13">
      <c r="A792" s="5" t="s">
        <v>12</v>
      </c>
      <c r="B792" s="6" t="s">
        <v>77</v>
      </c>
      <c r="C792" s="6" t="s">
        <v>152</v>
      </c>
      <c r="D792" s="6" t="s">
        <v>153</v>
      </c>
      <c r="E792" s="6" t="s">
        <v>639</v>
      </c>
      <c r="F792" s="6" t="s">
        <v>1735</v>
      </c>
      <c r="G792" s="6">
        <v>54.77</v>
      </c>
      <c r="H792" s="6">
        <v>52.38</v>
      </c>
      <c r="I792" s="6">
        <v>83</v>
      </c>
      <c r="J792" s="6">
        <v>2250</v>
      </c>
      <c r="K792" s="7">
        <f>(J792-M792)*税费参数!$B$12/(I792*10000*(1+SUM(税费参数!$B$6:$B$8)))</f>
        <v>0.024439161002363</v>
      </c>
      <c r="L792" s="7">
        <f>J792*税费参数!$B$12/(I792*10000)</f>
        <v>0.0271084337349398</v>
      </c>
      <c r="M792" s="6">
        <f>I792*10000*SUM(税费参数!$B$9:$B$10)/税费参数!$B$11</f>
        <v>155.625</v>
      </c>
    </row>
    <row r="793" ht="21" customHeight="1" spans="1:13">
      <c r="A793" s="5" t="s">
        <v>12</v>
      </c>
      <c r="B793" s="6" t="s">
        <v>77</v>
      </c>
      <c r="C793" s="6" t="s">
        <v>152</v>
      </c>
      <c r="D793" s="6" t="s">
        <v>153</v>
      </c>
      <c r="E793" s="6" t="s">
        <v>639</v>
      </c>
      <c r="F793" s="6" t="s">
        <v>1736</v>
      </c>
      <c r="G793" s="6">
        <v>54.77</v>
      </c>
      <c r="H793" s="6">
        <v>56.39</v>
      </c>
      <c r="I793" s="6">
        <v>83</v>
      </c>
      <c r="J793" s="6">
        <v>2500</v>
      </c>
      <c r="K793" s="7">
        <f>(J793-M793)*税费参数!$B$12/(I793*10000*(1+SUM(税费参数!$B$6:$B$8)))</f>
        <v>0.0273563989614633</v>
      </c>
      <c r="L793" s="7">
        <f>J793*税费参数!$B$12/(I793*10000)</f>
        <v>0.0301204819277108</v>
      </c>
      <c r="M793" s="6">
        <f>I793*10000*SUM(税费参数!$B$9:$B$10)/税费参数!$B$11</f>
        <v>155.625</v>
      </c>
    </row>
    <row r="794" ht="21" customHeight="1" spans="1:13">
      <c r="A794" s="5" t="s">
        <v>12</v>
      </c>
      <c r="B794" s="6" t="s">
        <v>77</v>
      </c>
      <c r="C794" s="6" t="s">
        <v>152</v>
      </c>
      <c r="D794" s="6" t="s">
        <v>153</v>
      </c>
      <c r="E794" s="6" t="s">
        <v>639</v>
      </c>
      <c r="F794" s="6" t="s">
        <v>1737</v>
      </c>
      <c r="G794" s="6">
        <v>54.77</v>
      </c>
      <c r="H794" s="6">
        <v>59</v>
      </c>
      <c r="I794" s="6">
        <v>83</v>
      </c>
      <c r="J794" s="6">
        <v>2500</v>
      </c>
      <c r="K794" s="7">
        <f>(J794-M794)*税费参数!$B$12/(I794*10000*(1+SUM(税费参数!$B$6:$B$8)))</f>
        <v>0.0273563989614633</v>
      </c>
      <c r="L794" s="7">
        <f>J794*税费参数!$B$12/(I794*10000)</f>
        <v>0.0301204819277108</v>
      </c>
      <c r="M794" s="6">
        <f>I794*10000*SUM(税费参数!$B$9:$B$10)/税费参数!$B$11</f>
        <v>155.625</v>
      </c>
    </row>
    <row r="795" ht="21" customHeight="1" spans="1:13">
      <c r="A795" s="5" t="s">
        <v>12</v>
      </c>
      <c r="B795" s="6" t="s">
        <v>77</v>
      </c>
      <c r="C795" s="6" t="s">
        <v>152</v>
      </c>
      <c r="D795" s="6" t="s">
        <v>153</v>
      </c>
      <c r="E795" s="6" t="s">
        <v>639</v>
      </c>
      <c r="F795" s="6" t="s">
        <v>1738</v>
      </c>
      <c r="G795" s="6">
        <v>54.77</v>
      </c>
      <c r="H795" s="6">
        <v>55.28</v>
      </c>
      <c r="I795" s="6">
        <v>83</v>
      </c>
      <c r="J795" s="6">
        <v>2600</v>
      </c>
      <c r="K795" s="7">
        <f>(J795-M795)*税费参数!$B$12/(I795*10000*(1+SUM(税费参数!$B$6:$B$8)))</f>
        <v>0.0285232941451034</v>
      </c>
      <c r="L795" s="7">
        <f>J795*税费参数!$B$12/(I795*10000)</f>
        <v>0.0313253012048193</v>
      </c>
      <c r="M795" s="6">
        <f>I795*10000*SUM(税费参数!$B$9:$B$10)/税费参数!$B$11</f>
        <v>155.625</v>
      </c>
    </row>
    <row r="796" ht="21" customHeight="1" spans="1:13">
      <c r="A796" s="5" t="s">
        <v>12</v>
      </c>
      <c r="B796" s="6" t="s">
        <v>77</v>
      </c>
      <c r="C796" s="6" t="s">
        <v>152</v>
      </c>
      <c r="D796" s="6" t="s">
        <v>153</v>
      </c>
      <c r="E796" s="6" t="s">
        <v>639</v>
      </c>
      <c r="F796" s="6" t="s">
        <v>1739</v>
      </c>
      <c r="G796" s="6">
        <v>54.77</v>
      </c>
      <c r="H796" s="6">
        <v>51.28</v>
      </c>
      <c r="I796" s="6">
        <v>83</v>
      </c>
      <c r="J796" s="6">
        <v>2400</v>
      </c>
      <c r="K796" s="7">
        <f>(J796-M796)*税费参数!$B$12/(I796*10000*(1+SUM(税费参数!$B$6:$B$8)))</f>
        <v>0.0261895037778232</v>
      </c>
      <c r="L796" s="7">
        <f>J796*税费参数!$B$12/(I796*10000)</f>
        <v>0.0289156626506024</v>
      </c>
      <c r="M796" s="6">
        <f>I796*10000*SUM(税费参数!$B$9:$B$10)/税费参数!$B$11</f>
        <v>155.625</v>
      </c>
    </row>
    <row r="797" ht="21" customHeight="1" spans="1:13">
      <c r="A797" s="5" t="s">
        <v>12</v>
      </c>
      <c r="B797" s="6" t="s">
        <v>77</v>
      </c>
      <c r="C797" s="6" t="s">
        <v>152</v>
      </c>
      <c r="D797" s="6" t="s">
        <v>153</v>
      </c>
      <c r="E797" s="6" t="s">
        <v>639</v>
      </c>
      <c r="F797" s="6" t="s">
        <v>1740</v>
      </c>
      <c r="G797" s="6">
        <v>54.77</v>
      </c>
      <c r="H797" s="6">
        <v>52.38</v>
      </c>
      <c r="I797" s="6">
        <v>83</v>
      </c>
      <c r="J797" s="6">
        <v>2600</v>
      </c>
      <c r="K797" s="7">
        <f>(J797-M797)*税费参数!$B$12/(I797*10000*(1+SUM(税费参数!$B$6:$B$8)))</f>
        <v>0.0285232941451034</v>
      </c>
      <c r="L797" s="7">
        <f>J797*税费参数!$B$12/(I797*10000)</f>
        <v>0.0313253012048193</v>
      </c>
      <c r="M797" s="6">
        <f>I797*10000*SUM(税费参数!$B$9:$B$10)/税费参数!$B$11</f>
        <v>155.625</v>
      </c>
    </row>
    <row r="798" ht="21" customHeight="1" spans="1:13">
      <c r="A798" s="5" t="s">
        <v>12</v>
      </c>
      <c r="B798" s="6" t="s">
        <v>77</v>
      </c>
      <c r="C798" s="6" t="s">
        <v>152</v>
      </c>
      <c r="D798" s="6" t="s">
        <v>153</v>
      </c>
      <c r="E798" s="6" t="s">
        <v>647</v>
      </c>
      <c r="F798" s="6" t="s">
        <v>1734</v>
      </c>
      <c r="G798" s="6">
        <v>52.38</v>
      </c>
      <c r="H798" s="6">
        <v>54.77</v>
      </c>
      <c r="I798" s="6">
        <v>83</v>
      </c>
      <c r="J798" s="6">
        <v>3130</v>
      </c>
      <c r="K798" s="7">
        <f>(J798-M798)*税费参数!$B$12/(I798*10000*(1+SUM(税费参数!$B$6:$B$8)))</f>
        <v>0.0347078386183961</v>
      </c>
      <c r="L798" s="7">
        <f>J798*税费参数!$B$12/(I798*10000)</f>
        <v>0.037710843373494</v>
      </c>
      <c r="M798" s="6">
        <f>I798*10000*SUM(税费参数!$B$9:$B$10)/税费参数!$B$11</f>
        <v>155.625</v>
      </c>
    </row>
    <row r="799" ht="21" customHeight="1" spans="1:13">
      <c r="A799" s="5" t="s">
        <v>12</v>
      </c>
      <c r="B799" s="6" t="s">
        <v>77</v>
      </c>
      <c r="C799" s="6" t="s">
        <v>152</v>
      </c>
      <c r="D799" s="6" t="s">
        <v>153</v>
      </c>
      <c r="E799" s="6" t="s">
        <v>647</v>
      </c>
      <c r="F799" s="6" t="s">
        <v>1735</v>
      </c>
      <c r="G799" s="6">
        <v>52.38</v>
      </c>
      <c r="H799" s="6">
        <v>52.38</v>
      </c>
      <c r="I799" s="6">
        <v>83</v>
      </c>
      <c r="J799" s="6">
        <v>2250</v>
      </c>
      <c r="K799" s="7">
        <f>(J799-M799)*税费参数!$B$12/(I799*10000*(1+SUM(税费参数!$B$6:$B$8)))</f>
        <v>0.024439161002363</v>
      </c>
      <c r="L799" s="7">
        <f>J799*税费参数!$B$12/(I799*10000)</f>
        <v>0.0271084337349398</v>
      </c>
      <c r="M799" s="6">
        <f>I799*10000*SUM(税费参数!$B$9:$B$10)/税费参数!$B$11</f>
        <v>155.625</v>
      </c>
    </row>
    <row r="800" ht="21" customHeight="1" spans="1:13">
      <c r="A800" s="5" t="s">
        <v>12</v>
      </c>
      <c r="B800" s="6" t="s">
        <v>77</v>
      </c>
      <c r="C800" s="6" t="s">
        <v>152</v>
      </c>
      <c r="D800" s="6" t="s">
        <v>153</v>
      </c>
      <c r="E800" s="6" t="s">
        <v>647</v>
      </c>
      <c r="F800" s="6" t="s">
        <v>1736</v>
      </c>
      <c r="G800" s="6">
        <v>52.38</v>
      </c>
      <c r="H800" s="6">
        <v>56.39</v>
      </c>
      <c r="I800" s="6">
        <v>83</v>
      </c>
      <c r="J800" s="6">
        <v>2500</v>
      </c>
      <c r="K800" s="7">
        <f>(J800-M800)*税费参数!$B$12/(I800*10000*(1+SUM(税费参数!$B$6:$B$8)))</f>
        <v>0.0273563989614633</v>
      </c>
      <c r="L800" s="7">
        <f>J800*税费参数!$B$12/(I800*10000)</f>
        <v>0.0301204819277108</v>
      </c>
      <c r="M800" s="6">
        <f>I800*10000*SUM(税费参数!$B$9:$B$10)/税费参数!$B$11</f>
        <v>155.625</v>
      </c>
    </row>
    <row r="801" ht="21" customHeight="1" spans="1:13">
      <c r="A801" s="5" t="s">
        <v>12</v>
      </c>
      <c r="B801" s="6" t="s">
        <v>77</v>
      </c>
      <c r="C801" s="6" t="s">
        <v>152</v>
      </c>
      <c r="D801" s="6" t="s">
        <v>153</v>
      </c>
      <c r="E801" s="6" t="s">
        <v>647</v>
      </c>
      <c r="F801" s="6" t="s">
        <v>1737</v>
      </c>
      <c r="G801" s="6">
        <v>52.38</v>
      </c>
      <c r="H801" s="6">
        <v>59</v>
      </c>
      <c r="I801" s="6">
        <v>83</v>
      </c>
      <c r="J801" s="6">
        <v>2500</v>
      </c>
      <c r="K801" s="7">
        <f>(J801-M801)*税费参数!$B$12/(I801*10000*(1+SUM(税费参数!$B$6:$B$8)))</f>
        <v>0.0273563989614633</v>
      </c>
      <c r="L801" s="7">
        <f>J801*税费参数!$B$12/(I801*10000)</f>
        <v>0.0301204819277108</v>
      </c>
      <c r="M801" s="6">
        <f>I801*10000*SUM(税费参数!$B$9:$B$10)/税费参数!$B$11</f>
        <v>155.625</v>
      </c>
    </row>
    <row r="802" ht="21" customHeight="1" spans="1:13">
      <c r="A802" s="5" t="s">
        <v>12</v>
      </c>
      <c r="B802" s="6" t="s">
        <v>77</v>
      </c>
      <c r="C802" s="6" t="s">
        <v>152</v>
      </c>
      <c r="D802" s="6" t="s">
        <v>153</v>
      </c>
      <c r="E802" s="6" t="s">
        <v>647</v>
      </c>
      <c r="F802" s="6" t="s">
        <v>1738</v>
      </c>
      <c r="G802" s="6">
        <v>52.38</v>
      </c>
      <c r="H802" s="6">
        <v>55.28</v>
      </c>
      <c r="I802" s="6">
        <v>83</v>
      </c>
      <c r="J802" s="6">
        <v>2600</v>
      </c>
      <c r="K802" s="7">
        <f>(J802-M802)*税费参数!$B$12/(I802*10000*(1+SUM(税费参数!$B$6:$B$8)))</f>
        <v>0.0285232941451034</v>
      </c>
      <c r="L802" s="7">
        <f>J802*税费参数!$B$12/(I802*10000)</f>
        <v>0.0313253012048193</v>
      </c>
      <c r="M802" s="6">
        <f>I802*10000*SUM(税费参数!$B$9:$B$10)/税费参数!$B$11</f>
        <v>155.625</v>
      </c>
    </row>
    <row r="803" ht="21" customHeight="1" spans="1:13">
      <c r="A803" s="5" t="s">
        <v>12</v>
      </c>
      <c r="B803" s="6" t="s">
        <v>77</v>
      </c>
      <c r="C803" s="6" t="s">
        <v>152</v>
      </c>
      <c r="D803" s="6" t="s">
        <v>153</v>
      </c>
      <c r="E803" s="6" t="s">
        <v>647</v>
      </c>
      <c r="F803" s="6" t="s">
        <v>1739</v>
      </c>
      <c r="G803" s="6">
        <v>52.38</v>
      </c>
      <c r="H803" s="6">
        <v>51.28</v>
      </c>
      <c r="I803" s="6">
        <v>83</v>
      </c>
      <c r="J803" s="6">
        <v>2400</v>
      </c>
      <c r="K803" s="7">
        <f>(J803-M803)*税费参数!$B$12/(I803*10000*(1+SUM(税费参数!$B$6:$B$8)))</f>
        <v>0.0261895037778232</v>
      </c>
      <c r="L803" s="7">
        <f>J803*税费参数!$B$12/(I803*10000)</f>
        <v>0.0289156626506024</v>
      </c>
      <c r="M803" s="6">
        <f>I803*10000*SUM(税费参数!$B$9:$B$10)/税费参数!$B$11</f>
        <v>155.625</v>
      </c>
    </row>
    <row r="804" ht="21" customHeight="1" spans="1:13">
      <c r="A804" s="5" t="s">
        <v>12</v>
      </c>
      <c r="B804" s="6" t="s">
        <v>77</v>
      </c>
      <c r="C804" s="6" t="s">
        <v>152</v>
      </c>
      <c r="D804" s="6" t="s">
        <v>153</v>
      </c>
      <c r="E804" s="6" t="s">
        <v>647</v>
      </c>
      <c r="F804" s="6" t="s">
        <v>1740</v>
      </c>
      <c r="G804" s="6">
        <v>52.38</v>
      </c>
      <c r="H804" s="6">
        <v>52.38</v>
      </c>
      <c r="I804" s="6">
        <v>83</v>
      </c>
      <c r="J804" s="6">
        <v>2600</v>
      </c>
      <c r="K804" s="7">
        <f>(J804-M804)*税费参数!$B$12/(I804*10000*(1+SUM(税费参数!$B$6:$B$8)))</f>
        <v>0.0285232941451034</v>
      </c>
      <c r="L804" s="7">
        <f>J804*税费参数!$B$12/(I804*10000)</f>
        <v>0.0313253012048193</v>
      </c>
      <c r="M804" s="6">
        <f>I804*10000*SUM(税费参数!$B$9:$B$10)/税费参数!$B$11</f>
        <v>155.625</v>
      </c>
    </row>
    <row r="805" ht="21" customHeight="1" spans="1:13">
      <c r="A805" s="5" t="s">
        <v>12</v>
      </c>
      <c r="B805" s="6" t="s">
        <v>77</v>
      </c>
      <c r="C805" s="6" t="s">
        <v>152</v>
      </c>
      <c r="D805" s="6" t="s">
        <v>153</v>
      </c>
      <c r="E805" s="6" t="s">
        <v>645</v>
      </c>
      <c r="F805" s="6" t="s">
        <v>1734</v>
      </c>
      <c r="G805" s="6">
        <v>52.38</v>
      </c>
      <c r="H805" s="6">
        <v>54.77</v>
      </c>
      <c r="I805" s="6">
        <v>78</v>
      </c>
      <c r="J805" s="6">
        <v>3130</v>
      </c>
      <c r="K805" s="7">
        <f>(J805-M805)*税费参数!$B$12/(I805*10000*(1+SUM(税费参数!$B$6:$B$8)))</f>
        <v>0.0370491090830074</v>
      </c>
      <c r="L805" s="7">
        <f>J805*税费参数!$B$12/(I805*10000)</f>
        <v>0.0401282051282051</v>
      </c>
      <c r="M805" s="6">
        <f>I805*10000*SUM(税费参数!$B$9:$B$10)/税费参数!$B$11</f>
        <v>146.25</v>
      </c>
    </row>
    <row r="806" ht="21" customHeight="1" spans="1:13">
      <c r="A806" s="5" t="s">
        <v>12</v>
      </c>
      <c r="B806" s="6" t="s">
        <v>77</v>
      </c>
      <c r="C806" s="6" t="s">
        <v>152</v>
      </c>
      <c r="D806" s="6" t="s">
        <v>153</v>
      </c>
      <c r="E806" s="6" t="s">
        <v>645</v>
      </c>
      <c r="F806" s="6" t="s">
        <v>1735</v>
      </c>
      <c r="G806" s="6">
        <v>52.38</v>
      </c>
      <c r="H806" s="6">
        <v>52.38</v>
      </c>
      <c r="I806" s="6">
        <v>78</v>
      </c>
      <c r="J806" s="6">
        <v>2250</v>
      </c>
      <c r="K806" s="7">
        <f>(J806-M806)*税费参数!$B$12/(I806*10000*(1+SUM(税费参数!$B$6:$B$8)))</f>
        <v>0.0261221829018439</v>
      </c>
      <c r="L806" s="7">
        <f>J806*税费参数!$B$12/(I806*10000)</f>
        <v>0.0288461538461538</v>
      </c>
      <c r="M806" s="6">
        <f>I806*10000*SUM(税费参数!$B$9:$B$10)/税费参数!$B$11</f>
        <v>146.25</v>
      </c>
    </row>
    <row r="807" ht="21" customHeight="1" spans="1:13">
      <c r="A807" s="5" t="s">
        <v>12</v>
      </c>
      <c r="B807" s="6" t="s">
        <v>77</v>
      </c>
      <c r="C807" s="6" t="s">
        <v>152</v>
      </c>
      <c r="D807" s="6" t="s">
        <v>153</v>
      </c>
      <c r="E807" s="6" t="s">
        <v>645</v>
      </c>
      <c r="F807" s="6" t="s">
        <v>1736</v>
      </c>
      <c r="G807" s="6">
        <v>52.38</v>
      </c>
      <c r="H807" s="6">
        <v>56.39</v>
      </c>
      <c r="I807" s="6">
        <v>78</v>
      </c>
      <c r="J807" s="6">
        <v>2500</v>
      </c>
      <c r="K807" s="7">
        <f>(J807-M807)*税费参数!$B$12/(I807*10000*(1+SUM(税费参数!$B$6:$B$8)))</f>
        <v>0.0292264232942199</v>
      </c>
      <c r="L807" s="7">
        <f>J807*税费参数!$B$12/(I807*10000)</f>
        <v>0.032051282051282</v>
      </c>
      <c r="M807" s="6">
        <f>I807*10000*SUM(税费参数!$B$9:$B$10)/税费参数!$B$11</f>
        <v>146.25</v>
      </c>
    </row>
    <row r="808" ht="21" customHeight="1" spans="1:13">
      <c r="A808" s="5" t="s">
        <v>12</v>
      </c>
      <c r="B808" s="6" t="s">
        <v>77</v>
      </c>
      <c r="C808" s="6" t="s">
        <v>152</v>
      </c>
      <c r="D808" s="6" t="s">
        <v>153</v>
      </c>
      <c r="E808" s="6" t="s">
        <v>645</v>
      </c>
      <c r="F808" s="6" t="s">
        <v>1737</v>
      </c>
      <c r="G808" s="6">
        <v>52.38</v>
      </c>
      <c r="H808" s="6">
        <v>59</v>
      </c>
      <c r="I808" s="6">
        <v>78</v>
      </c>
      <c r="J808" s="6">
        <v>2500</v>
      </c>
      <c r="K808" s="7">
        <f>(J808-M808)*税费参数!$B$12/(I808*10000*(1+SUM(税费参数!$B$6:$B$8)))</f>
        <v>0.0292264232942199</v>
      </c>
      <c r="L808" s="7">
        <f>J808*税费参数!$B$12/(I808*10000)</f>
        <v>0.032051282051282</v>
      </c>
      <c r="M808" s="6">
        <f>I808*10000*SUM(税费参数!$B$9:$B$10)/税费参数!$B$11</f>
        <v>146.25</v>
      </c>
    </row>
    <row r="809" ht="21" customHeight="1" spans="1:13">
      <c r="A809" s="5" t="s">
        <v>12</v>
      </c>
      <c r="B809" s="6" t="s">
        <v>77</v>
      </c>
      <c r="C809" s="6" t="s">
        <v>152</v>
      </c>
      <c r="D809" s="6" t="s">
        <v>153</v>
      </c>
      <c r="E809" s="6" t="s">
        <v>645</v>
      </c>
      <c r="F809" s="6" t="s">
        <v>1738</v>
      </c>
      <c r="G809" s="6">
        <v>52.38</v>
      </c>
      <c r="H809" s="6">
        <v>55.28</v>
      </c>
      <c r="I809" s="6">
        <v>78</v>
      </c>
      <c r="J809" s="6">
        <v>2600</v>
      </c>
      <c r="K809" s="7">
        <f>(J809-M809)*税费参数!$B$12/(I809*10000*(1+SUM(税费参数!$B$6:$B$8)))</f>
        <v>0.0304681194511703</v>
      </c>
      <c r="L809" s="7">
        <f>J809*税费参数!$B$12/(I809*10000)</f>
        <v>0.0333333333333333</v>
      </c>
      <c r="M809" s="6">
        <f>I809*10000*SUM(税费参数!$B$9:$B$10)/税费参数!$B$11</f>
        <v>146.25</v>
      </c>
    </row>
    <row r="810" ht="21" customHeight="1" spans="1:13">
      <c r="A810" s="5" t="s">
        <v>12</v>
      </c>
      <c r="B810" s="6" t="s">
        <v>77</v>
      </c>
      <c r="C810" s="6" t="s">
        <v>152</v>
      </c>
      <c r="D810" s="6" t="s">
        <v>153</v>
      </c>
      <c r="E810" s="6" t="s">
        <v>645</v>
      </c>
      <c r="F810" s="6" t="s">
        <v>1739</v>
      </c>
      <c r="G810" s="6">
        <v>52.38</v>
      </c>
      <c r="H810" s="6">
        <v>51.28</v>
      </c>
      <c r="I810" s="6">
        <v>78</v>
      </c>
      <c r="J810" s="6">
        <v>2400</v>
      </c>
      <c r="K810" s="7">
        <f>(J810-M810)*税费参数!$B$12/(I810*10000*(1+SUM(税费参数!$B$6:$B$8)))</f>
        <v>0.0279847271372695</v>
      </c>
      <c r="L810" s="7">
        <f>J810*税费参数!$B$12/(I810*10000)</f>
        <v>0.0307692307692308</v>
      </c>
      <c r="M810" s="6">
        <f>I810*10000*SUM(税费参数!$B$9:$B$10)/税费参数!$B$11</f>
        <v>146.25</v>
      </c>
    </row>
    <row r="811" ht="21" customHeight="1" spans="1:13">
      <c r="A811" s="5" t="s">
        <v>12</v>
      </c>
      <c r="B811" s="6" t="s">
        <v>77</v>
      </c>
      <c r="C811" s="6" t="s">
        <v>152</v>
      </c>
      <c r="D811" s="6" t="s">
        <v>153</v>
      </c>
      <c r="E811" s="6" t="s">
        <v>645</v>
      </c>
      <c r="F811" s="6" t="s">
        <v>1740</v>
      </c>
      <c r="G811" s="6">
        <v>52.38</v>
      </c>
      <c r="H811" s="6">
        <v>52.38</v>
      </c>
      <c r="I811" s="6">
        <v>78</v>
      </c>
      <c r="J811" s="6">
        <v>2600</v>
      </c>
      <c r="K811" s="7">
        <f>(J811-M811)*税费参数!$B$12/(I811*10000*(1+SUM(税费参数!$B$6:$B$8)))</f>
        <v>0.0304681194511703</v>
      </c>
      <c r="L811" s="7">
        <f>J811*税费参数!$B$12/(I811*10000)</f>
        <v>0.0333333333333333</v>
      </c>
      <c r="M811" s="6">
        <f>I811*10000*SUM(税费参数!$B$9:$B$10)/税费参数!$B$11</f>
        <v>146.25</v>
      </c>
    </row>
    <row r="812" ht="21" customHeight="1" spans="1:13">
      <c r="A812" s="5" t="s">
        <v>12</v>
      </c>
      <c r="B812" s="6" t="s">
        <v>77</v>
      </c>
      <c r="C812" s="6" t="s">
        <v>152</v>
      </c>
      <c r="D812" s="6" t="s">
        <v>153</v>
      </c>
      <c r="E812" s="6" t="s">
        <v>641</v>
      </c>
      <c r="F812" s="6" t="s">
        <v>1734</v>
      </c>
      <c r="G812" s="6">
        <v>54.77</v>
      </c>
      <c r="H812" s="6">
        <v>54.77</v>
      </c>
      <c r="I812" s="6">
        <v>85</v>
      </c>
      <c r="J812" s="6">
        <v>3130</v>
      </c>
      <c r="K812" s="7">
        <f>(J812-M812)*税费参数!$B$12/(I812*10000*(1+SUM(税费参数!$B$6:$B$8)))</f>
        <v>0.0338484546360917</v>
      </c>
      <c r="L812" s="7">
        <f>J812*税费参数!$B$12/(I812*10000)</f>
        <v>0.0368235294117647</v>
      </c>
      <c r="M812" s="6">
        <f>I812*10000*SUM(税费参数!$B$9:$B$10)/税费参数!$B$11</f>
        <v>159.375</v>
      </c>
    </row>
    <row r="813" ht="21" customHeight="1" spans="1:13">
      <c r="A813" s="5" t="s">
        <v>12</v>
      </c>
      <c r="B813" s="6" t="s">
        <v>77</v>
      </c>
      <c r="C813" s="6" t="s">
        <v>152</v>
      </c>
      <c r="D813" s="6" t="s">
        <v>153</v>
      </c>
      <c r="E813" s="6" t="s">
        <v>641</v>
      </c>
      <c r="F813" s="6" t="s">
        <v>1735</v>
      </c>
      <c r="G813" s="6">
        <v>54.77</v>
      </c>
      <c r="H813" s="6">
        <v>52.38</v>
      </c>
      <c r="I813" s="6">
        <v>85</v>
      </c>
      <c r="J813" s="6">
        <v>2250</v>
      </c>
      <c r="K813" s="7">
        <f>(J813-M813)*税费参数!$B$12/(I813*10000*(1+SUM(税费参数!$B$6:$B$8)))</f>
        <v>0.0238213929639652</v>
      </c>
      <c r="L813" s="7">
        <f>J813*税费参数!$B$12/(I813*10000)</f>
        <v>0.0264705882352941</v>
      </c>
      <c r="M813" s="6">
        <f>I813*10000*SUM(税费参数!$B$9:$B$10)/税费参数!$B$11</f>
        <v>159.375</v>
      </c>
    </row>
    <row r="814" ht="21" customHeight="1" spans="1:13">
      <c r="A814" s="5" t="s">
        <v>12</v>
      </c>
      <c r="B814" s="6" t="s">
        <v>77</v>
      </c>
      <c r="C814" s="6" t="s">
        <v>152</v>
      </c>
      <c r="D814" s="6" t="s">
        <v>153</v>
      </c>
      <c r="E814" s="6" t="s">
        <v>641</v>
      </c>
      <c r="F814" s="6" t="s">
        <v>1736</v>
      </c>
      <c r="G814" s="6">
        <v>54.77</v>
      </c>
      <c r="H814" s="6">
        <v>56.39</v>
      </c>
      <c r="I814" s="6">
        <v>85</v>
      </c>
      <c r="J814" s="6">
        <v>2500</v>
      </c>
      <c r="K814" s="7">
        <f>(J814-M814)*税费参数!$B$12/(I814*10000*(1+SUM(税费参数!$B$6:$B$8)))</f>
        <v>0.0266699900299103</v>
      </c>
      <c r="L814" s="7">
        <f>J814*税费参数!$B$12/(I814*10000)</f>
        <v>0.0294117647058824</v>
      </c>
      <c r="M814" s="6">
        <f>I814*10000*SUM(税费参数!$B$9:$B$10)/税费参数!$B$11</f>
        <v>159.375</v>
      </c>
    </row>
    <row r="815" ht="21" customHeight="1" spans="1:13">
      <c r="A815" s="5" t="s">
        <v>12</v>
      </c>
      <c r="B815" s="6" t="s">
        <v>77</v>
      </c>
      <c r="C815" s="6" t="s">
        <v>152</v>
      </c>
      <c r="D815" s="6" t="s">
        <v>153</v>
      </c>
      <c r="E815" s="6" t="s">
        <v>641</v>
      </c>
      <c r="F815" s="6" t="s">
        <v>1737</v>
      </c>
      <c r="G815" s="6">
        <v>54.77</v>
      </c>
      <c r="H815" s="6">
        <v>59</v>
      </c>
      <c r="I815" s="6">
        <v>85</v>
      </c>
      <c r="J815" s="6">
        <v>2500</v>
      </c>
      <c r="K815" s="7">
        <f>(J815-M815)*税费参数!$B$12/(I815*10000*(1+SUM(税费参数!$B$6:$B$8)))</f>
        <v>0.0266699900299103</v>
      </c>
      <c r="L815" s="7">
        <f>J815*税费参数!$B$12/(I815*10000)</f>
        <v>0.0294117647058824</v>
      </c>
      <c r="M815" s="6">
        <f>I815*10000*SUM(税费参数!$B$9:$B$10)/税费参数!$B$11</f>
        <v>159.375</v>
      </c>
    </row>
    <row r="816" ht="21" customHeight="1" spans="1:13">
      <c r="A816" s="5" t="s">
        <v>12</v>
      </c>
      <c r="B816" s="6" t="s">
        <v>77</v>
      </c>
      <c r="C816" s="6" t="s">
        <v>152</v>
      </c>
      <c r="D816" s="6" t="s">
        <v>153</v>
      </c>
      <c r="E816" s="6" t="s">
        <v>641</v>
      </c>
      <c r="F816" s="6" t="s">
        <v>1738</v>
      </c>
      <c r="G816" s="6">
        <v>54.77</v>
      </c>
      <c r="H816" s="6">
        <v>55.28</v>
      </c>
      <c r="I816" s="6">
        <v>85</v>
      </c>
      <c r="J816" s="6">
        <v>2600</v>
      </c>
      <c r="K816" s="7">
        <f>(J816-M816)*税费参数!$B$12/(I816*10000*(1+SUM(税费参数!$B$6:$B$8)))</f>
        <v>0.0278094288562883</v>
      </c>
      <c r="L816" s="7">
        <f>J816*税费参数!$B$12/(I816*10000)</f>
        <v>0.0305882352941176</v>
      </c>
      <c r="M816" s="6">
        <f>I816*10000*SUM(税费参数!$B$9:$B$10)/税费参数!$B$11</f>
        <v>159.375</v>
      </c>
    </row>
    <row r="817" ht="21" customHeight="1" spans="1:13">
      <c r="A817" s="5" t="s">
        <v>12</v>
      </c>
      <c r="B817" s="6" t="s">
        <v>77</v>
      </c>
      <c r="C817" s="6" t="s">
        <v>152</v>
      </c>
      <c r="D817" s="6" t="s">
        <v>153</v>
      </c>
      <c r="E817" s="6" t="s">
        <v>641</v>
      </c>
      <c r="F817" s="6" t="s">
        <v>1739</v>
      </c>
      <c r="G817" s="6">
        <v>54.77</v>
      </c>
      <c r="H817" s="6">
        <v>51.28</v>
      </c>
      <c r="I817" s="6">
        <v>85</v>
      </c>
      <c r="J817" s="6">
        <v>2400</v>
      </c>
      <c r="K817" s="7">
        <f>(J817-M817)*税费参数!$B$12/(I817*10000*(1+SUM(税费参数!$B$6:$B$8)))</f>
        <v>0.0255305512035323</v>
      </c>
      <c r="L817" s="7">
        <f>J817*税费参数!$B$12/(I817*10000)</f>
        <v>0.0282352941176471</v>
      </c>
      <c r="M817" s="6">
        <f>I817*10000*SUM(税费参数!$B$9:$B$10)/税费参数!$B$11</f>
        <v>159.375</v>
      </c>
    </row>
    <row r="818" ht="21" customHeight="1" spans="1:13">
      <c r="A818" s="5" t="s">
        <v>12</v>
      </c>
      <c r="B818" s="6" t="s">
        <v>77</v>
      </c>
      <c r="C818" s="6" t="s">
        <v>152</v>
      </c>
      <c r="D818" s="6" t="s">
        <v>153</v>
      </c>
      <c r="E818" s="6" t="s">
        <v>641</v>
      </c>
      <c r="F818" s="6" t="s">
        <v>1740</v>
      </c>
      <c r="G818" s="6">
        <v>54.77</v>
      </c>
      <c r="H818" s="6">
        <v>52.38</v>
      </c>
      <c r="I818" s="6">
        <v>85</v>
      </c>
      <c r="J818" s="6">
        <v>2600</v>
      </c>
      <c r="K818" s="7">
        <f>(J818-M818)*税费参数!$B$12/(I818*10000*(1+SUM(税费参数!$B$6:$B$8)))</f>
        <v>0.0278094288562883</v>
      </c>
      <c r="L818" s="7">
        <f>J818*税费参数!$B$12/(I818*10000)</f>
        <v>0.0305882352941176</v>
      </c>
      <c r="M818" s="6">
        <f>I818*10000*SUM(税费参数!$B$9:$B$10)/税费参数!$B$11</f>
        <v>159.375</v>
      </c>
    </row>
    <row r="819" ht="21" customHeight="1" spans="1:13">
      <c r="A819" s="5" t="s">
        <v>12</v>
      </c>
      <c r="B819" s="6" t="s">
        <v>77</v>
      </c>
      <c r="C819" s="6" t="s">
        <v>152</v>
      </c>
      <c r="D819" s="6" t="s">
        <v>153</v>
      </c>
      <c r="E819" s="6" t="s">
        <v>649</v>
      </c>
      <c r="F819" s="6" t="s">
        <v>1734</v>
      </c>
      <c r="G819" s="6">
        <v>56.39</v>
      </c>
      <c r="H819" s="6">
        <v>54.77</v>
      </c>
      <c r="I819" s="6">
        <v>93</v>
      </c>
      <c r="J819" s="6">
        <v>3130</v>
      </c>
      <c r="K819" s="7">
        <f>(J819-M819)*税费参数!$B$12/(I819*10000*(1+SUM(税费参数!$B$6:$B$8)))</f>
        <v>0.0307805462261449</v>
      </c>
      <c r="L819" s="7">
        <f>J819*税费参数!$B$12/(I819*10000)</f>
        <v>0.0336559139784946</v>
      </c>
      <c r="M819" s="6">
        <f>I819*10000*SUM(税费参数!$B$9:$B$10)/税费参数!$B$11</f>
        <v>174.375</v>
      </c>
    </row>
    <row r="820" ht="21" customHeight="1" spans="1:13">
      <c r="A820" s="5" t="s">
        <v>12</v>
      </c>
      <c r="B820" s="6" t="s">
        <v>77</v>
      </c>
      <c r="C820" s="6" t="s">
        <v>152</v>
      </c>
      <c r="D820" s="6" t="s">
        <v>153</v>
      </c>
      <c r="E820" s="6" t="s">
        <v>649</v>
      </c>
      <c r="F820" s="6" t="s">
        <v>1735</v>
      </c>
      <c r="G820" s="6">
        <v>56.39</v>
      </c>
      <c r="H820" s="6">
        <v>52.38</v>
      </c>
      <c r="I820" s="6">
        <v>93</v>
      </c>
      <c r="J820" s="6">
        <v>2250</v>
      </c>
      <c r="K820" s="7">
        <f>(J820-M820)*税费参数!$B$12/(I820*10000*(1+SUM(税费参数!$B$6:$B$8)))</f>
        <v>0.0216160274935562</v>
      </c>
      <c r="L820" s="7">
        <f>J820*税费参数!$B$12/(I820*10000)</f>
        <v>0.0241935483870968</v>
      </c>
      <c r="M820" s="6">
        <f>I820*10000*SUM(税费参数!$B$9:$B$10)/税费参数!$B$11</f>
        <v>174.375</v>
      </c>
    </row>
    <row r="821" ht="21" customHeight="1" spans="1:13">
      <c r="A821" s="5" t="s">
        <v>12</v>
      </c>
      <c r="B821" s="6" t="s">
        <v>77</v>
      </c>
      <c r="C821" s="6" t="s">
        <v>152</v>
      </c>
      <c r="D821" s="6" t="s">
        <v>153</v>
      </c>
      <c r="E821" s="6" t="s">
        <v>649</v>
      </c>
      <c r="F821" s="6" t="s">
        <v>1736</v>
      </c>
      <c r="G821" s="6">
        <v>56.39</v>
      </c>
      <c r="H821" s="6">
        <v>56.39</v>
      </c>
      <c r="I821" s="6">
        <v>93</v>
      </c>
      <c r="J821" s="6">
        <v>2500</v>
      </c>
      <c r="K821" s="7">
        <f>(J821-M821)*税费参数!$B$12/(I821*10000*(1+SUM(税费参数!$B$6:$B$8)))</f>
        <v>0.024219583951678</v>
      </c>
      <c r="L821" s="7">
        <f>J821*税费参数!$B$12/(I821*10000)</f>
        <v>0.0268817204301075</v>
      </c>
      <c r="M821" s="6">
        <f>I821*10000*SUM(税费参数!$B$9:$B$10)/税费参数!$B$11</f>
        <v>174.375</v>
      </c>
    </row>
    <row r="822" ht="21" customHeight="1" spans="1:13">
      <c r="A822" s="5" t="s">
        <v>12</v>
      </c>
      <c r="B822" s="6" t="s">
        <v>77</v>
      </c>
      <c r="C822" s="6" t="s">
        <v>152</v>
      </c>
      <c r="D822" s="6" t="s">
        <v>153</v>
      </c>
      <c r="E822" s="6" t="s">
        <v>649</v>
      </c>
      <c r="F822" s="6" t="s">
        <v>1737</v>
      </c>
      <c r="G822" s="6">
        <v>56.39</v>
      </c>
      <c r="H822" s="6">
        <v>59</v>
      </c>
      <c r="I822" s="6">
        <v>93</v>
      </c>
      <c r="J822" s="6">
        <v>2500</v>
      </c>
      <c r="K822" s="7">
        <f>(J822-M822)*税费参数!$B$12/(I822*10000*(1+SUM(税费参数!$B$6:$B$8)))</f>
        <v>0.024219583951678</v>
      </c>
      <c r="L822" s="7">
        <f>J822*税费参数!$B$12/(I822*10000)</f>
        <v>0.0268817204301075</v>
      </c>
      <c r="M822" s="6">
        <f>I822*10000*SUM(税费参数!$B$9:$B$10)/税费参数!$B$11</f>
        <v>174.375</v>
      </c>
    </row>
    <row r="823" ht="21" customHeight="1" spans="1:13">
      <c r="A823" s="5" t="s">
        <v>12</v>
      </c>
      <c r="B823" s="6" t="s">
        <v>77</v>
      </c>
      <c r="C823" s="6" t="s">
        <v>152</v>
      </c>
      <c r="D823" s="6" t="s">
        <v>153</v>
      </c>
      <c r="E823" s="6" t="s">
        <v>649</v>
      </c>
      <c r="F823" s="6" t="s">
        <v>1738</v>
      </c>
      <c r="G823" s="6">
        <v>56.39</v>
      </c>
      <c r="H823" s="6">
        <v>55.28</v>
      </c>
      <c r="I823" s="6">
        <v>93</v>
      </c>
      <c r="J823" s="6">
        <v>2600</v>
      </c>
      <c r="K823" s="7">
        <f>(J823-M823)*税费参数!$B$12/(I823*10000*(1+SUM(税费参数!$B$6:$B$8)))</f>
        <v>0.0252610065349267</v>
      </c>
      <c r="L823" s="7">
        <f>J823*税费参数!$B$12/(I823*10000)</f>
        <v>0.0279569892473118</v>
      </c>
      <c r="M823" s="6">
        <f>I823*10000*SUM(税费参数!$B$9:$B$10)/税费参数!$B$11</f>
        <v>174.375</v>
      </c>
    </row>
    <row r="824" ht="21" customHeight="1" spans="1:13">
      <c r="A824" s="5" t="s">
        <v>12</v>
      </c>
      <c r="B824" s="6" t="s">
        <v>77</v>
      </c>
      <c r="C824" s="6" t="s">
        <v>152</v>
      </c>
      <c r="D824" s="6" t="s">
        <v>153</v>
      </c>
      <c r="E824" s="6" t="s">
        <v>649</v>
      </c>
      <c r="F824" s="6" t="s">
        <v>1739</v>
      </c>
      <c r="G824" s="6">
        <v>56.39</v>
      </c>
      <c r="H824" s="6">
        <v>51.28</v>
      </c>
      <c r="I824" s="6">
        <v>93</v>
      </c>
      <c r="J824" s="6">
        <v>2400</v>
      </c>
      <c r="K824" s="7">
        <f>(J824-M824)*税费参数!$B$12/(I824*10000*(1+SUM(税费参数!$B$6:$B$8)))</f>
        <v>0.0231781613684293</v>
      </c>
      <c r="L824" s="7">
        <f>J824*税费参数!$B$12/(I824*10000)</f>
        <v>0.0258064516129032</v>
      </c>
      <c r="M824" s="6">
        <f>I824*10000*SUM(税费参数!$B$9:$B$10)/税费参数!$B$11</f>
        <v>174.375</v>
      </c>
    </row>
    <row r="825" ht="21" customHeight="1" spans="1:13">
      <c r="A825" s="5" t="s">
        <v>12</v>
      </c>
      <c r="B825" s="6" t="s">
        <v>77</v>
      </c>
      <c r="C825" s="6" t="s">
        <v>152</v>
      </c>
      <c r="D825" s="6" t="s">
        <v>153</v>
      </c>
      <c r="E825" s="6" t="s">
        <v>649</v>
      </c>
      <c r="F825" s="6" t="s">
        <v>1740</v>
      </c>
      <c r="G825" s="6">
        <v>56.39</v>
      </c>
      <c r="H825" s="6">
        <v>52.38</v>
      </c>
      <c r="I825" s="6">
        <v>93</v>
      </c>
      <c r="J825" s="6">
        <v>2600</v>
      </c>
      <c r="K825" s="7">
        <f>(J825-M825)*税费参数!$B$12/(I825*10000*(1+SUM(税费参数!$B$6:$B$8)))</f>
        <v>0.0252610065349267</v>
      </c>
      <c r="L825" s="7">
        <f>J825*税费参数!$B$12/(I825*10000)</f>
        <v>0.0279569892473118</v>
      </c>
      <c r="M825" s="6">
        <f>I825*10000*SUM(税费参数!$B$9:$B$10)/税费参数!$B$11</f>
        <v>174.375</v>
      </c>
    </row>
    <row r="826" ht="21" customHeight="1" spans="1:13">
      <c r="A826" s="5" t="s">
        <v>12</v>
      </c>
      <c r="B826" s="6" t="s">
        <v>77</v>
      </c>
      <c r="C826" s="6" t="s">
        <v>152</v>
      </c>
      <c r="D826" s="6" t="s">
        <v>153</v>
      </c>
      <c r="E826" s="6" t="s">
        <v>643</v>
      </c>
      <c r="F826" s="6" t="s">
        <v>1734</v>
      </c>
      <c r="G826" s="6">
        <v>52.38</v>
      </c>
      <c r="H826" s="6">
        <v>54.77</v>
      </c>
      <c r="I826" s="6">
        <v>95</v>
      </c>
      <c r="J826" s="6">
        <v>3130</v>
      </c>
      <c r="K826" s="7">
        <f>(J826-M826)*税费参数!$B$12/(I826*10000*(1+SUM(税费参数!$B$6:$B$8)))</f>
        <v>0.0300943035554989</v>
      </c>
      <c r="L826" s="7">
        <f>J826*税费参数!$B$12/(I826*10000)</f>
        <v>0.0329473684210526</v>
      </c>
      <c r="M826" s="6">
        <f>I826*10000*SUM(税费参数!$B$9:$B$10)/税费参数!$B$11</f>
        <v>178.125</v>
      </c>
    </row>
    <row r="827" ht="21" customHeight="1" spans="1:13">
      <c r="A827" s="5" t="s">
        <v>12</v>
      </c>
      <c r="B827" s="6" t="s">
        <v>77</v>
      </c>
      <c r="C827" s="6" t="s">
        <v>152</v>
      </c>
      <c r="D827" s="6" t="s">
        <v>153</v>
      </c>
      <c r="E827" s="6" t="s">
        <v>643</v>
      </c>
      <c r="F827" s="6" t="s">
        <v>1735</v>
      </c>
      <c r="G827" s="6">
        <v>52.38</v>
      </c>
      <c r="H827" s="6">
        <v>52.38</v>
      </c>
      <c r="I827" s="6">
        <v>95</v>
      </c>
      <c r="J827" s="6">
        <v>2250</v>
      </c>
      <c r="K827" s="7">
        <f>(J827-M827)*税费参数!$B$12/(I827*10000*(1+SUM(税费参数!$B$6:$B$8)))</f>
        <v>0.0211227220593858</v>
      </c>
      <c r="L827" s="7">
        <f>J827*税费参数!$B$12/(I827*10000)</f>
        <v>0.0236842105263158</v>
      </c>
      <c r="M827" s="6">
        <f>I827*10000*SUM(税费参数!$B$9:$B$10)/税费参数!$B$11</f>
        <v>178.125</v>
      </c>
    </row>
    <row r="828" ht="21" customHeight="1" spans="1:13">
      <c r="A828" s="5" t="s">
        <v>12</v>
      </c>
      <c r="B828" s="6" t="s">
        <v>77</v>
      </c>
      <c r="C828" s="6" t="s">
        <v>152</v>
      </c>
      <c r="D828" s="6" t="s">
        <v>153</v>
      </c>
      <c r="E828" s="6" t="s">
        <v>643</v>
      </c>
      <c r="F828" s="6" t="s">
        <v>1736</v>
      </c>
      <c r="G828" s="6">
        <v>52.38</v>
      </c>
      <c r="H828" s="6">
        <v>56.39</v>
      </c>
      <c r="I828" s="6">
        <v>95</v>
      </c>
      <c r="J828" s="6">
        <v>2500</v>
      </c>
      <c r="K828" s="7">
        <f>(J828-M828)*税费参数!$B$12/(I828*10000*(1+SUM(税费参数!$B$6:$B$8)))</f>
        <v>0.0236714668025997</v>
      </c>
      <c r="L828" s="7">
        <f>J828*税费参数!$B$12/(I828*10000)</f>
        <v>0.0263157894736842</v>
      </c>
      <c r="M828" s="6">
        <f>I828*10000*SUM(税费参数!$B$9:$B$10)/税费参数!$B$11</f>
        <v>178.125</v>
      </c>
    </row>
    <row r="829" ht="21" customHeight="1" spans="1:13">
      <c r="A829" s="5" t="s">
        <v>12</v>
      </c>
      <c r="B829" s="6" t="s">
        <v>77</v>
      </c>
      <c r="C829" s="6" t="s">
        <v>152</v>
      </c>
      <c r="D829" s="6" t="s">
        <v>153</v>
      </c>
      <c r="E829" s="6" t="s">
        <v>643</v>
      </c>
      <c r="F829" s="6" t="s">
        <v>1737</v>
      </c>
      <c r="G829" s="6">
        <v>52.38</v>
      </c>
      <c r="H829" s="6">
        <v>59</v>
      </c>
      <c r="I829" s="6">
        <v>95</v>
      </c>
      <c r="J829" s="6">
        <v>2500</v>
      </c>
      <c r="K829" s="7">
        <f>(J829-M829)*税费参数!$B$12/(I829*10000*(1+SUM(税费参数!$B$6:$B$8)))</f>
        <v>0.0236714668025997</v>
      </c>
      <c r="L829" s="7">
        <f>J829*税费参数!$B$12/(I829*10000)</f>
        <v>0.0263157894736842</v>
      </c>
      <c r="M829" s="6">
        <f>I829*10000*SUM(税费参数!$B$9:$B$10)/税费参数!$B$11</f>
        <v>178.125</v>
      </c>
    </row>
    <row r="830" ht="21" customHeight="1" spans="1:13">
      <c r="A830" s="5" t="s">
        <v>12</v>
      </c>
      <c r="B830" s="6" t="s">
        <v>77</v>
      </c>
      <c r="C830" s="6" t="s">
        <v>152</v>
      </c>
      <c r="D830" s="6" t="s">
        <v>153</v>
      </c>
      <c r="E830" s="6" t="s">
        <v>643</v>
      </c>
      <c r="F830" s="6" t="s">
        <v>1738</v>
      </c>
      <c r="G830" s="6">
        <v>52.38</v>
      </c>
      <c r="H830" s="6">
        <v>55.28</v>
      </c>
      <c r="I830" s="6">
        <v>95</v>
      </c>
      <c r="J830" s="6">
        <v>2600</v>
      </c>
      <c r="K830" s="7">
        <f>(J830-M830)*税费参数!$B$12/(I830*10000*(1+SUM(税费参数!$B$6:$B$8)))</f>
        <v>0.0246909646998853</v>
      </c>
      <c r="L830" s="7">
        <f>J830*税费参数!$B$12/(I830*10000)</f>
        <v>0.0273684210526316</v>
      </c>
      <c r="M830" s="6">
        <f>I830*10000*SUM(税费参数!$B$9:$B$10)/税费参数!$B$11</f>
        <v>178.125</v>
      </c>
    </row>
    <row r="831" ht="21" customHeight="1" spans="1:13">
      <c r="A831" s="5" t="s">
        <v>12</v>
      </c>
      <c r="B831" s="6" t="s">
        <v>77</v>
      </c>
      <c r="C831" s="6" t="s">
        <v>152</v>
      </c>
      <c r="D831" s="6" t="s">
        <v>153</v>
      </c>
      <c r="E831" s="6" t="s">
        <v>643</v>
      </c>
      <c r="F831" s="6" t="s">
        <v>1739</v>
      </c>
      <c r="G831" s="6">
        <v>52.38</v>
      </c>
      <c r="H831" s="6">
        <v>51.28</v>
      </c>
      <c r="I831" s="6">
        <v>95</v>
      </c>
      <c r="J831" s="6">
        <v>2400</v>
      </c>
      <c r="K831" s="7">
        <f>(J831-M831)*税费参数!$B$12/(I831*10000*(1+SUM(税费参数!$B$6:$B$8)))</f>
        <v>0.0226519689053141</v>
      </c>
      <c r="L831" s="7">
        <f>J831*税费参数!$B$12/(I831*10000)</f>
        <v>0.0252631578947368</v>
      </c>
      <c r="M831" s="6">
        <f>I831*10000*SUM(税费参数!$B$9:$B$10)/税费参数!$B$11</f>
        <v>178.125</v>
      </c>
    </row>
    <row r="832" ht="21" customHeight="1" spans="1:13">
      <c r="A832" s="5" t="s">
        <v>12</v>
      </c>
      <c r="B832" s="6" t="s">
        <v>77</v>
      </c>
      <c r="C832" s="6" t="s">
        <v>152</v>
      </c>
      <c r="D832" s="6" t="s">
        <v>153</v>
      </c>
      <c r="E832" s="6" t="s">
        <v>643</v>
      </c>
      <c r="F832" s="6" t="s">
        <v>1740</v>
      </c>
      <c r="G832" s="6">
        <v>52.38</v>
      </c>
      <c r="H832" s="6">
        <v>52.38</v>
      </c>
      <c r="I832" s="6">
        <v>95</v>
      </c>
      <c r="J832" s="6">
        <v>2600</v>
      </c>
      <c r="K832" s="7">
        <f>(J832-M832)*税费参数!$B$12/(I832*10000*(1+SUM(税费参数!$B$6:$B$8)))</f>
        <v>0.0246909646998853</v>
      </c>
      <c r="L832" s="7">
        <f>J832*税费参数!$B$12/(I832*10000)</f>
        <v>0.0273684210526316</v>
      </c>
      <c r="M832" s="6">
        <f>I832*10000*SUM(税费参数!$B$9:$B$10)/税费参数!$B$11</f>
        <v>178.125</v>
      </c>
    </row>
    <row r="833" ht="21" customHeight="1" spans="1:13">
      <c r="A833" s="5" t="s">
        <v>12</v>
      </c>
      <c r="B833" s="6" t="s">
        <v>77</v>
      </c>
      <c r="C833" s="6" t="s">
        <v>152</v>
      </c>
      <c r="D833" s="6" t="s">
        <v>153</v>
      </c>
      <c r="E833" s="6" t="s">
        <v>635</v>
      </c>
      <c r="F833" s="6" t="s">
        <v>1734</v>
      </c>
      <c r="G833" s="6">
        <v>54.77</v>
      </c>
      <c r="H833" s="6">
        <v>54.77</v>
      </c>
      <c r="I833" s="6">
        <v>110</v>
      </c>
      <c r="J833" s="6">
        <v>3130</v>
      </c>
      <c r="K833" s="7">
        <f>(J833-M833)*税费参数!$B$12/(I833*10000*(1+SUM(税费参数!$B$6:$B$8)))</f>
        <v>0.02574290116663</v>
      </c>
      <c r="L833" s="7">
        <f>J833*税费参数!$B$12/(I833*10000)</f>
        <v>0.0284545454545455</v>
      </c>
      <c r="M833" s="6">
        <f>I833*10000*SUM(税费参数!$B$9:$B$10)/税费参数!$B$11</f>
        <v>206.25</v>
      </c>
    </row>
    <row r="834" ht="21" customHeight="1" spans="1:13">
      <c r="A834" s="5" t="s">
        <v>12</v>
      </c>
      <c r="B834" s="6" t="s">
        <v>77</v>
      </c>
      <c r="C834" s="6" t="s">
        <v>152</v>
      </c>
      <c r="D834" s="6" t="s">
        <v>153</v>
      </c>
      <c r="E834" s="6" t="s">
        <v>635</v>
      </c>
      <c r="F834" s="6" t="s">
        <v>1735</v>
      </c>
      <c r="G834" s="6">
        <v>54.77</v>
      </c>
      <c r="H834" s="6">
        <v>52.38</v>
      </c>
      <c r="I834" s="6">
        <v>110</v>
      </c>
      <c r="J834" s="6">
        <v>2250</v>
      </c>
      <c r="K834" s="7">
        <f>(J834-M834)*税费参数!$B$12/(I834*10000*(1+SUM(税费参数!$B$6:$B$8)))</f>
        <v>0.0179947171472595</v>
      </c>
      <c r="L834" s="7">
        <f>J834*税费参数!$B$12/(I834*10000)</f>
        <v>0.0204545454545455</v>
      </c>
      <c r="M834" s="6">
        <f>I834*10000*SUM(税费参数!$B$9:$B$10)/税费参数!$B$11</f>
        <v>206.25</v>
      </c>
    </row>
    <row r="835" ht="21" customHeight="1" spans="1:13">
      <c r="A835" s="5" t="s">
        <v>12</v>
      </c>
      <c r="B835" s="6" t="s">
        <v>77</v>
      </c>
      <c r="C835" s="6" t="s">
        <v>152</v>
      </c>
      <c r="D835" s="6" t="s">
        <v>153</v>
      </c>
      <c r="E835" s="6" t="s">
        <v>635</v>
      </c>
      <c r="F835" s="6" t="s">
        <v>1736</v>
      </c>
      <c r="G835" s="6">
        <v>54.77</v>
      </c>
      <c r="H835" s="6">
        <v>56.39</v>
      </c>
      <c r="I835" s="6">
        <v>110</v>
      </c>
      <c r="J835" s="6">
        <v>2500</v>
      </c>
      <c r="K835" s="7">
        <f>(J835-M835)*税费参数!$B$12/(I835*10000*(1+SUM(税费参数!$B$6:$B$8)))</f>
        <v>0.0201959057891261</v>
      </c>
      <c r="L835" s="7">
        <f>J835*税费参数!$B$12/(I835*10000)</f>
        <v>0.0227272727272727</v>
      </c>
      <c r="M835" s="6">
        <f>I835*10000*SUM(税费参数!$B$9:$B$10)/税费参数!$B$11</f>
        <v>206.25</v>
      </c>
    </row>
    <row r="836" ht="21" customHeight="1" spans="1:13">
      <c r="A836" s="5" t="s">
        <v>12</v>
      </c>
      <c r="B836" s="6" t="s">
        <v>77</v>
      </c>
      <c r="C836" s="6" t="s">
        <v>152</v>
      </c>
      <c r="D836" s="6" t="s">
        <v>153</v>
      </c>
      <c r="E836" s="6" t="s">
        <v>635</v>
      </c>
      <c r="F836" s="6" t="s">
        <v>1737</v>
      </c>
      <c r="G836" s="6">
        <v>54.77</v>
      </c>
      <c r="H836" s="6">
        <v>59</v>
      </c>
      <c r="I836" s="6">
        <v>110</v>
      </c>
      <c r="J836" s="6">
        <v>2500</v>
      </c>
      <c r="K836" s="7">
        <f>(J836-M836)*税费参数!$B$12/(I836*10000*(1+SUM(税费参数!$B$6:$B$8)))</f>
        <v>0.0201959057891261</v>
      </c>
      <c r="L836" s="7">
        <f>J836*税费参数!$B$12/(I836*10000)</f>
        <v>0.0227272727272727</v>
      </c>
      <c r="M836" s="6">
        <f>I836*10000*SUM(税费参数!$B$9:$B$10)/税费参数!$B$11</f>
        <v>206.25</v>
      </c>
    </row>
    <row r="837" ht="21" customHeight="1" spans="1:13">
      <c r="A837" s="5" t="s">
        <v>12</v>
      </c>
      <c r="B837" s="6" t="s">
        <v>77</v>
      </c>
      <c r="C837" s="6" t="s">
        <v>152</v>
      </c>
      <c r="D837" s="6" t="s">
        <v>153</v>
      </c>
      <c r="E837" s="6" t="s">
        <v>635</v>
      </c>
      <c r="F837" s="6" t="s">
        <v>1738</v>
      </c>
      <c r="G837" s="6">
        <v>54.77</v>
      </c>
      <c r="H837" s="6">
        <v>55.28</v>
      </c>
      <c r="I837" s="6">
        <v>110</v>
      </c>
      <c r="J837" s="6">
        <v>2600</v>
      </c>
      <c r="K837" s="7">
        <f>(J837-M837)*税费参数!$B$12/(I837*10000*(1+SUM(税费参数!$B$6:$B$8)))</f>
        <v>0.0210763812458728</v>
      </c>
      <c r="L837" s="7">
        <f>J837*税费参数!$B$12/(I837*10000)</f>
        <v>0.0236363636363636</v>
      </c>
      <c r="M837" s="6">
        <f>I837*10000*SUM(税费参数!$B$9:$B$10)/税费参数!$B$11</f>
        <v>206.25</v>
      </c>
    </row>
    <row r="838" ht="21" customHeight="1" spans="1:13">
      <c r="A838" s="5" t="s">
        <v>12</v>
      </c>
      <c r="B838" s="6" t="s">
        <v>77</v>
      </c>
      <c r="C838" s="6" t="s">
        <v>152</v>
      </c>
      <c r="D838" s="6" t="s">
        <v>153</v>
      </c>
      <c r="E838" s="6" t="s">
        <v>635</v>
      </c>
      <c r="F838" s="6" t="s">
        <v>1739</v>
      </c>
      <c r="G838" s="6">
        <v>54.77</v>
      </c>
      <c r="H838" s="6">
        <v>51.28</v>
      </c>
      <c r="I838" s="6">
        <v>110</v>
      </c>
      <c r="J838" s="6">
        <v>2400</v>
      </c>
      <c r="K838" s="7">
        <f>(J838-M838)*税费参数!$B$12/(I838*10000*(1+SUM(税费参数!$B$6:$B$8)))</f>
        <v>0.0193154303323795</v>
      </c>
      <c r="L838" s="7">
        <f>J838*税费参数!$B$12/(I838*10000)</f>
        <v>0.0218181818181818</v>
      </c>
      <c r="M838" s="6">
        <f>I838*10000*SUM(税费参数!$B$9:$B$10)/税费参数!$B$11</f>
        <v>206.25</v>
      </c>
    </row>
    <row r="839" ht="21" customHeight="1" spans="1:13">
      <c r="A839" s="5" t="s">
        <v>12</v>
      </c>
      <c r="B839" s="6" t="s">
        <v>77</v>
      </c>
      <c r="C839" s="6" t="s">
        <v>152</v>
      </c>
      <c r="D839" s="6" t="s">
        <v>153</v>
      </c>
      <c r="E839" s="6" t="s">
        <v>635</v>
      </c>
      <c r="F839" s="6" t="s">
        <v>1740</v>
      </c>
      <c r="G839" s="6">
        <v>54.77</v>
      </c>
      <c r="H839" s="6">
        <v>52.38</v>
      </c>
      <c r="I839" s="6">
        <v>110</v>
      </c>
      <c r="J839" s="6">
        <v>2600</v>
      </c>
      <c r="K839" s="7">
        <f>(J839-M839)*税费参数!$B$12/(I839*10000*(1+SUM(税费参数!$B$6:$B$8)))</f>
        <v>0.0210763812458728</v>
      </c>
      <c r="L839" s="7">
        <f>J839*税费参数!$B$12/(I839*10000)</f>
        <v>0.0236363636363636</v>
      </c>
      <c r="M839" s="6">
        <f>I839*10000*SUM(税费参数!$B$9:$B$10)/税费参数!$B$11</f>
        <v>206.25</v>
      </c>
    </row>
    <row r="840" ht="21" customHeight="1" spans="1:13">
      <c r="A840" s="5" t="s">
        <v>12</v>
      </c>
      <c r="B840" s="6" t="s">
        <v>77</v>
      </c>
      <c r="C840" s="6" t="s">
        <v>152</v>
      </c>
      <c r="D840" s="6" t="s">
        <v>153</v>
      </c>
      <c r="E840" s="6" t="s">
        <v>637</v>
      </c>
      <c r="F840" s="6" t="s">
        <v>1734</v>
      </c>
      <c r="G840" s="6">
        <v>51.28</v>
      </c>
      <c r="H840" s="6">
        <v>54.77</v>
      </c>
      <c r="I840" s="6">
        <v>92</v>
      </c>
      <c r="J840" s="6">
        <v>3130</v>
      </c>
      <c r="K840" s="7">
        <f>(J840-M840)*税费参数!$B$12/(I840*10000*(1+SUM(税费参数!$B$6:$B$8)))</f>
        <v>0.0311348563006632</v>
      </c>
      <c r="L840" s="7">
        <f>J840*税费参数!$B$12/(I840*10000)</f>
        <v>0.0340217391304348</v>
      </c>
      <c r="M840" s="6">
        <f>I840*10000*SUM(税费参数!$B$9:$B$10)/税费参数!$B$11</f>
        <v>172.5</v>
      </c>
    </row>
    <row r="841" ht="21" customHeight="1" spans="1:13">
      <c r="A841" s="5" t="s">
        <v>12</v>
      </c>
      <c r="B841" s="6" t="s">
        <v>77</v>
      </c>
      <c r="C841" s="6" t="s">
        <v>152</v>
      </c>
      <c r="D841" s="6" t="s">
        <v>153</v>
      </c>
      <c r="E841" s="6" t="s">
        <v>637</v>
      </c>
      <c r="F841" s="6" t="s">
        <v>1735</v>
      </c>
      <c r="G841" s="6">
        <v>51.28</v>
      </c>
      <c r="H841" s="6">
        <v>52.38</v>
      </c>
      <c r="I841" s="6">
        <v>92</v>
      </c>
      <c r="J841" s="6">
        <v>2250</v>
      </c>
      <c r="K841" s="7">
        <f>(J841-M841)*税费参数!$B$12/(I841*10000*(1+SUM(税费参数!$B$6:$B$8)))</f>
        <v>0.0218707232340246</v>
      </c>
      <c r="L841" s="7">
        <f>J841*税费参数!$B$12/(I841*10000)</f>
        <v>0.0244565217391304</v>
      </c>
      <c r="M841" s="6">
        <f>I841*10000*SUM(税费参数!$B$9:$B$10)/税费参数!$B$11</f>
        <v>172.5</v>
      </c>
    </row>
    <row r="842" ht="21" customHeight="1" spans="1:13">
      <c r="A842" s="5" t="s">
        <v>12</v>
      </c>
      <c r="B842" s="6" t="s">
        <v>77</v>
      </c>
      <c r="C842" s="6" t="s">
        <v>152</v>
      </c>
      <c r="D842" s="6" t="s">
        <v>153</v>
      </c>
      <c r="E842" s="6" t="s">
        <v>637</v>
      </c>
      <c r="F842" s="6" t="s">
        <v>1736</v>
      </c>
      <c r="G842" s="6">
        <v>51.28</v>
      </c>
      <c r="H842" s="6">
        <v>56.39</v>
      </c>
      <c r="I842" s="6">
        <v>92</v>
      </c>
      <c r="J842" s="6">
        <v>2500</v>
      </c>
      <c r="K842" s="7">
        <f>(J842-M842)*税费参数!$B$12/(I842*10000*(1+SUM(税费参数!$B$6:$B$8)))</f>
        <v>0.0245025792188651</v>
      </c>
      <c r="L842" s="7">
        <f>J842*税费参数!$B$12/(I842*10000)</f>
        <v>0.0271739130434783</v>
      </c>
      <c r="M842" s="6">
        <f>I842*10000*SUM(税费参数!$B$9:$B$10)/税费参数!$B$11</f>
        <v>172.5</v>
      </c>
    </row>
    <row r="843" ht="21" customHeight="1" spans="1:13">
      <c r="A843" s="5" t="s">
        <v>12</v>
      </c>
      <c r="B843" s="6" t="s">
        <v>77</v>
      </c>
      <c r="C843" s="6" t="s">
        <v>152</v>
      </c>
      <c r="D843" s="6" t="s">
        <v>153</v>
      </c>
      <c r="E843" s="6" t="s">
        <v>637</v>
      </c>
      <c r="F843" s="6" t="s">
        <v>1738</v>
      </c>
      <c r="G843" s="6">
        <v>51.28</v>
      </c>
      <c r="H843" s="6">
        <v>55.28</v>
      </c>
      <c r="I843" s="6">
        <v>92</v>
      </c>
      <c r="J843" s="6">
        <v>2600</v>
      </c>
      <c r="K843" s="7">
        <f>(J843-M843)*税费参数!$B$12/(I843*10000*(1+SUM(税费参数!$B$6:$B$8)))</f>
        <v>0.0255553216128013</v>
      </c>
      <c r="L843" s="7">
        <f>J843*税费参数!$B$12/(I843*10000)</f>
        <v>0.0282608695652174</v>
      </c>
      <c r="M843" s="6">
        <f>I843*10000*SUM(税费参数!$B$9:$B$10)/税费参数!$B$11</f>
        <v>172.5</v>
      </c>
    </row>
    <row r="844" ht="21" customHeight="1" spans="1:13">
      <c r="A844" s="5" t="s">
        <v>12</v>
      </c>
      <c r="B844" s="6" t="s">
        <v>77</v>
      </c>
      <c r="C844" s="6" t="s">
        <v>152</v>
      </c>
      <c r="D844" s="6" t="s">
        <v>153</v>
      </c>
      <c r="E844" s="6" t="s">
        <v>637</v>
      </c>
      <c r="F844" s="6" t="s">
        <v>1739</v>
      </c>
      <c r="G844" s="6">
        <v>51.28</v>
      </c>
      <c r="H844" s="6">
        <v>51.28</v>
      </c>
      <c r="I844" s="6">
        <v>92</v>
      </c>
      <c r="J844" s="6">
        <v>2400</v>
      </c>
      <c r="K844" s="7">
        <f>(J844-M844)*税费参数!$B$12/(I844*10000*(1+SUM(税费参数!$B$6:$B$8)))</f>
        <v>0.0234498368249289</v>
      </c>
      <c r="L844" s="7">
        <f>J844*税费参数!$B$12/(I844*10000)</f>
        <v>0.0260869565217391</v>
      </c>
      <c r="M844" s="6">
        <f>I844*10000*SUM(税费参数!$B$9:$B$10)/税费参数!$B$11</f>
        <v>172.5</v>
      </c>
    </row>
    <row r="845" ht="21" customHeight="1" spans="1:13">
      <c r="A845" s="5" t="s">
        <v>12</v>
      </c>
      <c r="B845" s="6" t="s">
        <v>77</v>
      </c>
      <c r="C845" s="6" t="s">
        <v>152</v>
      </c>
      <c r="D845" s="6" t="s">
        <v>153</v>
      </c>
      <c r="E845" s="6" t="s">
        <v>637</v>
      </c>
      <c r="F845" s="6" t="s">
        <v>1740</v>
      </c>
      <c r="G845" s="6">
        <v>51.28</v>
      </c>
      <c r="H845" s="6">
        <v>52.38</v>
      </c>
      <c r="I845" s="6">
        <v>92</v>
      </c>
      <c r="J845" s="6">
        <v>2600</v>
      </c>
      <c r="K845" s="7">
        <f>(J845-M845)*税费参数!$B$12/(I845*10000*(1+SUM(税费参数!$B$6:$B$8)))</f>
        <v>0.0255553216128013</v>
      </c>
      <c r="L845" s="7">
        <f>J845*税费参数!$B$12/(I845*10000)</f>
        <v>0.0282608695652174</v>
      </c>
      <c r="M845" s="6">
        <f>I845*10000*SUM(税费参数!$B$9:$B$10)/税费参数!$B$11</f>
        <v>172.5</v>
      </c>
    </row>
    <row r="846" ht="21" customHeight="1" spans="1:13">
      <c r="A846" s="5" t="s">
        <v>12</v>
      </c>
      <c r="B846" s="6" t="s">
        <v>77</v>
      </c>
      <c r="C846" s="6" t="s">
        <v>157</v>
      </c>
      <c r="D846" s="6" t="s">
        <v>153</v>
      </c>
      <c r="E846" s="6" t="s">
        <v>651</v>
      </c>
      <c r="F846" s="6" t="s">
        <v>1741</v>
      </c>
      <c r="G846" s="6">
        <v>66.95</v>
      </c>
      <c r="H846" s="6">
        <v>61.9</v>
      </c>
      <c r="I846" s="6">
        <v>110</v>
      </c>
      <c r="J846" s="6">
        <v>2600</v>
      </c>
      <c r="K846" s="7">
        <f>(J846-M846)*税费参数!$B$12/(I846*10000*(1+SUM(税费参数!$B$6:$B$8)))</f>
        <v>0.0210763812458728</v>
      </c>
      <c r="L846" s="7">
        <f>J846*税费参数!$B$12/(I846*10000)</f>
        <v>0.0236363636363636</v>
      </c>
      <c r="M846" s="6">
        <f>I846*10000*SUM(税费参数!$B$9:$B$10)/税费参数!$B$11</f>
        <v>206.25</v>
      </c>
    </row>
    <row r="847" ht="21" customHeight="1" spans="1:13">
      <c r="A847" s="5" t="s">
        <v>12</v>
      </c>
      <c r="B847" s="6" t="s">
        <v>77</v>
      </c>
      <c r="C847" s="6" t="s">
        <v>157</v>
      </c>
      <c r="D847" s="6" t="s">
        <v>153</v>
      </c>
      <c r="E847" s="6" t="s">
        <v>651</v>
      </c>
      <c r="F847" s="6" t="s">
        <v>1742</v>
      </c>
      <c r="G847" s="6">
        <v>66.95</v>
      </c>
      <c r="H847" s="6">
        <v>60.64</v>
      </c>
      <c r="I847" s="6">
        <v>110</v>
      </c>
      <c r="J847" s="6">
        <v>3300</v>
      </c>
      <c r="K847" s="7">
        <f>(J847-M847)*税费参数!$B$12/(I847*10000*(1+SUM(税费参数!$B$6:$B$8)))</f>
        <v>0.0272397094430993</v>
      </c>
      <c r="L847" s="7">
        <f>J847*税费参数!$B$12/(I847*10000)</f>
        <v>0.03</v>
      </c>
      <c r="M847" s="6">
        <f>I847*10000*SUM(税费参数!$B$9:$B$10)/税费参数!$B$11</f>
        <v>206.25</v>
      </c>
    </row>
    <row r="848" ht="21" customHeight="1" spans="1:13">
      <c r="A848" s="5" t="s">
        <v>12</v>
      </c>
      <c r="B848" s="6" t="s">
        <v>77</v>
      </c>
      <c r="C848" s="6" t="s">
        <v>157</v>
      </c>
      <c r="D848" s="6" t="s">
        <v>153</v>
      </c>
      <c r="E848" s="6" t="s">
        <v>651</v>
      </c>
      <c r="F848" s="6" t="s">
        <v>1743</v>
      </c>
      <c r="G848" s="6">
        <v>66.95</v>
      </c>
      <c r="H848" s="6">
        <v>62.07</v>
      </c>
      <c r="I848" s="6">
        <v>110</v>
      </c>
      <c r="J848" s="6">
        <v>2800</v>
      </c>
      <c r="K848" s="7">
        <f>(J848-M848)*税费参数!$B$12/(I848*10000*(1+SUM(税费参数!$B$6:$B$8)))</f>
        <v>0.0228373321593661</v>
      </c>
      <c r="L848" s="7">
        <f>J848*税费参数!$B$12/(I848*10000)</f>
        <v>0.0254545454545455</v>
      </c>
      <c r="M848" s="6">
        <f>I848*10000*SUM(税费参数!$B$9:$B$10)/税费参数!$B$11</f>
        <v>206.25</v>
      </c>
    </row>
    <row r="849" ht="21" customHeight="1" spans="1:13">
      <c r="A849" s="5" t="s">
        <v>12</v>
      </c>
      <c r="B849" s="6" t="s">
        <v>77</v>
      </c>
      <c r="C849" s="6" t="s">
        <v>157</v>
      </c>
      <c r="D849" s="6" t="s">
        <v>153</v>
      </c>
      <c r="E849" s="6" t="s">
        <v>651</v>
      </c>
      <c r="F849" s="6" t="s">
        <v>1744</v>
      </c>
      <c r="G849" s="6">
        <v>66.95</v>
      </c>
      <c r="H849" s="6">
        <v>60.84</v>
      </c>
      <c r="I849" s="6">
        <v>110</v>
      </c>
      <c r="J849" s="6">
        <v>2425</v>
      </c>
      <c r="K849" s="7">
        <f>(J849-M849)*税费参数!$B$12/(I849*10000*(1+SUM(税费参数!$B$6:$B$8)))</f>
        <v>0.0195355491965661</v>
      </c>
      <c r="L849" s="7">
        <f>J849*税费参数!$B$12/(I849*10000)</f>
        <v>0.0220454545454545</v>
      </c>
      <c r="M849" s="6">
        <f>I849*10000*SUM(税费参数!$B$9:$B$10)/税费参数!$B$11</f>
        <v>206.25</v>
      </c>
    </row>
    <row r="850" ht="21" customHeight="1" spans="1:13">
      <c r="A850" s="5" t="s">
        <v>12</v>
      </c>
      <c r="B850" s="6" t="s">
        <v>77</v>
      </c>
      <c r="C850" s="6" t="s">
        <v>157</v>
      </c>
      <c r="D850" s="6" t="s">
        <v>155</v>
      </c>
      <c r="E850" s="6" t="s">
        <v>655</v>
      </c>
      <c r="F850" s="6" t="s">
        <v>1745</v>
      </c>
      <c r="G850" s="6">
        <v>61.9</v>
      </c>
      <c r="H850" s="6">
        <v>70.94</v>
      </c>
      <c r="I850" s="6">
        <v>89.5</v>
      </c>
      <c r="J850" s="6">
        <v>2600</v>
      </c>
      <c r="K850" s="7">
        <f>(J850-M850)*税费参数!$B$12/(I850*10000*(1+SUM(税费参数!$B$6:$B$8)))</f>
        <v>0.0263198831279505</v>
      </c>
      <c r="L850" s="7">
        <f>J850*税费参数!$B$12/(I850*10000)</f>
        <v>0.0290502793296089</v>
      </c>
      <c r="M850" s="6">
        <f>I850*10000*SUM(税费参数!$B$9:$B$10)/税费参数!$B$11</f>
        <v>167.8125</v>
      </c>
    </row>
    <row r="851" ht="21" customHeight="1" spans="1:13">
      <c r="A851" s="5" t="s">
        <v>12</v>
      </c>
      <c r="B851" s="6" t="s">
        <v>77</v>
      </c>
      <c r="C851" s="6" t="s">
        <v>157</v>
      </c>
      <c r="D851" s="6" t="s">
        <v>155</v>
      </c>
      <c r="E851" s="6" t="s">
        <v>655</v>
      </c>
      <c r="F851" s="6" t="s">
        <v>1746</v>
      </c>
      <c r="G851" s="6">
        <v>61.9</v>
      </c>
      <c r="H851" s="6">
        <v>71</v>
      </c>
      <c r="I851" s="6">
        <v>89.5</v>
      </c>
      <c r="J851" s="6">
        <v>2600</v>
      </c>
      <c r="K851" s="7">
        <f>(J851-M851)*税费参数!$B$12/(I851*10000*(1+SUM(税费参数!$B$6:$B$8)))</f>
        <v>0.0263198831279505</v>
      </c>
      <c r="L851" s="7">
        <f>J851*税费参数!$B$12/(I851*10000)</f>
        <v>0.0290502793296089</v>
      </c>
      <c r="M851" s="6">
        <f>I851*10000*SUM(税费参数!$B$9:$B$10)/税费参数!$B$11</f>
        <v>167.8125</v>
      </c>
    </row>
    <row r="852" ht="21" customHeight="1" spans="1:13">
      <c r="A852" s="5" t="s">
        <v>12</v>
      </c>
      <c r="B852" s="6" t="s">
        <v>77</v>
      </c>
      <c r="C852" s="6" t="s">
        <v>157</v>
      </c>
      <c r="D852" s="6" t="s">
        <v>155</v>
      </c>
      <c r="E852" s="6" t="s">
        <v>655</v>
      </c>
      <c r="F852" s="6" t="s">
        <v>1747</v>
      </c>
      <c r="G852" s="6">
        <v>61.9</v>
      </c>
      <c r="H852" s="6">
        <v>60.64</v>
      </c>
      <c r="I852" s="6">
        <v>89.5</v>
      </c>
      <c r="J852" s="6">
        <v>2900</v>
      </c>
      <c r="K852" s="7">
        <f>(J852-M852)*税费参数!$B$12/(I852*10000*(1+SUM(税费参数!$B$6:$B$8)))</f>
        <v>0.0295663289461225</v>
      </c>
      <c r="L852" s="7">
        <f>J852*税费参数!$B$12/(I852*10000)</f>
        <v>0.0324022346368715</v>
      </c>
      <c r="M852" s="6">
        <f>I852*10000*SUM(税费参数!$B$9:$B$10)/税费参数!$B$11</f>
        <v>167.8125</v>
      </c>
    </row>
    <row r="853" ht="21" customHeight="1" spans="1:13">
      <c r="A853" s="5" t="s">
        <v>12</v>
      </c>
      <c r="B853" s="6" t="s">
        <v>77</v>
      </c>
      <c r="C853" s="6" t="s">
        <v>157</v>
      </c>
      <c r="D853" s="6" t="s">
        <v>155</v>
      </c>
      <c r="E853" s="6" t="s">
        <v>655</v>
      </c>
      <c r="F853" s="6" t="s">
        <v>1748</v>
      </c>
      <c r="G853" s="6">
        <v>61.9</v>
      </c>
      <c r="H853" s="6">
        <v>60.84</v>
      </c>
      <c r="I853" s="6">
        <v>89.5</v>
      </c>
      <c r="J853" s="6">
        <v>2650</v>
      </c>
      <c r="K853" s="7">
        <f>(J853-M853)*税费参数!$B$12/(I853*10000*(1+SUM(税费参数!$B$6:$B$8)))</f>
        <v>0.0268609574309792</v>
      </c>
      <c r="L853" s="7">
        <f>J853*税费参数!$B$12/(I853*10000)</f>
        <v>0.029608938547486</v>
      </c>
      <c r="M853" s="6">
        <f>I853*10000*SUM(税费参数!$B$9:$B$10)/税费参数!$B$11</f>
        <v>167.8125</v>
      </c>
    </row>
    <row r="854" ht="21" customHeight="1" spans="1:13">
      <c r="A854" s="5" t="s">
        <v>12</v>
      </c>
      <c r="B854" s="6" t="s">
        <v>77</v>
      </c>
      <c r="C854" s="6" t="s">
        <v>157</v>
      </c>
      <c r="D854" s="6" t="s">
        <v>155</v>
      </c>
      <c r="E854" s="6" t="s">
        <v>655</v>
      </c>
      <c r="F854" s="6" t="s">
        <v>1749</v>
      </c>
      <c r="G854" s="6">
        <v>61.9</v>
      </c>
      <c r="H854" s="6">
        <v>70.94</v>
      </c>
      <c r="I854" s="6">
        <v>89.5</v>
      </c>
      <c r="J854" s="6">
        <v>2900</v>
      </c>
      <c r="K854" s="7">
        <f>(J854-M854)*税费参数!$B$12/(I854*10000*(1+SUM(税费参数!$B$6:$B$8)))</f>
        <v>0.0295663289461225</v>
      </c>
      <c r="L854" s="7">
        <f>J854*税费参数!$B$12/(I854*10000)</f>
        <v>0.0324022346368715</v>
      </c>
      <c r="M854" s="6">
        <f>I854*10000*SUM(税费参数!$B$9:$B$10)/税费参数!$B$11</f>
        <v>167.8125</v>
      </c>
    </row>
    <row r="855" ht="21" customHeight="1" spans="1:13">
      <c r="A855" s="5" t="s">
        <v>12</v>
      </c>
      <c r="B855" s="6" t="s">
        <v>77</v>
      </c>
      <c r="C855" s="6" t="s">
        <v>157</v>
      </c>
      <c r="D855" s="6" t="s">
        <v>155</v>
      </c>
      <c r="E855" s="6" t="s">
        <v>655</v>
      </c>
      <c r="F855" s="6" t="s">
        <v>1750</v>
      </c>
      <c r="G855" s="6">
        <v>61.9</v>
      </c>
      <c r="H855" s="6">
        <v>60.84</v>
      </c>
      <c r="I855" s="6">
        <v>89.5</v>
      </c>
      <c r="J855" s="6">
        <v>2500</v>
      </c>
      <c r="K855" s="7">
        <f>(J855-M855)*税费参数!$B$12/(I855*10000*(1+SUM(税费参数!$B$6:$B$8)))</f>
        <v>0.0252377345218932</v>
      </c>
      <c r="L855" s="7">
        <f>J855*税费参数!$B$12/(I855*10000)</f>
        <v>0.0279329608938547</v>
      </c>
      <c r="M855" s="6">
        <f>I855*10000*SUM(税费参数!$B$9:$B$10)/税费参数!$B$11</f>
        <v>167.8125</v>
      </c>
    </row>
    <row r="856" ht="21" customHeight="1" spans="1:13">
      <c r="A856" s="5" t="s">
        <v>12</v>
      </c>
      <c r="B856" s="6" t="s">
        <v>77</v>
      </c>
      <c r="C856" s="6" t="s">
        <v>157</v>
      </c>
      <c r="D856" s="6" t="s">
        <v>155</v>
      </c>
      <c r="E856" s="6" t="s">
        <v>655</v>
      </c>
      <c r="F856" s="6" t="s">
        <v>1751</v>
      </c>
      <c r="G856" s="6">
        <v>61.9</v>
      </c>
      <c r="H856" s="6">
        <v>60.84</v>
      </c>
      <c r="I856" s="6">
        <v>89.5</v>
      </c>
      <c r="J856" s="6">
        <v>2500</v>
      </c>
      <c r="K856" s="7">
        <f>(J856-M856)*税费参数!$B$12/(I856*10000*(1+SUM(税费参数!$B$6:$B$8)))</f>
        <v>0.0252377345218932</v>
      </c>
      <c r="L856" s="7">
        <f>J856*税费参数!$B$12/(I856*10000)</f>
        <v>0.0279329608938547</v>
      </c>
      <c r="M856" s="6">
        <f>I856*10000*SUM(税费参数!$B$9:$B$10)/税费参数!$B$11</f>
        <v>167.8125</v>
      </c>
    </row>
    <row r="857" ht="21" customHeight="1" spans="1:13">
      <c r="A857" s="5" t="s">
        <v>12</v>
      </c>
      <c r="B857" s="6" t="s">
        <v>77</v>
      </c>
      <c r="C857" s="6" t="s">
        <v>157</v>
      </c>
      <c r="D857" s="6" t="s">
        <v>155</v>
      </c>
      <c r="E857" s="6" t="s">
        <v>655</v>
      </c>
      <c r="F857" s="6" t="s">
        <v>1752</v>
      </c>
      <c r="G857" s="6">
        <v>61.9</v>
      </c>
      <c r="H857" s="6">
        <v>60.84</v>
      </c>
      <c r="I857" s="6">
        <v>89.5</v>
      </c>
      <c r="J857" s="6">
        <v>2400</v>
      </c>
      <c r="K857" s="7">
        <f>(J857-M857)*税费参数!$B$12/(I857*10000*(1+SUM(税费参数!$B$6:$B$8)))</f>
        <v>0.0241555859158359</v>
      </c>
      <c r="L857" s="7">
        <f>J857*税费参数!$B$12/(I857*10000)</f>
        <v>0.0268156424581006</v>
      </c>
      <c r="M857" s="6">
        <f>I857*10000*SUM(税费参数!$B$9:$B$10)/税费参数!$B$11</f>
        <v>167.8125</v>
      </c>
    </row>
    <row r="858" ht="21" customHeight="1" spans="1:13">
      <c r="A858" s="5" t="s">
        <v>12</v>
      </c>
      <c r="B858" s="6" t="s">
        <v>77</v>
      </c>
      <c r="C858" s="6" t="s">
        <v>157</v>
      </c>
      <c r="D858" s="6" t="s">
        <v>155</v>
      </c>
      <c r="E858" s="6" t="s">
        <v>653</v>
      </c>
      <c r="F858" s="6" t="s">
        <v>1747</v>
      </c>
      <c r="G858" s="6">
        <v>60.84</v>
      </c>
      <c r="H858" s="6">
        <v>60.64</v>
      </c>
      <c r="I858" s="6">
        <v>99</v>
      </c>
      <c r="J858" s="6">
        <v>2900</v>
      </c>
      <c r="K858" s="7">
        <f>(J858-M858)*税费参数!$B$12/(I858*10000*(1+SUM(税费参数!$B$6:$B$8)))</f>
        <v>0.026554895198963</v>
      </c>
      <c r="L858" s="7">
        <f>J858*税费参数!$B$12/(I858*10000)</f>
        <v>0.0292929292929293</v>
      </c>
      <c r="M858" s="6">
        <f>I858*10000*SUM(税费参数!$B$9:$B$10)/税费参数!$B$11</f>
        <v>185.625</v>
      </c>
    </row>
    <row r="859" ht="21" customHeight="1" spans="1:13">
      <c r="A859" s="5" t="s">
        <v>12</v>
      </c>
      <c r="B859" s="6" t="s">
        <v>77</v>
      </c>
      <c r="C859" s="6" t="s">
        <v>157</v>
      </c>
      <c r="D859" s="6" t="s">
        <v>155</v>
      </c>
      <c r="E859" s="6" t="s">
        <v>653</v>
      </c>
      <c r="F859" s="6" t="s">
        <v>1748</v>
      </c>
      <c r="G859" s="6">
        <v>60.84</v>
      </c>
      <c r="H859" s="6">
        <v>60.84</v>
      </c>
      <c r="I859" s="6">
        <v>99</v>
      </c>
      <c r="J859" s="6">
        <v>2650</v>
      </c>
      <c r="K859" s="7">
        <f>(J859-M859)*税费参数!$B$12/(I859*10000*(1+SUM(税费参数!$B$6:$B$8)))</f>
        <v>0.0241091300413334</v>
      </c>
      <c r="L859" s="7">
        <f>J859*税费参数!$B$12/(I859*10000)</f>
        <v>0.0267676767676768</v>
      </c>
      <c r="M859" s="6">
        <f>I859*10000*SUM(税费参数!$B$9:$B$10)/税费参数!$B$11</f>
        <v>185.625</v>
      </c>
    </row>
    <row r="860" ht="21" customHeight="1" spans="1:13">
      <c r="A860" s="5" t="s">
        <v>12</v>
      </c>
      <c r="B860" s="6" t="s">
        <v>77</v>
      </c>
      <c r="C860" s="6" t="s">
        <v>157</v>
      </c>
      <c r="D860" s="6" t="s">
        <v>155</v>
      </c>
      <c r="E860" s="6" t="s">
        <v>653</v>
      </c>
      <c r="F860" s="6" t="s">
        <v>1750</v>
      </c>
      <c r="G860" s="6">
        <v>60.84</v>
      </c>
      <c r="H860" s="6">
        <v>60.84</v>
      </c>
      <c r="I860" s="6">
        <v>99</v>
      </c>
      <c r="J860" s="6">
        <v>2500</v>
      </c>
      <c r="K860" s="7">
        <f>(J860-M860)*税费参数!$B$12/(I860*10000*(1+SUM(税费参数!$B$6:$B$8)))</f>
        <v>0.0226416709467557</v>
      </c>
      <c r="L860" s="7">
        <f>J860*税费参数!$B$12/(I860*10000)</f>
        <v>0.0252525252525253</v>
      </c>
      <c r="M860" s="6">
        <f>I860*10000*SUM(税费参数!$B$9:$B$10)/税费参数!$B$11</f>
        <v>185.625</v>
      </c>
    </row>
    <row r="861" ht="21" customHeight="1" spans="1:13">
      <c r="A861" s="5" t="s">
        <v>12</v>
      </c>
      <c r="B861" s="6" t="s">
        <v>77</v>
      </c>
      <c r="C861" s="6" t="s">
        <v>157</v>
      </c>
      <c r="D861" s="6" t="s">
        <v>155</v>
      </c>
      <c r="E861" s="6" t="s">
        <v>653</v>
      </c>
      <c r="F861" s="6" t="s">
        <v>1751</v>
      </c>
      <c r="G861" s="6">
        <v>60.84</v>
      </c>
      <c r="H861" s="6">
        <v>60.84</v>
      </c>
      <c r="I861" s="6">
        <v>99</v>
      </c>
      <c r="J861" s="6">
        <v>2500</v>
      </c>
      <c r="K861" s="7">
        <f>(J861-M861)*税费参数!$B$12/(I861*10000*(1+SUM(税费参数!$B$6:$B$8)))</f>
        <v>0.0226416709467557</v>
      </c>
      <c r="L861" s="7">
        <f>J861*税费参数!$B$12/(I861*10000)</f>
        <v>0.0252525252525253</v>
      </c>
      <c r="M861" s="6">
        <f>I861*10000*SUM(税费参数!$B$9:$B$10)/税费参数!$B$11</f>
        <v>185.625</v>
      </c>
    </row>
    <row r="862" ht="21" customHeight="1" spans="1:13">
      <c r="A862" s="5" t="s">
        <v>12</v>
      </c>
      <c r="B862" s="6" t="s">
        <v>77</v>
      </c>
      <c r="C862" s="6" t="s">
        <v>157</v>
      </c>
      <c r="D862" s="6" t="s">
        <v>155</v>
      </c>
      <c r="E862" s="6" t="s">
        <v>653</v>
      </c>
      <c r="F862" s="6" t="s">
        <v>1752</v>
      </c>
      <c r="G862" s="6">
        <v>60.84</v>
      </c>
      <c r="H862" s="6">
        <v>60.84</v>
      </c>
      <c r="I862" s="6">
        <v>99</v>
      </c>
      <c r="J862" s="6">
        <v>2400</v>
      </c>
      <c r="K862" s="7">
        <f>(J862-M862)*税费参数!$B$12/(I862*10000*(1+SUM(税费参数!$B$6:$B$8)))</f>
        <v>0.0216633648837039</v>
      </c>
      <c r="L862" s="7">
        <f>J862*税费参数!$B$12/(I862*10000)</f>
        <v>0.0242424242424242</v>
      </c>
      <c r="M862" s="6">
        <f>I862*10000*SUM(税费参数!$B$9:$B$10)/税费参数!$B$11</f>
        <v>185.625</v>
      </c>
    </row>
    <row r="863" ht="21" customHeight="1" spans="1:13">
      <c r="A863" s="5" t="s">
        <v>12</v>
      </c>
      <c r="B863" s="6" t="s">
        <v>77</v>
      </c>
      <c r="C863" s="6" t="s">
        <v>157</v>
      </c>
      <c r="D863" s="6" t="s">
        <v>155</v>
      </c>
      <c r="E863" s="6" t="s">
        <v>657</v>
      </c>
      <c r="F863" s="6" t="s">
        <v>1747</v>
      </c>
      <c r="G863" s="6">
        <v>60.84</v>
      </c>
      <c r="H863" s="6">
        <v>60.64</v>
      </c>
      <c r="I863" s="6">
        <v>96</v>
      </c>
      <c r="J863" s="6">
        <v>2900</v>
      </c>
      <c r="K863" s="7">
        <f>(J863-M863)*税费参数!$B$12/(I863*10000*(1+SUM(税费参数!$B$6:$B$8)))</f>
        <v>0.0274414850686037</v>
      </c>
      <c r="L863" s="7">
        <f>J863*税费参数!$B$12/(I863*10000)</f>
        <v>0.0302083333333333</v>
      </c>
      <c r="M863" s="6">
        <f>I863*10000*SUM(税费参数!$B$9:$B$10)/税费参数!$B$11</f>
        <v>180</v>
      </c>
    </row>
    <row r="864" ht="21" customHeight="1" spans="1:13">
      <c r="A864" s="5" t="s">
        <v>12</v>
      </c>
      <c r="B864" s="6" t="s">
        <v>77</v>
      </c>
      <c r="C864" s="6" t="s">
        <v>157</v>
      </c>
      <c r="D864" s="6" t="s">
        <v>155</v>
      </c>
      <c r="E864" s="6" t="s">
        <v>657</v>
      </c>
      <c r="F864" s="6" t="s">
        <v>1748</v>
      </c>
      <c r="G864" s="6">
        <v>60.84</v>
      </c>
      <c r="H864" s="6">
        <v>60.84</v>
      </c>
      <c r="I864" s="6">
        <v>96</v>
      </c>
      <c r="J864" s="6">
        <v>2650</v>
      </c>
      <c r="K864" s="7">
        <f>(J864-M864)*税费参数!$B$12/(I864*10000*(1+SUM(税费参数!$B$6:$B$8)))</f>
        <v>0.0249192897497982</v>
      </c>
      <c r="L864" s="7">
        <f>J864*税费参数!$B$12/(I864*10000)</f>
        <v>0.0276041666666667</v>
      </c>
      <c r="M864" s="6">
        <f>I864*10000*SUM(税费参数!$B$9:$B$10)/税费参数!$B$11</f>
        <v>180</v>
      </c>
    </row>
    <row r="865" ht="21" customHeight="1" spans="1:13">
      <c r="A865" s="5" t="s">
        <v>12</v>
      </c>
      <c r="B865" s="6" t="s">
        <v>77</v>
      </c>
      <c r="C865" s="6" t="s">
        <v>157</v>
      </c>
      <c r="D865" s="6" t="s">
        <v>155</v>
      </c>
      <c r="E865" s="6" t="s">
        <v>657</v>
      </c>
      <c r="F865" s="6" t="s">
        <v>1750</v>
      </c>
      <c r="G865" s="6">
        <v>60.84</v>
      </c>
      <c r="H865" s="6">
        <v>60.84</v>
      </c>
      <c r="I865" s="6">
        <v>96</v>
      </c>
      <c r="J865" s="6">
        <v>2500</v>
      </c>
      <c r="K865" s="7">
        <f>(J865-M865)*税费参数!$B$12/(I865*10000*(1+SUM(税费参数!$B$6:$B$8)))</f>
        <v>0.0234059725585149</v>
      </c>
      <c r="L865" s="7">
        <f>J865*税费参数!$B$12/(I865*10000)</f>
        <v>0.0260416666666667</v>
      </c>
      <c r="M865" s="6">
        <f>I865*10000*SUM(税费参数!$B$9:$B$10)/税费参数!$B$11</f>
        <v>180</v>
      </c>
    </row>
    <row r="866" ht="21" customHeight="1" spans="1:13">
      <c r="A866" s="5" t="s">
        <v>12</v>
      </c>
      <c r="B866" s="6" t="s">
        <v>77</v>
      </c>
      <c r="C866" s="6" t="s">
        <v>157</v>
      </c>
      <c r="D866" s="6" t="s">
        <v>155</v>
      </c>
      <c r="E866" s="6" t="s">
        <v>657</v>
      </c>
      <c r="F866" s="6" t="s">
        <v>1751</v>
      </c>
      <c r="G866" s="6">
        <v>60.84</v>
      </c>
      <c r="H866" s="6">
        <v>60.84</v>
      </c>
      <c r="I866" s="6">
        <v>96</v>
      </c>
      <c r="J866" s="6">
        <v>2500</v>
      </c>
      <c r="K866" s="7">
        <f>(J866-M866)*税费参数!$B$12/(I866*10000*(1+SUM(税费参数!$B$6:$B$8)))</f>
        <v>0.0234059725585149</v>
      </c>
      <c r="L866" s="7">
        <f>J866*税费参数!$B$12/(I866*10000)</f>
        <v>0.0260416666666667</v>
      </c>
      <c r="M866" s="6">
        <f>I866*10000*SUM(税费参数!$B$9:$B$10)/税费参数!$B$11</f>
        <v>180</v>
      </c>
    </row>
    <row r="867" ht="21" customHeight="1" spans="1:13">
      <c r="A867" s="5" t="s">
        <v>12</v>
      </c>
      <c r="B867" s="6" t="s">
        <v>77</v>
      </c>
      <c r="C867" s="6" t="s">
        <v>157</v>
      </c>
      <c r="D867" s="6" t="s">
        <v>155</v>
      </c>
      <c r="E867" s="6" t="s">
        <v>657</v>
      </c>
      <c r="F867" s="6" t="s">
        <v>1752</v>
      </c>
      <c r="G867" s="6">
        <v>60.84</v>
      </c>
      <c r="H867" s="6">
        <v>60.84</v>
      </c>
      <c r="I867" s="6">
        <v>96</v>
      </c>
      <c r="J867" s="6">
        <v>2400</v>
      </c>
      <c r="K867" s="7">
        <f>(J867-M867)*税费参数!$B$12/(I867*10000*(1+SUM(税费参数!$B$6:$B$8)))</f>
        <v>0.0223970944309927</v>
      </c>
      <c r="L867" s="7">
        <f>J867*税费参数!$B$12/(I867*10000)</f>
        <v>0.025</v>
      </c>
      <c r="M867" s="6">
        <f>I867*10000*SUM(税费参数!$B$9:$B$10)/税费参数!$B$11</f>
        <v>180</v>
      </c>
    </row>
    <row r="868" ht="21" customHeight="1" spans="1:13">
      <c r="A868" s="5" t="s">
        <v>12</v>
      </c>
      <c r="B868" s="6" t="s">
        <v>72</v>
      </c>
      <c r="C868" s="6" t="s">
        <v>159</v>
      </c>
      <c r="D868" s="6" t="s">
        <v>160</v>
      </c>
      <c r="E868" s="6" t="s">
        <v>665</v>
      </c>
      <c r="F868" s="6" t="s">
        <v>1753</v>
      </c>
      <c r="G868" s="6">
        <v>32.99</v>
      </c>
      <c r="H868" s="6">
        <v>32.99</v>
      </c>
      <c r="I868" s="6">
        <v>43</v>
      </c>
      <c r="J868" s="6">
        <v>1500</v>
      </c>
      <c r="K868" s="7">
        <f>(J868-M868)*税费参数!$B$12/(I868*10000*(1+SUM(税费参数!$B$6:$B$8)))</f>
        <v>0.0319697055014359</v>
      </c>
      <c r="L868" s="7">
        <f>J868*税费参数!$B$12/(I868*10000)</f>
        <v>0.0348837209302326</v>
      </c>
      <c r="M868" s="6">
        <f>I868*10000*SUM(税费参数!$B$9:$B$10)/税费参数!$B$11</f>
        <v>80.625</v>
      </c>
    </row>
    <row r="869" ht="21" customHeight="1" spans="1:13">
      <c r="A869" s="5" t="s">
        <v>12</v>
      </c>
      <c r="B869" s="6" t="s">
        <v>72</v>
      </c>
      <c r="C869" s="6" t="s">
        <v>159</v>
      </c>
      <c r="D869" s="6" t="s">
        <v>160</v>
      </c>
      <c r="E869" s="6" t="s">
        <v>665</v>
      </c>
      <c r="F869" s="6" t="s">
        <v>1754</v>
      </c>
      <c r="G869" s="6">
        <v>32.99</v>
      </c>
      <c r="H869" s="6">
        <v>32.99</v>
      </c>
      <c r="I869" s="6">
        <v>43</v>
      </c>
      <c r="J869" s="6">
        <v>1400</v>
      </c>
      <c r="K869" s="7">
        <f>(J869-M869)*税费参数!$B$12/(I869*10000*(1+SUM(税费参数!$B$6:$B$8)))</f>
        <v>0.0297173264260375</v>
      </c>
      <c r="L869" s="7">
        <f>J869*税费参数!$B$12/(I869*10000)</f>
        <v>0.0325581395348837</v>
      </c>
      <c r="M869" s="6">
        <f>I869*10000*SUM(税费参数!$B$9:$B$10)/税费参数!$B$11</f>
        <v>80.625</v>
      </c>
    </row>
    <row r="870" ht="21" customHeight="1" spans="1:13">
      <c r="A870" s="5" t="s">
        <v>12</v>
      </c>
      <c r="B870" s="6" t="s">
        <v>72</v>
      </c>
      <c r="C870" s="6" t="s">
        <v>159</v>
      </c>
      <c r="D870" s="6" t="s">
        <v>160</v>
      </c>
      <c r="E870" s="6" t="s">
        <v>665</v>
      </c>
      <c r="F870" s="6" t="s">
        <v>1755</v>
      </c>
      <c r="G870" s="6">
        <v>32.99</v>
      </c>
      <c r="H870" s="6">
        <v>32.68</v>
      </c>
      <c r="I870" s="6">
        <v>43</v>
      </c>
      <c r="J870" s="6">
        <v>1500</v>
      </c>
      <c r="K870" s="7">
        <f>(J870-M870)*税费参数!$B$12/(I870*10000*(1+SUM(税费参数!$B$6:$B$8)))</f>
        <v>0.0319697055014359</v>
      </c>
      <c r="L870" s="7">
        <f>J870*税费参数!$B$12/(I870*10000)</f>
        <v>0.0348837209302326</v>
      </c>
      <c r="M870" s="6">
        <f>I870*10000*SUM(税费参数!$B$9:$B$10)/税费参数!$B$11</f>
        <v>80.625</v>
      </c>
    </row>
    <row r="871" ht="21" customHeight="1" spans="1:13">
      <c r="A871" s="5" t="s">
        <v>12</v>
      </c>
      <c r="B871" s="6" t="s">
        <v>72</v>
      </c>
      <c r="C871" s="6" t="s">
        <v>159</v>
      </c>
      <c r="D871" s="6" t="s">
        <v>160</v>
      </c>
      <c r="E871" s="6" t="s">
        <v>665</v>
      </c>
      <c r="F871" s="6" t="s">
        <v>1756</v>
      </c>
      <c r="G871" s="6">
        <v>32.99</v>
      </c>
      <c r="H871" s="6">
        <v>32.68</v>
      </c>
      <c r="I871" s="6">
        <v>43</v>
      </c>
      <c r="J871" s="6">
        <v>2200</v>
      </c>
      <c r="K871" s="7">
        <f>(J871-M871)*税费参数!$B$12/(I871*10000*(1+SUM(税费参数!$B$6:$B$8)))</f>
        <v>0.0477363590292246</v>
      </c>
      <c r="L871" s="7">
        <f>J871*税费参数!$B$12/(I871*10000)</f>
        <v>0.0511627906976744</v>
      </c>
      <c r="M871" s="6">
        <f>I871*10000*SUM(税费参数!$B$9:$B$10)/税费参数!$B$11</f>
        <v>80.625</v>
      </c>
    </row>
    <row r="872" ht="21" customHeight="1" spans="1:13">
      <c r="A872" s="5" t="s">
        <v>12</v>
      </c>
      <c r="B872" s="6" t="s">
        <v>72</v>
      </c>
      <c r="C872" s="6" t="s">
        <v>159</v>
      </c>
      <c r="D872" s="6" t="s">
        <v>160</v>
      </c>
      <c r="E872" s="6" t="s">
        <v>665</v>
      </c>
      <c r="F872" s="6" t="s">
        <v>1757</v>
      </c>
      <c r="G872" s="6">
        <v>32.99</v>
      </c>
      <c r="H872" s="6">
        <v>33</v>
      </c>
      <c r="I872" s="6">
        <v>43</v>
      </c>
      <c r="J872" s="6">
        <v>1900</v>
      </c>
      <c r="K872" s="7">
        <f>(J872-M872)*税费参数!$B$12/(I872*10000*(1+SUM(税费参数!$B$6:$B$8)))</f>
        <v>0.0409792218030295</v>
      </c>
      <c r="L872" s="7">
        <f>J872*税费参数!$B$12/(I872*10000)</f>
        <v>0.0441860465116279</v>
      </c>
      <c r="M872" s="6">
        <f>I872*10000*SUM(税费参数!$B$9:$B$10)/税费参数!$B$11</f>
        <v>80.625</v>
      </c>
    </row>
    <row r="873" ht="21" customHeight="1" spans="1:13">
      <c r="A873" s="5" t="s">
        <v>12</v>
      </c>
      <c r="B873" s="6" t="s">
        <v>72</v>
      </c>
      <c r="C873" s="6" t="s">
        <v>159</v>
      </c>
      <c r="D873" s="6" t="s">
        <v>160</v>
      </c>
      <c r="E873" s="6" t="s">
        <v>665</v>
      </c>
      <c r="F873" s="6" t="s">
        <v>1758</v>
      </c>
      <c r="G873" s="6">
        <v>32.99</v>
      </c>
      <c r="H873" s="6">
        <v>36.56</v>
      </c>
      <c r="I873" s="6">
        <v>43</v>
      </c>
      <c r="J873" s="6">
        <v>1900</v>
      </c>
      <c r="K873" s="7">
        <f>(J873-M873)*税费参数!$B$12/(I873*10000*(1+SUM(税费参数!$B$6:$B$8)))</f>
        <v>0.0409792218030295</v>
      </c>
      <c r="L873" s="7">
        <f>J873*税费参数!$B$12/(I873*10000)</f>
        <v>0.0441860465116279</v>
      </c>
      <c r="M873" s="6">
        <f>I873*10000*SUM(税费参数!$B$9:$B$10)/税费参数!$B$11</f>
        <v>80.625</v>
      </c>
    </row>
    <row r="874" ht="21" customHeight="1" spans="1:13">
      <c r="A874" s="5" t="s">
        <v>12</v>
      </c>
      <c r="B874" s="6" t="s">
        <v>72</v>
      </c>
      <c r="C874" s="6" t="s">
        <v>159</v>
      </c>
      <c r="D874" s="6" t="s">
        <v>160</v>
      </c>
      <c r="E874" s="6" t="s">
        <v>665</v>
      </c>
      <c r="F874" s="6" t="s">
        <v>1759</v>
      </c>
      <c r="G874" s="6">
        <v>32.99</v>
      </c>
      <c r="H874" s="6">
        <v>32.99</v>
      </c>
      <c r="I874" s="6">
        <v>43</v>
      </c>
      <c r="J874" s="6">
        <v>1700</v>
      </c>
      <c r="K874" s="7">
        <f>(J874-M874)*税费参数!$B$12/(I874*10000*(1+SUM(税费参数!$B$6:$B$8)))</f>
        <v>0.0364744636522327</v>
      </c>
      <c r="L874" s="7">
        <f>J874*税费参数!$B$12/(I874*10000)</f>
        <v>0.0395348837209302</v>
      </c>
      <c r="M874" s="6">
        <f>I874*10000*SUM(税费参数!$B$9:$B$10)/税费参数!$B$11</f>
        <v>80.625</v>
      </c>
    </row>
    <row r="875" ht="21" customHeight="1" spans="1:13">
      <c r="A875" s="5" t="s">
        <v>12</v>
      </c>
      <c r="B875" s="6" t="s">
        <v>72</v>
      </c>
      <c r="C875" s="6" t="s">
        <v>159</v>
      </c>
      <c r="D875" s="6" t="s">
        <v>160</v>
      </c>
      <c r="E875" s="6" t="s">
        <v>661</v>
      </c>
      <c r="F875" s="6" t="s">
        <v>1753</v>
      </c>
      <c r="G875" s="6">
        <v>32.68</v>
      </c>
      <c r="H875" s="6">
        <v>32.99</v>
      </c>
      <c r="I875" s="6">
        <v>40</v>
      </c>
      <c r="J875" s="6">
        <v>1500</v>
      </c>
      <c r="K875" s="7">
        <f>(J875-M875)*税费参数!$B$12/(I875*10000*(1+SUM(税费参数!$B$6:$B$8)))</f>
        <v>0.0345036319612591</v>
      </c>
      <c r="L875" s="7">
        <f>J875*税费参数!$B$12/(I875*10000)</f>
        <v>0.0375</v>
      </c>
      <c r="M875" s="6">
        <f>I875*10000*SUM(税费参数!$B$9:$B$10)/税费参数!$B$11</f>
        <v>75</v>
      </c>
    </row>
    <row r="876" ht="21" customHeight="1" spans="1:13">
      <c r="A876" s="5" t="s">
        <v>12</v>
      </c>
      <c r="B876" s="6" t="s">
        <v>72</v>
      </c>
      <c r="C876" s="6" t="s">
        <v>159</v>
      </c>
      <c r="D876" s="6" t="s">
        <v>160</v>
      </c>
      <c r="E876" s="6" t="s">
        <v>661</v>
      </c>
      <c r="F876" s="6" t="s">
        <v>1754</v>
      </c>
      <c r="G876" s="6">
        <v>32.68</v>
      </c>
      <c r="H876" s="6">
        <v>32.99</v>
      </c>
      <c r="I876" s="6">
        <v>40</v>
      </c>
      <c r="J876" s="6">
        <v>1400</v>
      </c>
      <c r="K876" s="7">
        <f>(J876-M876)*税费参数!$B$12/(I876*10000*(1+SUM(税费参数!$B$6:$B$8)))</f>
        <v>0.0320823244552058</v>
      </c>
      <c r="L876" s="7">
        <f>J876*税费参数!$B$12/(I876*10000)</f>
        <v>0.035</v>
      </c>
      <c r="M876" s="6">
        <f>I876*10000*SUM(税费参数!$B$9:$B$10)/税费参数!$B$11</f>
        <v>75</v>
      </c>
    </row>
    <row r="877" ht="21" customHeight="1" spans="1:13">
      <c r="A877" s="5" t="s">
        <v>12</v>
      </c>
      <c r="B877" s="6" t="s">
        <v>72</v>
      </c>
      <c r="C877" s="6" t="s">
        <v>159</v>
      </c>
      <c r="D877" s="6" t="s">
        <v>160</v>
      </c>
      <c r="E877" s="6" t="s">
        <v>661</v>
      </c>
      <c r="F877" s="6" t="s">
        <v>1755</v>
      </c>
      <c r="G877" s="6">
        <v>32.68</v>
      </c>
      <c r="H877" s="6">
        <v>32.68</v>
      </c>
      <c r="I877" s="6">
        <v>40</v>
      </c>
      <c r="J877" s="6">
        <v>1500</v>
      </c>
      <c r="K877" s="7">
        <f>(J877-M877)*税费参数!$B$12/(I877*10000*(1+SUM(税费参数!$B$6:$B$8)))</f>
        <v>0.0345036319612591</v>
      </c>
      <c r="L877" s="7">
        <f>J877*税费参数!$B$12/(I877*10000)</f>
        <v>0.0375</v>
      </c>
      <c r="M877" s="6">
        <f>I877*10000*SUM(税费参数!$B$9:$B$10)/税费参数!$B$11</f>
        <v>75</v>
      </c>
    </row>
    <row r="878" ht="21" customHeight="1" spans="1:13">
      <c r="A878" s="5" t="s">
        <v>12</v>
      </c>
      <c r="B878" s="6" t="s">
        <v>72</v>
      </c>
      <c r="C878" s="6" t="s">
        <v>159</v>
      </c>
      <c r="D878" s="6" t="s">
        <v>160</v>
      </c>
      <c r="E878" s="6" t="s">
        <v>661</v>
      </c>
      <c r="F878" s="6" t="s">
        <v>1756</v>
      </c>
      <c r="G878" s="6">
        <v>32.68</v>
      </c>
      <c r="H878" s="6">
        <v>32.68</v>
      </c>
      <c r="I878" s="6">
        <v>40</v>
      </c>
      <c r="J878" s="6">
        <v>2200</v>
      </c>
      <c r="K878" s="7">
        <f>(J878-M878)*税费参数!$B$12/(I878*10000*(1+SUM(税费参数!$B$6:$B$8)))</f>
        <v>0.051452784503632</v>
      </c>
      <c r="L878" s="7">
        <f>J878*税费参数!$B$12/(I878*10000)</f>
        <v>0.055</v>
      </c>
      <c r="M878" s="6">
        <f>I878*10000*SUM(税费参数!$B$9:$B$10)/税费参数!$B$11</f>
        <v>75</v>
      </c>
    </row>
    <row r="879" ht="21" customHeight="1" spans="1:13">
      <c r="A879" s="5" t="s">
        <v>12</v>
      </c>
      <c r="B879" s="6" t="s">
        <v>72</v>
      </c>
      <c r="C879" s="6" t="s">
        <v>159</v>
      </c>
      <c r="D879" s="6" t="s">
        <v>160</v>
      </c>
      <c r="E879" s="6" t="s">
        <v>661</v>
      </c>
      <c r="F879" s="6" t="s">
        <v>1757</v>
      </c>
      <c r="G879" s="6">
        <v>32.68</v>
      </c>
      <c r="H879" s="6">
        <v>33</v>
      </c>
      <c r="I879" s="6">
        <v>40</v>
      </c>
      <c r="J879" s="6">
        <v>1900</v>
      </c>
      <c r="K879" s="7">
        <f>(J879-M879)*税费参数!$B$12/(I879*10000*(1+SUM(税费参数!$B$6:$B$8)))</f>
        <v>0.0441888619854722</v>
      </c>
      <c r="L879" s="7">
        <f>J879*税费参数!$B$12/(I879*10000)</f>
        <v>0.0475</v>
      </c>
      <c r="M879" s="6">
        <f>I879*10000*SUM(税费参数!$B$9:$B$10)/税费参数!$B$11</f>
        <v>75</v>
      </c>
    </row>
    <row r="880" ht="21" customHeight="1" spans="1:13">
      <c r="A880" s="5" t="s">
        <v>12</v>
      </c>
      <c r="B880" s="6" t="s">
        <v>72</v>
      </c>
      <c r="C880" s="6" t="s">
        <v>159</v>
      </c>
      <c r="D880" s="6" t="s">
        <v>160</v>
      </c>
      <c r="E880" s="6" t="s">
        <v>661</v>
      </c>
      <c r="F880" s="6" t="s">
        <v>1758</v>
      </c>
      <c r="G880" s="6">
        <v>32.68</v>
      </c>
      <c r="H880" s="6">
        <v>36.56</v>
      </c>
      <c r="I880" s="6">
        <v>40</v>
      </c>
      <c r="J880" s="6">
        <v>1900</v>
      </c>
      <c r="K880" s="7">
        <f>(J880-M880)*税费参数!$B$12/(I880*10000*(1+SUM(税费参数!$B$6:$B$8)))</f>
        <v>0.0441888619854722</v>
      </c>
      <c r="L880" s="7">
        <f>J880*税费参数!$B$12/(I880*10000)</f>
        <v>0.0475</v>
      </c>
      <c r="M880" s="6">
        <f>I880*10000*SUM(税费参数!$B$9:$B$10)/税费参数!$B$11</f>
        <v>75</v>
      </c>
    </row>
    <row r="881" ht="21" customHeight="1" spans="1:13">
      <c r="A881" s="5" t="s">
        <v>12</v>
      </c>
      <c r="B881" s="6" t="s">
        <v>72</v>
      </c>
      <c r="C881" s="6" t="s">
        <v>159</v>
      </c>
      <c r="D881" s="6" t="s">
        <v>160</v>
      </c>
      <c r="E881" s="6" t="s">
        <v>661</v>
      </c>
      <c r="F881" s="6" t="s">
        <v>1759</v>
      </c>
      <c r="G881" s="6">
        <v>32.68</v>
      </c>
      <c r="H881" s="6">
        <v>32.99</v>
      </c>
      <c r="I881" s="6">
        <v>40</v>
      </c>
      <c r="J881" s="6">
        <v>1700</v>
      </c>
      <c r="K881" s="7">
        <f>(J881-M881)*税费参数!$B$12/(I881*10000*(1+SUM(税费参数!$B$6:$B$8)))</f>
        <v>0.0393462469733656</v>
      </c>
      <c r="L881" s="7">
        <f>J881*税费参数!$B$12/(I881*10000)</f>
        <v>0.0425</v>
      </c>
      <c r="M881" s="6">
        <f>I881*10000*SUM(税费参数!$B$9:$B$10)/税费参数!$B$11</f>
        <v>75</v>
      </c>
    </row>
    <row r="882" ht="21" customHeight="1" spans="1:13">
      <c r="A882" s="5" t="s">
        <v>12</v>
      </c>
      <c r="B882" s="6" t="s">
        <v>72</v>
      </c>
      <c r="C882" s="6" t="s">
        <v>159</v>
      </c>
      <c r="D882" s="6" t="s">
        <v>160</v>
      </c>
      <c r="E882" s="6" t="s">
        <v>663</v>
      </c>
      <c r="F882" s="6" t="s">
        <v>1753</v>
      </c>
      <c r="G882" s="6">
        <v>32.68</v>
      </c>
      <c r="H882" s="6">
        <v>32.99</v>
      </c>
      <c r="I882" s="6">
        <v>40</v>
      </c>
      <c r="J882" s="6">
        <v>1500</v>
      </c>
      <c r="K882" s="7">
        <f>(J882-M882)*税费参数!$B$12/(I882*10000*(1+SUM(税费参数!$B$6:$B$8)))</f>
        <v>0.0345036319612591</v>
      </c>
      <c r="L882" s="7">
        <f>J882*税费参数!$B$12/(I882*10000)</f>
        <v>0.0375</v>
      </c>
      <c r="M882" s="6">
        <f>I882*10000*SUM(税费参数!$B$9:$B$10)/税费参数!$B$11</f>
        <v>75</v>
      </c>
    </row>
    <row r="883" ht="21" customHeight="1" spans="1:13">
      <c r="A883" s="5" t="s">
        <v>12</v>
      </c>
      <c r="B883" s="6" t="s">
        <v>72</v>
      </c>
      <c r="C883" s="6" t="s">
        <v>159</v>
      </c>
      <c r="D883" s="6" t="s">
        <v>160</v>
      </c>
      <c r="E883" s="6" t="s">
        <v>663</v>
      </c>
      <c r="F883" s="6" t="s">
        <v>1754</v>
      </c>
      <c r="G883" s="6">
        <v>32.68</v>
      </c>
      <c r="H883" s="6">
        <v>32.99</v>
      </c>
      <c r="I883" s="6">
        <v>40</v>
      </c>
      <c r="J883" s="6">
        <v>1400</v>
      </c>
      <c r="K883" s="7">
        <f>(J883-M883)*税费参数!$B$12/(I883*10000*(1+SUM(税费参数!$B$6:$B$8)))</f>
        <v>0.0320823244552058</v>
      </c>
      <c r="L883" s="7">
        <f>J883*税费参数!$B$12/(I883*10000)</f>
        <v>0.035</v>
      </c>
      <c r="M883" s="6">
        <f>I883*10000*SUM(税费参数!$B$9:$B$10)/税费参数!$B$11</f>
        <v>75</v>
      </c>
    </row>
    <row r="884" ht="21" customHeight="1" spans="1:13">
      <c r="A884" s="5" t="s">
        <v>12</v>
      </c>
      <c r="B884" s="6" t="s">
        <v>72</v>
      </c>
      <c r="C884" s="6" t="s">
        <v>159</v>
      </c>
      <c r="D884" s="6" t="s">
        <v>160</v>
      </c>
      <c r="E884" s="6" t="s">
        <v>663</v>
      </c>
      <c r="F884" s="6" t="s">
        <v>1755</v>
      </c>
      <c r="G884" s="6">
        <v>32.68</v>
      </c>
      <c r="H884" s="6">
        <v>32.68</v>
      </c>
      <c r="I884" s="6">
        <v>40</v>
      </c>
      <c r="J884" s="6">
        <v>1500</v>
      </c>
      <c r="K884" s="7">
        <f>(J884-M884)*税费参数!$B$12/(I884*10000*(1+SUM(税费参数!$B$6:$B$8)))</f>
        <v>0.0345036319612591</v>
      </c>
      <c r="L884" s="7">
        <f>J884*税费参数!$B$12/(I884*10000)</f>
        <v>0.0375</v>
      </c>
      <c r="M884" s="6">
        <f>I884*10000*SUM(税费参数!$B$9:$B$10)/税费参数!$B$11</f>
        <v>75</v>
      </c>
    </row>
    <row r="885" ht="21" customHeight="1" spans="1:13">
      <c r="A885" s="5" t="s">
        <v>12</v>
      </c>
      <c r="B885" s="6" t="s">
        <v>72</v>
      </c>
      <c r="C885" s="6" t="s">
        <v>159</v>
      </c>
      <c r="D885" s="6" t="s">
        <v>160</v>
      </c>
      <c r="E885" s="6" t="s">
        <v>663</v>
      </c>
      <c r="F885" s="6" t="s">
        <v>1756</v>
      </c>
      <c r="G885" s="6">
        <v>32.68</v>
      </c>
      <c r="H885" s="6">
        <v>32.68</v>
      </c>
      <c r="I885" s="6">
        <v>40</v>
      </c>
      <c r="J885" s="6">
        <v>2200</v>
      </c>
      <c r="K885" s="7">
        <f>(J885-M885)*税费参数!$B$12/(I885*10000*(1+SUM(税费参数!$B$6:$B$8)))</f>
        <v>0.051452784503632</v>
      </c>
      <c r="L885" s="7">
        <f>J885*税费参数!$B$12/(I885*10000)</f>
        <v>0.055</v>
      </c>
      <c r="M885" s="6">
        <f>I885*10000*SUM(税费参数!$B$9:$B$10)/税费参数!$B$11</f>
        <v>75</v>
      </c>
    </row>
    <row r="886" ht="21" customHeight="1" spans="1:13">
      <c r="A886" s="5" t="s">
        <v>12</v>
      </c>
      <c r="B886" s="6" t="s">
        <v>72</v>
      </c>
      <c r="C886" s="6" t="s">
        <v>159</v>
      </c>
      <c r="D886" s="6" t="s">
        <v>160</v>
      </c>
      <c r="E886" s="6" t="s">
        <v>663</v>
      </c>
      <c r="F886" s="6" t="s">
        <v>1757</v>
      </c>
      <c r="G886" s="6">
        <v>32.68</v>
      </c>
      <c r="H886" s="6">
        <v>33</v>
      </c>
      <c r="I886" s="6">
        <v>40</v>
      </c>
      <c r="J886" s="6">
        <v>1900</v>
      </c>
      <c r="K886" s="7">
        <f>(J886-M886)*税费参数!$B$12/(I886*10000*(1+SUM(税费参数!$B$6:$B$8)))</f>
        <v>0.0441888619854722</v>
      </c>
      <c r="L886" s="7">
        <f>J886*税费参数!$B$12/(I886*10000)</f>
        <v>0.0475</v>
      </c>
      <c r="M886" s="6">
        <f>I886*10000*SUM(税费参数!$B$9:$B$10)/税费参数!$B$11</f>
        <v>75</v>
      </c>
    </row>
    <row r="887" ht="21" customHeight="1" spans="1:13">
      <c r="A887" s="5" t="s">
        <v>12</v>
      </c>
      <c r="B887" s="6" t="s">
        <v>72</v>
      </c>
      <c r="C887" s="6" t="s">
        <v>159</v>
      </c>
      <c r="D887" s="6" t="s">
        <v>160</v>
      </c>
      <c r="E887" s="6" t="s">
        <v>663</v>
      </c>
      <c r="F887" s="6" t="s">
        <v>1758</v>
      </c>
      <c r="G887" s="6">
        <v>32.68</v>
      </c>
      <c r="H887" s="6">
        <v>36.56</v>
      </c>
      <c r="I887" s="6">
        <v>40</v>
      </c>
      <c r="J887" s="6">
        <v>1900</v>
      </c>
      <c r="K887" s="7">
        <f>(J887-M887)*税费参数!$B$12/(I887*10000*(1+SUM(税费参数!$B$6:$B$8)))</f>
        <v>0.0441888619854722</v>
      </c>
      <c r="L887" s="7">
        <f>J887*税费参数!$B$12/(I887*10000)</f>
        <v>0.0475</v>
      </c>
      <c r="M887" s="6">
        <f>I887*10000*SUM(税费参数!$B$9:$B$10)/税费参数!$B$11</f>
        <v>75</v>
      </c>
    </row>
    <row r="888" ht="21" customHeight="1" spans="1:13">
      <c r="A888" s="5" t="s">
        <v>12</v>
      </c>
      <c r="B888" s="6" t="s">
        <v>72</v>
      </c>
      <c r="C888" s="6" t="s">
        <v>159</v>
      </c>
      <c r="D888" s="6" t="s">
        <v>160</v>
      </c>
      <c r="E888" s="6" t="s">
        <v>663</v>
      </c>
      <c r="F888" s="6" t="s">
        <v>1759</v>
      </c>
      <c r="G888" s="6">
        <v>32.68</v>
      </c>
      <c r="H888" s="6">
        <v>32.99</v>
      </c>
      <c r="I888" s="6">
        <v>40</v>
      </c>
      <c r="J888" s="6">
        <v>1700</v>
      </c>
      <c r="K888" s="7">
        <f>(J888-M888)*税费参数!$B$12/(I888*10000*(1+SUM(税费参数!$B$6:$B$8)))</f>
        <v>0.0393462469733656</v>
      </c>
      <c r="L888" s="7">
        <f>J888*税费参数!$B$12/(I888*10000)</f>
        <v>0.0425</v>
      </c>
      <c r="M888" s="6">
        <f>I888*10000*SUM(税费参数!$B$9:$B$10)/税费参数!$B$11</f>
        <v>75</v>
      </c>
    </row>
    <row r="889" ht="21" customHeight="1" spans="1:13">
      <c r="A889" s="5" t="s">
        <v>12</v>
      </c>
      <c r="B889" s="6" t="s">
        <v>72</v>
      </c>
      <c r="C889" s="6" t="s">
        <v>159</v>
      </c>
      <c r="D889" s="6" t="s">
        <v>160</v>
      </c>
      <c r="E889" s="6" t="s">
        <v>659</v>
      </c>
      <c r="F889" s="6" t="s">
        <v>1753</v>
      </c>
      <c r="G889" s="6">
        <v>32.99</v>
      </c>
      <c r="H889" s="6">
        <v>32.99</v>
      </c>
      <c r="I889" s="6">
        <v>43</v>
      </c>
      <c r="J889" s="6">
        <v>1500</v>
      </c>
      <c r="K889" s="7">
        <f>(J889-M889)*税费参数!$B$12/(I889*10000*(1+SUM(税费参数!$B$6:$B$8)))</f>
        <v>0.0319697055014359</v>
      </c>
      <c r="L889" s="7">
        <f>J889*税费参数!$B$12/(I889*10000)</f>
        <v>0.0348837209302326</v>
      </c>
      <c r="M889" s="6">
        <f>I889*10000*SUM(税费参数!$B$9:$B$10)/税费参数!$B$11</f>
        <v>80.625</v>
      </c>
    </row>
    <row r="890" ht="21" customHeight="1" spans="1:13">
      <c r="A890" s="5" t="s">
        <v>12</v>
      </c>
      <c r="B890" s="6" t="s">
        <v>72</v>
      </c>
      <c r="C890" s="6" t="s">
        <v>159</v>
      </c>
      <c r="D890" s="6" t="s">
        <v>160</v>
      </c>
      <c r="E890" s="6" t="s">
        <v>659</v>
      </c>
      <c r="F890" s="6" t="s">
        <v>1754</v>
      </c>
      <c r="G890" s="6">
        <v>32.99</v>
      </c>
      <c r="H890" s="6">
        <v>32.99</v>
      </c>
      <c r="I890" s="6">
        <v>43</v>
      </c>
      <c r="J890" s="6">
        <v>1400</v>
      </c>
      <c r="K890" s="7">
        <f>(J890-M890)*税费参数!$B$12/(I890*10000*(1+SUM(税费参数!$B$6:$B$8)))</f>
        <v>0.0297173264260375</v>
      </c>
      <c r="L890" s="7">
        <f>J890*税费参数!$B$12/(I890*10000)</f>
        <v>0.0325581395348837</v>
      </c>
      <c r="M890" s="6">
        <f>I890*10000*SUM(税费参数!$B$9:$B$10)/税费参数!$B$11</f>
        <v>80.625</v>
      </c>
    </row>
    <row r="891" ht="21" customHeight="1" spans="1:13">
      <c r="A891" s="5" t="s">
        <v>12</v>
      </c>
      <c r="B891" s="6" t="s">
        <v>72</v>
      </c>
      <c r="C891" s="6" t="s">
        <v>159</v>
      </c>
      <c r="D891" s="6" t="s">
        <v>160</v>
      </c>
      <c r="E891" s="6" t="s">
        <v>659</v>
      </c>
      <c r="F891" s="6" t="s">
        <v>1755</v>
      </c>
      <c r="G891" s="6">
        <v>32.99</v>
      </c>
      <c r="H891" s="6">
        <v>32.68</v>
      </c>
      <c r="I891" s="6">
        <v>43</v>
      </c>
      <c r="J891" s="6">
        <v>1500</v>
      </c>
      <c r="K891" s="7">
        <f>(J891-M891)*税费参数!$B$12/(I891*10000*(1+SUM(税费参数!$B$6:$B$8)))</f>
        <v>0.0319697055014359</v>
      </c>
      <c r="L891" s="7">
        <f>J891*税费参数!$B$12/(I891*10000)</f>
        <v>0.0348837209302326</v>
      </c>
      <c r="M891" s="6">
        <f>I891*10000*SUM(税费参数!$B$9:$B$10)/税费参数!$B$11</f>
        <v>80.625</v>
      </c>
    </row>
    <row r="892" ht="21" customHeight="1" spans="1:13">
      <c r="A892" s="5" t="s">
        <v>12</v>
      </c>
      <c r="B892" s="6" t="s">
        <v>72</v>
      </c>
      <c r="C892" s="6" t="s">
        <v>159</v>
      </c>
      <c r="D892" s="6" t="s">
        <v>160</v>
      </c>
      <c r="E892" s="6" t="s">
        <v>659</v>
      </c>
      <c r="F892" s="6" t="s">
        <v>1756</v>
      </c>
      <c r="G892" s="6">
        <v>32.99</v>
      </c>
      <c r="H892" s="6">
        <v>32.68</v>
      </c>
      <c r="I892" s="6">
        <v>43</v>
      </c>
      <c r="J892" s="6">
        <v>2200</v>
      </c>
      <c r="K892" s="7">
        <f>(J892-M892)*税费参数!$B$12/(I892*10000*(1+SUM(税费参数!$B$6:$B$8)))</f>
        <v>0.0477363590292246</v>
      </c>
      <c r="L892" s="7">
        <f>J892*税费参数!$B$12/(I892*10000)</f>
        <v>0.0511627906976744</v>
      </c>
      <c r="M892" s="6">
        <f>I892*10000*SUM(税费参数!$B$9:$B$10)/税费参数!$B$11</f>
        <v>80.625</v>
      </c>
    </row>
    <row r="893" ht="21" customHeight="1" spans="1:13">
      <c r="A893" s="5" t="s">
        <v>12</v>
      </c>
      <c r="B893" s="6" t="s">
        <v>72</v>
      </c>
      <c r="C893" s="6" t="s">
        <v>159</v>
      </c>
      <c r="D893" s="6" t="s">
        <v>160</v>
      </c>
      <c r="E893" s="6" t="s">
        <v>659</v>
      </c>
      <c r="F893" s="6" t="s">
        <v>1757</v>
      </c>
      <c r="G893" s="6">
        <v>32.99</v>
      </c>
      <c r="H893" s="6">
        <v>33</v>
      </c>
      <c r="I893" s="6">
        <v>43</v>
      </c>
      <c r="J893" s="6">
        <v>1900</v>
      </c>
      <c r="K893" s="7">
        <f>(J893-M893)*税费参数!$B$12/(I893*10000*(1+SUM(税费参数!$B$6:$B$8)))</f>
        <v>0.0409792218030295</v>
      </c>
      <c r="L893" s="7">
        <f>J893*税费参数!$B$12/(I893*10000)</f>
        <v>0.0441860465116279</v>
      </c>
      <c r="M893" s="6">
        <f>I893*10000*SUM(税费参数!$B$9:$B$10)/税费参数!$B$11</f>
        <v>80.625</v>
      </c>
    </row>
    <row r="894" ht="21" customHeight="1" spans="1:13">
      <c r="A894" s="5" t="s">
        <v>12</v>
      </c>
      <c r="B894" s="6" t="s">
        <v>72</v>
      </c>
      <c r="C894" s="6" t="s">
        <v>159</v>
      </c>
      <c r="D894" s="6" t="s">
        <v>160</v>
      </c>
      <c r="E894" s="6" t="s">
        <v>659</v>
      </c>
      <c r="F894" s="6" t="s">
        <v>1758</v>
      </c>
      <c r="G894" s="6">
        <v>32.99</v>
      </c>
      <c r="H894" s="6">
        <v>36.56</v>
      </c>
      <c r="I894" s="6">
        <v>43</v>
      </c>
      <c r="J894" s="6">
        <v>1900</v>
      </c>
      <c r="K894" s="7">
        <f>(J894-M894)*税费参数!$B$12/(I894*10000*(1+SUM(税费参数!$B$6:$B$8)))</f>
        <v>0.0409792218030295</v>
      </c>
      <c r="L894" s="7">
        <f>J894*税费参数!$B$12/(I894*10000)</f>
        <v>0.0441860465116279</v>
      </c>
      <c r="M894" s="6">
        <f>I894*10000*SUM(税费参数!$B$9:$B$10)/税费参数!$B$11</f>
        <v>80.625</v>
      </c>
    </row>
    <row r="895" ht="21" customHeight="1" spans="1:13">
      <c r="A895" s="5" t="s">
        <v>12</v>
      </c>
      <c r="B895" s="6" t="s">
        <v>72</v>
      </c>
      <c r="C895" s="6" t="s">
        <v>159</v>
      </c>
      <c r="D895" s="6" t="s">
        <v>160</v>
      </c>
      <c r="E895" s="6" t="s">
        <v>659</v>
      </c>
      <c r="F895" s="6" t="s">
        <v>1759</v>
      </c>
      <c r="G895" s="6">
        <v>32.99</v>
      </c>
      <c r="H895" s="6">
        <v>32.99</v>
      </c>
      <c r="I895" s="6">
        <v>43</v>
      </c>
      <c r="J895" s="6">
        <v>1700</v>
      </c>
      <c r="K895" s="7">
        <f>(J895-M895)*税费参数!$B$12/(I895*10000*(1+SUM(税费参数!$B$6:$B$8)))</f>
        <v>0.0364744636522327</v>
      </c>
      <c r="L895" s="7">
        <f>J895*税费参数!$B$12/(I895*10000)</f>
        <v>0.0395348837209302</v>
      </c>
      <c r="M895" s="6">
        <f>I895*10000*SUM(税费参数!$B$9:$B$10)/税费参数!$B$11</f>
        <v>80.625</v>
      </c>
    </row>
    <row r="896" ht="21" customHeight="1" spans="1:13">
      <c r="A896" s="5" t="s">
        <v>12</v>
      </c>
      <c r="B896" s="6" t="s">
        <v>72</v>
      </c>
      <c r="C896" s="6" t="s">
        <v>159</v>
      </c>
      <c r="D896" s="6" t="s">
        <v>153</v>
      </c>
      <c r="E896" s="6" t="s">
        <v>667</v>
      </c>
      <c r="F896" s="6" t="s">
        <v>1760</v>
      </c>
      <c r="G896" s="6">
        <v>32.99</v>
      </c>
      <c r="H896" s="6">
        <v>36.56</v>
      </c>
      <c r="I896" s="6">
        <v>40</v>
      </c>
      <c r="J896" s="6">
        <v>1600</v>
      </c>
      <c r="K896" s="7">
        <f>(J896-M896)*税费参数!$B$12/(I896*10000*(1+SUM(税费参数!$B$6:$B$8)))</f>
        <v>0.0369249394673123</v>
      </c>
      <c r="L896" s="7">
        <f>J896*税费参数!$B$12/(I896*10000)</f>
        <v>0.04</v>
      </c>
      <c r="M896" s="6">
        <f>I896*10000*SUM(税费参数!$B$9:$B$10)/税费参数!$B$11</f>
        <v>75</v>
      </c>
    </row>
    <row r="897" ht="21" customHeight="1" spans="1:13">
      <c r="A897" s="5" t="s">
        <v>12</v>
      </c>
      <c r="B897" s="6" t="s">
        <v>72</v>
      </c>
      <c r="C897" s="6" t="s">
        <v>159</v>
      </c>
      <c r="D897" s="6" t="s">
        <v>153</v>
      </c>
      <c r="E897" s="6" t="s">
        <v>667</v>
      </c>
      <c r="F897" s="6" t="s">
        <v>1761</v>
      </c>
      <c r="G897" s="6">
        <v>32.99</v>
      </c>
      <c r="H897" s="6">
        <v>32.99</v>
      </c>
      <c r="I897" s="6">
        <v>40</v>
      </c>
      <c r="J897" s="6">
        <v>2000</v>
      </c>
      <c r="K897" s="7">
        <f>(J897-M897)*税费参数!$B$12/(I897*10000*(1+SUM(税费参数!$B$6:$B$8)))</f>
        <v>0.0466101694915254</v>
      </c>
      <c r="L897" s="7">
        <f>J897*税费参数!$B$12/(I897*10000)</f>
        <v>0.05</v>
      </c>
      <c r="M897" s="6">
        <f>I897*10000*SUM(税费参数!$B$9:$B$10)/税费参数!$B$11</f>
        <v>75</v>
      </c>
    </row>
    <row r="898" ht="21" customHeight="1" spans="1:13">
      <c r="A898" s="5" t="s">
        <v>12</v>
      </c>
      <c r="B898" s="6" t="s">
        <v>79</v>
      </c>
      <c r="C898" s="6" t="s">
        <v>159</v>
      </c>
      <c r="D898" s="6" t="s">
        <v>160</v>
      </c>
      <c r="E898" s="6" t="s">
        <v>671</v>
      </c>
      <c r="F898" s="6" t="s">
        <v>1762</v>
      </c>
      <c r="G898" s="6">
        <v>37.91</v>
      </c>
      <c r="H898" s="6">
        <v>37.91</v>
      </c>
      <c r="I898" s="6">
        <v>47</v>
      </c>
      <c r="J898" s="6">
        <v>1300</v>
      </c>
      <c r="K898" s="7">
        <f>(J898-M898)*税费参数!$B$12/(I898*10000*(1+SUM(税费参数!$B$6:$B$8)))</f>
        <v>0.0249729534799856</v>
      </c>
      <c r="L898" s="7">
        <f>J898*税费参数!$B$12/(I898*10000)</f>
        <v>0.0276595744680851</v>
      </c>
      <c r="M898" s="6">
        <f>I898*10000*SUM(税费参数!$B$9:$B$10)/税费参数!$B$11</f>
        <v>88.125</v>
      </c>
    </row>
    <row r="899" ht="21" customHeight="1" spans="1:13">
      <c r="A899" s="5" t="s">
        <v>12</v>
      </c>
      <c r="B899" s="6" t="s">
        <v>79</v>
      </c>
      <c r="C899" s="6" t="s">
        <v>157</v>
      </c>
      <c r="D899" s="6" t="s">
        <v>155</v>
      </c>
      <c r="E899" s="6" t="s">
        <v>669</v>
      </c>
      <c r="F899" s="6" t="s">
        <v>1763</v>
      </c>
      <c r="G899" s="6">
        <v>73.38</v>
      </c>
      <c r="H899" s="6">
        <v>73.38</v>
      </c>
      <c r="I899" s="6">
        <v>109</v>
      </c>
      <c r="J899" s="6">
        <v>2200</v>
      </c>
      <c r="K899" s="7">
        <f>(J899-M899)*税费参数!$B$12/(I899*10000*(1+SUM(税费参数!$B$6:$B$8)))</f>
        <v>0.0177321900615323</v>
      </c>
      <c r="L899" s="7">
        <f>J899*税费参数!$B$12/(I899*10000)</f>
        <v>0.0201834862385321</v>
      </c>
      <c r="M899" s="6">
        <f>I899*10000*SUM(税费参数!$B$9:$B$10)/税费参数!$B$11</f>
        <v>204.375</v>
      </c>
    </row>
    <row r="900" ht="21" customHeight="1" spans="1:13">
      <c r="A900" s="5" t="s">
        <v>12</v>
      </c>
      <c r="B900" s="6" t="s">
        <v>79</v>
      </c>
      <c r="C900" s="6" t="s">
        <v>157</v>
      </c>
      <c r="D900" s="6" t="s">
        <v>155</v>
      </c>
      <c r="E900" s="6" t="s">
        <v>669</v>
      </c>
      <c r="F900" s="6" t="s">
        <v>1764</v>
      </c>
      <c r="G900" s="6">
        <v>73.38</v>
      </c>
      <c r="H900" s="6">
        <v>75.21</v>
      </c>
      <c r="I900" s="6">
        <v>109</v>
      </c>
      <c r="J900" s="6">
        <v>2100</v>
      </c>
      <c r="K900" s="7">
        <f>(J900-M900)*税费参数!$B$12/(I900*10000*(1+SUM(税费参数!$B$6:$B$8)))</f>
        <v>0.0168436368483018</v>
      </c>
      <c r="L900" s="7">
        <f>J900*税费参数!$B$12/(I900*10000)</f>
        <v>0.0192660550458716</v>
      </c>
      <c r="M900" s="6">
        <f>I900*10000*SUM(税费参数!$B$9:$B$10)/税费参数!$B$11</f>
        <v>204.375</v>
      </c>
    </row>
    <row r="901" ht="21" customHeight="1" spans="1:13">
      <c r="A901" s="5" t="s">
        <v>12</v>
      </c>
      <c r="B901" s="6" t="s">
        <v>76</v>
      </c>
      <c r="C901" s="6" t="s">
        <v>152</v>
      </c>
      <c r="D901" s="6" t="s">
        <v>153</v>
      </c>
      <c r="E901" s="6" t="s">
        <v>675</v>
      </c>
      <c r="F901" s="6" t="s">
        <v>1765</v>
      </c>
      <c r="G901" s="6">
        <v>48.71</v>
      </c>
      <c r="H901" s="6">
        <v>48.71</v>
      </c>
      <c r="I901" s="6">
        <v>70</v>
      </c>
      <c r="J901" s="6">
        <v>2100</v>
      </c>
      <c r="K901" s="7">
        <f>(J901-M901)*税费参数!$B$12/(I901*10000*(1+SUM(税费参数!$B$6:$B$8)))</f>
        <v>0.0272397094430993</v>
      </c>
      <c r="L901" s="7">
        <f>J901*税费参数!$B$12/(I901*10000)</f>
        <v>0.03</v>
      </c>
      <c r="M901" s="6">
        <f>I901*10000*SUM(税费参数!$B$9:$B$10)/税费参数!$B$11</f>
        <v>131.25</v>
      </c>
    </row>
    <row r="902" ht="21" customHeight="1" spans="1:13">
      <c r="A902" s="5" t="s">
        <v>12</v>
      </c>
      <c r="B902" s="6" t="s">
        <v>76</v>
      </c>
      <c r="C902" s="6" t="s">
        <v>152</v>
      </c>
      <c r="D902" s="6" t="s">
        <v>153</v>
      </c>
      <c r="E902" s="6" t="s">
        <v>677</v>
      </c>
      <c r="F902" s="6" t="s">
        <v>1765</v>
      </c>
      <c r="G902" s="6">
        <v>48.71</v>
      </c>
      <c r="H902" s="6">
        <v>48.71</v>
      </c>
      <c r="I902" s="6">
        <v>65</v>
      </c>
      <c r="J902" s="6">
        <v>2100</v>
      </c>
      <c r="K902" s="7">
        <f>(J902-M902)*税费参数!$B$12/(I902*10000*(1+SUM(税费参数!$B$6:$B$8)))</f>
        <v>0.02947476252561</v>
      </c>
      <c r="L902" s="7">
        <f>J902*税费参数!$B$12/(I902*10000)</f>
        <v>0.0323076923076923</v>
      </c>
      <c r="M902" s="6">
        <f>I902*10000*SUM(税费参数!$B$9:$B$10)/税费参数!$B$11</f>
        <v>121.875</v>
      </c>
    </row>
    <row r="903" ht="21" customHeight="1" spans="1:13">
      <c r="A903" s="5" t="s">
        <v>12</v>
      </c>
      <c r="B903" s="6" t="s">
        <v>74</v>
      </c>
      <c r="C903" s="6" t="s">
        <v>159</v>
      </c>
      <c r="D903" s="6" t="s">
        <v>160</v>
      </c>
      <c r="E903" s="6" t="s">
        <v>707</v>
      </c>
      <c r="F903" s="6" t="s">
        <v>1766</v>
      </c>
      <c r="G903" s="6">
        <v>26.49</v>
      </c>
      <c r="H903" s="6">
        <v>27.94</v>
      </c>
      <c r="I903" s="6">
        <v>40</v>
      </c>
      <c r="J903" s="6">
        <v>1750</v>
      </c>
      <c r="K903" s="7">
        <f>(J903-M903)*税费参数!$B$12/(I903*10000*(1+SUM(税费参数!$B$6:$B$8)))</f>
        <v>0.0405569007263923</v>
      </c>
      <c r="L903" s="7">
        <f>J903*税费参数!$B$12/(I903*10000)</f>
        <v>0.04375</v>
      </c>
      <c r="M903" s="6">
        <f>I903*10000*SUM(税费参数!$B$9:$B$10)/税费参数!$B$11</f>
        <v>75</v>
      </c>
    </row>
    <row r="904" ht="21" customHeight="1" spans="1:13">
      <c r="A904" s="5" t="s">
        <v>12</v>
      </c>
      <c r="B904" s="6" t="s">
        <v>74</v>
      </c>
      <c r="C904" s="6" t="s">
        <v>159</v>
      </c>
      <c r="D904" s="6" t="s">
        <v>160</v>
      </c>
      <c r="E904" s="6" t="s">
        <v>707</v>
      </c>
      <c r="F904" s="6" t="s">
        <v>1767</v>
      </c>
      <c r="G904" s="6">
        <v>26.49</v>
      </c>
      <c r="H904" s="6">
        <v>26.7</v>
      </c>
      <c r="I904" s="6">
        <v>40</v>
      </c>
      <c r="J904" s="6">
        <v>1500</v>
      </c>
      <c r="K904" s="7">
        <f>(J904-M904)*税费参数!$B$12/(I904*10000*(1+SUM(税费参数!$B$6:$B$8)))</f>
        <v>0.0345036319612591</v>
      </c>
      <c r="L904" s="7">
        <f>J904*税费参数!$B$12/(I904*10000)</f>
        <v>0.0375</v>
      </c>
      <c r="M904" s="6">
        <f>I904*10000*SUM(税费参数!$B$9:$B$10)/税费参数!$B$11</f>
        <v>75</v>
      </c>
    </row>
    <row r="905" ht="21" customHeight="1" spans="1:13">
      <c r="A905" s="5" t="s">
        <v>12</v>
      </c>
      <c r="B905" s="6" t="s">
        <v>74</v>
      </c>
      <c r="C905" s="6" t="s">
        <v>159</v>
      </c>
      <c r="D905" s="6" t="s">
        <v>160</v>
      </c>
      <c r="E905" s="6" t="s">
        <v>709</v>
      </c>
      <c r="F905" s="6" t="s">
        <v>1768</v>
      </c>
      <c r="G905" s="6">
        <v>37.86</v>
      </c>
      <c r="H905" s="6">
        <v>37.86</v>
      </c>
      <c r="I905" s="6">
        <v>56</v>
      </c>
      <c r="J905" s="6">
        <v>1650</v>
      </c>
      <c r="K905" s="7">
        <f>(J905-M905)*税费参数!$B$12/(I905*10000*(1+SUM(税费参数!$B$6:$B$8)))</f>
        <v>0.0267208578346593</v>
      </c>
      <c r="L905" s="7">
        <f>J905*税费参数!$B$12/(I905*10000)</f>
        <v>0.0294642857142857</v>
      </c>
      <c r="M905" s="6">
        <f>I905*10000*SUM(税费参数!$B$9:$B$10)/税费参数!$B$11</f>
        <v>105</v>
      </c>
    </row>
    <row r="906" ht="21" customHeight="1" spans="1:13">
      <c r="A906" s="5" t="s">
        <v>12</v>
      </c>
      <c r="B906" s="6" t="s">
        <v>74</v>
      </c>
      <c r="C906" s="6" t="s">
        <v>159</v>
      </c>
      <c r="D906" s="6" t="s">
        <v>160</v>
      </c>
      <c r="E906" s="6" t="s">
        <v>709</v>
      </c>
      <c r="F906" s="6" t="s">
        <v>1769</v>
      </c>
      <c r="G906" s="6">
        <v>37.86</v>
      </c>
      <c r="H906" s="6">
        <v>32.41</v>
      </c>
      <c r="I906" s="6">
        <v>56</v>
      </c>
      <c r="J906" s="6">
        <v>1700</v>
      </c>
      <c r="K906" s="7">
        <f>(J906-M906)*税费参数!$B$12/(I906*10000*(1+SUM(税费参数!$B$6:$B$8)))</f>
        <v>0.0275856105153926</v>
      </c>
      <c r="L906" s="7">
        <f>J906*税费参数!$B$12/(I906*10000)</f>
        <v>0.0303571428571429</v>
      </c>
      <c r="M906" s="6">
        <f>I906*10000*SUM(税费参数!$B$9:$B$10)/税费参数!$B$11</f>
        <v>105</v>
      </c>
    </row>
    <row r="907" ht="21" customHeight="1" spans="1:13">
      <c r="A907" s="5" t="s">
        <v>12</v>
      </c>
      <c r="B907" s="6" t="s">
        <v>74</v>
      </c>
      <c r="C907" s="6" t="s">
        <v>159</v>
      </c>
      <c r="D907" s="6" t="s">
        <v>160</v>
      </c>
      <c r="E907" s="6" t="s">
        <v>709</v>
      </c>
      <c r="F907" s="6" t="s">
        <v>1770</v>
      </c>
      <c r="G907" s="6">
        <v>37.86</v>
      </c>
      <c r="H907" s="6">
        <v>37.86</v>
      </c>
      <c r="I907" s="6">
        <v>56</v>
      </c>
      <c r="J907" s="6">
        <v>2000</v>
      </c>
      <c r="K907" s="7">
        <f>(J907-M907)*税费参数!$B$12/(I907*10000*(1+SUM(税费参数!$B$6:$B$8)))</f>
        <v>0.0327741265997925</v>
      </c>
      <c r="L907" s="7">
        <f>J907*税费参数!$B$12/(I907*10000)</f>
        <v>0.0357142857142857</v>
      </c>
      <c r="M907" s="6">
        <f>I907*10000*SUM(税费参数!$B$9:$B$10)/税费参数!$B$11</f>
        <v>105</v>
      </c>
    </row>
    <row r="908" ht="21" customHeight="1" spans="1:13">
      <c r="A908" s="5" t="s">
        <v>12</v>
      </c>
      <c r="B908" s="6" t="s">
        <v>74</v>
      </c>
      <c r="C908" s="6" t="s">
        <v>159</v>
      </c>
      <c r="D908" s="6" t="s">
        <v>160</v>
      </c>
      <c r="E908" s="6" t="s">
        <v>711</v>
      </c>
      <c r="F908" s="6" t="s">
        <v>1766</v>
      </c>
      <c r="G908" s="6">
        <v>27.96</v>
      </c>
      <c r="H908" s="6">
        <v>27.94</v>
      </c>
      <c r="I908" s="6">
        <v>43</v>
      </c>
      <c r="J908" s="6">
        <v>1750</v>
      </c>
      <c r="K908" s="7">
        <f>(J908-M908)*税费参数!$B$12/(I908*10000*(1+SUM(税费参数!$B$6:$B$8)))</f>
        <v>0.0376006531899319</v>
      </c>
      <c r="L908" s="7">
        <f>J908*税费参数!$B$12/(I908*10000)</f>
        <v>0.0406976744186047</v>
      </c>
      <c r="M908" s="6">
        <f>I908*10000*SUM(税费参数!$B$9:$B$10)/税费参数!$B$11</f>
        <v>80.625</v>
      </c>
    </row>
    <row r="909" ht="21" customHeight="1" spans="1:13">
      <c r="A909" s="5" t="s">
        <v>12</v>
      </c>
      <c r="B909" s="6" t="s">
        <v>74</v>
      </c>
      <c r="C909" s="6" t="s">
        <v>159</v>
      </c>
      <c r="D909" s="6" t="s">
        <v>160</v>
      </c>
      <c r="E909" s="6" t="s">
        <v>711</v>
      </c>
      <c r="F909" s="6" t="s">
        <v>1767</v>
      </c>
      <c r="G909" s="6">
        <v>27.96</v>
      </c>
      <c r="H909" s="6">
        <v>26.7</v>
      </c>
      <c r="I909" s="6">
        <v>43</v>
      </c>
      <c r="J909" s="6">
        <v>1500</v>
      </c>
      <c r="K909" s="7">
        <f>(J909-M909)*税费参数!$B$12/(I909*10000*(1+SUM(税费参数!$B$6:$B$8)))</f>
        <v>0.0319697055014359</v>
      </c>
      <c r="L909" s="7">
        <f>J909*税费参数!$B$12/(I909*10000)</f>
        <v>0.0348837209302326</v>
      </c>
      <c r="M909" s="6">
        <f>I909*10000*SUM(税费参数!$B$9:$B$10)/税费参数!$B$11</f>
        <v>80.625</v>
      </c>
    </row>
    <row r="910" ht="21" customHeight="1" spans="1:13">
      <c r="A910" s="5" t="s">
        <v>12</v>
      </c>
      <c r="B910" s="6" t="s">
        <v>74</v>
      </c>
      <c r="C910" s="6" t="s">
        <v>159</v>
      </c>
      <c r="D910" s="6" t="s">
        <v>153</v>
      </c>
      <c r="E910" s="6" t="s">
        <v>713</v>
      </c>
      <c r="F910" s="6" t="s">
        <v>1771</v>
      </c>
      <c r="G910" s="6">
        <v>27.94</v>
      </c>
      <c r="H910" s="6">
        <v>26.49</v>
      </c>
      <c r="I910" s="6">
        <v>43</v>
      </c>
      <c r="J910" s="6">
        <v>1600</v>
      </c>
      <c r="K910" s="7">
        <f>(J910-M910)*税费参数!$B$12/(I910*10000*(1+SUM(税费参数!$B$6:$B$8)))</f>
        <v>0.0342220845768343</v>
      </c>
      <c r="L910" s="7">
        <f>J910*税费参数!$B$12/(I910*10000)</f>
        <v>0.0372093023255814</v>
      </c>
      <c r="M910" s="6">
        <f>I910*10000*SUM(税费参数!$B$9:$B$10)/税费参数!$B$11</f>
        <v>80.625</v>
      </c>
    </row>
    <row r="911" ht="21" customHeight="1" spans="1:13">
      <c r="A911" s="5" t="s">
        <v>12</v>
      </c>
      <c r="B911" s="6" t="s">
        <v>74</v>
      </c>
      <c r="C911" s="6" t="s">
        <v>159</v>
      </c>
      <c r="D911" s="6" t="s">
        <v>153</v>
      </c>
      <c r="E911" s="6" t="s">
        <v>715</v>
      </c>
      <c r="F911" s="6" t="s">
        <v>1771</v>
      </c>
      <c r="G911" s="6">
        <v>26.49</v>
      </c>
      <c r="H911" s="6">
        <v>26.49</v>
      </c>
      <c r="I911" s="6">
        <v>42</v>
      </c>
      <c r="J911" s="6">
        <v>1600</v>
      </c>
      <c r="K911" s="7">
        <f>(J911-M911)*税费参数!$B$12/(I911*10000*(1+SUM(税费参数!$B$6:$B$8)))</f>
        <v>0.0350801337484146</v>
      </c>
      <c r="L911" s="7">
        <f>J911*税费参数!$B$12/(I911*10000)</f>
        <v>0.0380952380952381</v>
      </c>
      <c r="M911" s="6">
        <f>I911*10000*SUM(税费参数!$B$9:$B$10)/税费参数!$B$11</f>
        <v>78.75</v>
      </c>
    </row>
    <row r="912" ht="21" customHeight="1" spans="1:13">
      <c r="A912" s="5" t="s">
        <v>12</v>
      </c>
      <c r="B912" s="6" t="s">
        <v>74</v>
      </c>
      <c r="C912" s="6" t="s">
        <v>152</v>
      </c>
      <c r="D912" s="6" t="s">
        <v>153</v>
      </c>
      <c r="E912" s="6" t="s">
        <v>683</v>
      </c>
      <c r="F912" s="6" t="s">
        <v>1772</v>
      </c>
      <c r="G912" s="6">
        <v>51.85</v>
      </c>
      <c r="H912" s="6">
        <v>56.11</v>
      </c>
      <c r="I912" s="6">
        <v>74</v>
      </c>
      <c r="J912" s="6">
        <v>2230</v>
      </c>
      <c r="K912" s="7">
        <f>(J912-M912)*税费参数!$B$12/(I912*10000*(1+SUM(税费参数!$B$6:$B$8)))</f>
        <v>0.027370590929913</v>
      </c>
      <c r="L912" s="7">
        <f>J912*税费参数!$B$12/(I912*10000)</f>
        <v>0.0301351351351351</v>
      </c>
      <c r="M912" s="6">
        <f>I912*10000*SUM(税费参数!$B$9:$B$10)/税费参数!$B$11</f>
        <v>138.75</v>
      </c>
    </row>
    <row r="913" ht="21" customHeight="1" spans="1:13">
      <c r="A913" s="5" t="s">
        <v>12</v>
      </c>
      <c r="B913" s="6" t="s">
        <v>74</v>
      </c>
      <c r="C913" s="6" t="s">
        <v>152</v>
      </c>
      <c r="D913" s="6" t="s">
        <v>153</v>
      </c>
      <c r="E913" s="6" t="s">
        <v>683</v>
      </c>
      <c r="F913" s="6" t="s">
        <v>1773</v>
      </c>
      <c r="G913" s="6">
        <v>51.85</v>
      </c>
      <c r="H913" s="6">
        <v>51.85</v>
      </c>
      <c r="I913" s="6">
        <v>74</v>
      </c>
      <c r="J913" s="6">
        <v>2200</v>
      </c>
      <c r="K913" s="7">
        <f>(J913-M913)*税费参数!$B$12/(I913*10000*(1+SUM(税费参数!$B$6:$B$8)))</f>
        <v>0.0269779464694719</v>
      </c>
      <c r="L913" s="7">
        <f>J913*税费参数!$B$12/(I913*10000)</f>
        <v>0.0297297297297297</v>
      </c>
      <c r="M913" s="6">
        <f>I913*10000*SUM(税费参数!$B$9:$B$10)/税费参数!$B$11</f>
        <v>138.75</v>
      </c>
    </row>
    <row r="914" ht="21" customHeight="1" spans="1:13">
      <c r="A914" s="5" t="s">
        <v>12</v>
      </c>
      <c r="B914" s="6" t="s">
        <v>74</v>
      </c>
      <c r="C914" s="6" t="s">
        <v>152</v>
      </c>
      <c r="D914" s="6" t="s">
        <v>153</v>
      </c>
      <c r="E914" s="6" t="s">
        <v>685</v>
      </c>
      <c r="F914" s="6" t="s">
        <v>1772</v>
      </c>
      <c r="G914" s="6">
        <v>51.85</v>
      </c>
      <c r="H914" s="6">
        <v>56.11</v>
      </c>
      <c r="I914" s="6">
        <v>70</v>
      </c>
      <c r="J914" s="6">
        <v>2230</v>
      </c>
      <c r="K914" s="7">
        <f>(J914-M914)*税费参数!$B$12/(I914*10000*(1+SUM(税费参数!$B$6:$B$8)))</f>
        <v>0.0290383950190246</v>
      </c>
      <c r="L914" s="7">
        <f>J914*税费参数!$B$12/(I914*10000)</f>
        <v>0.0318571428571429</v>
      </c>
      <c r="M914" s="6">
        <f>I914*10000*SUM(税费参数!$B$9:$B$10)/税费参数!$B$11</f>
        <v>131.25</v>
      </c>
    </row>
    <row r="915" ht="21" customHeight="1" spans="1:13">
      <c r="A915" s="5" t="s">
        <v>12</v>
      </c>
      <c r="B915" s="6" t="s">
        <v>74</v>
      </c>
      <c r="C915" s="6" t="s">
        <v>152</v>
      </c>
      <c r="D915" s="6" t="s">
        <v>153</v>
      </c>
      <c r="E915" s="6" t="s">
        <v>685</v>
      </c>
      <c r="F915" s="6" t="s">
        <v>1773</v>
      </c>
      <c r="G915" s="6">
        <v>51.85</v>
      </c>
      <c r="H915" s="6">
        <v>51.85</v>
      </c>
      <c r="I915" s="6">
        <v>70</v>
      </c>
      <c r="J915" s="6">
        <v>2200</v>
      </c>
      <c r="K915" s="7">
        <f>(J915-M915)*税费参数!$B$12/(I915*10000*(1+SUM(税费参数!$B$6:$B$8)))</f>
        <v>0.0286233137322726</v>
      </c>
      <c r="L915" s="7">
        <f>J915*税费参数!$B$12/(I915*10000)</f>
        <v>0.0314285714285714</v>
      </c>
      <c r="M915" s="6">
        <f>I915*10000*SUM(税费参数!$B$9:$B$10)/税费参数!$B$11</f>
        <v>131.25</v>
      </c>
    </row>
    <row r="916" ht="21" customHeight="1" spans="1:13">
      <c r="A916" s="5" t="s">
        <v>12</v>
      </c>
      <c r="B916" s="6" t="s">
        <v>74</v>
      </c>
      <c r="C916" s="6" t="s">
        <v>152</v>
      </c>
      <c r="D916" s="6" t="s">
        <v>153</v>
      </c>
      <c r="E916" s="6" t="s">
        <v>687</v>
      </c>
      <c r="F916" s="6" t="s">
        <v>1774</v>
      </c>
      <c r="G916" s="6">
        <v>43.12</v>
      </c>
      <c r="H916" s="6">
        <v>43.12</v>
      </c>
      <c r="I916" s="6">
        <v>65.8</v>
      </c>
      <c r="J916" s="6">
        <v>2300</v>
      </c>
      <c r="K916" s="7">
        <f>(J916-M916)*税费参数!$B$12/(I916*10000*(1+SUM(税费参数!$B$6:$B$8)))</f>
        <v>0.0320381668715088</v>
      </c>
      <c r="L916" s="7">
        <f>J916*税费参数!$B$12/(I916*10000)</f>
        <v>0.0349544072948328</v>
      </c>
      <c r="M916" s="6">
        <f>I916*10000*SUM(税费参数!$B$9:$B$10)/税费参数!$B$11</f>
        <v>123.375</v>
      </c>
    </row>
    <row r="917" ht="21" customHeight="1" spans="1:13">
      <c r="A917" s="5" t="s">
        <v>12</v>
      </c>
      <c r="B917" s="6" t="s">
        <v>74</v>
      </c>
      <c r="C917" s="6" t="s">
        <v>152</v>
      </c>
      <c r="D917" s="6" t="s">
        <v>153</v>
      </c>
      <c r="E917" s="6" t="s">
        <v>681</v>
      </c>
      <c r="F917" s="6" t="s">
        <v>1774</v>
      </c>
      <c r="G917" s="6">
        <v>43.12</v>
      </c>
      <c r="H917" s="6">
        <v>43.12</v>
      </c>
      <c r="I917" s="6">
        <v>60</v>
      </c>
      <c r="J917" s="6">
        <v>2300</v>
      </c>
      <c r="K917" s="7">
        <f>(J917-M917)*税费参数!$B$12/(I917*10000*(1+SUM(税费参数!$B$6:$B$8)))</f>
        <v>0.0353107344632768</v>
      </c>
      <c r="L917" s="7">
        <f>J917*税费参数!$B$12/(I917*10000)</f>
        <v>0.0383333333333333</v>
      </c>
      <c r="M917" s="6">
        <f>I917*10000*SUM(税费参数!$B$9:$B$10)/税费参数!$B$11</f>
        <v>112.5</v>
      </c>
    </row>
    <row r="918" ht="21" customHeight="1" spans="1:13">
      <c r="A918" s="5" t="s">
        <v>12</v>
      </c>
      <c r="B918" s="6" t="s">
        <v>74</v>
      </c>
      <c r="C918" s="6" t="s">
        <v>157</v>
      </c>
      <c r="D918" s="6" t="s">
        <v>155</v>
      </c>
      <c r="E918" s="6" t="s">
        <v>703</v>
      </c>
      <c r="F918" s="6" t="s">
        <v>1775</v>
      </c>
      <c r="G918" s="6">
        <v>67.2</v>
      </c>
      <c r="H918" s="6">
        <v>60.95</v>
      </c>
      <c r="I918" s="6">
        <v>89</v>
      </c>
      <c r="J918" s="6">
        <v>3800</v>
      </c>
      <c r="K918" s="7">
        <f>(J918-M918)*税费参数!$B$12/(I918*10000*(1+SUM(税费参数!$B$6:$B$8)))</f>
        <v>0.0395366868895721</v>
      </c>
      <c r="L918" s="7">
        <f>J918*税费参数!$B$12/(I918*10000)</f>
        <v>0.0426966292134831</v>
      </c>
      <c r="M918" s="6">
        <f>I918*10000*SUM(税费参数!$B$9:$B$10)/税费参数!$B$11</f>
        <v>166.875</v>
      </c>
    </row>
    <row r="919" ht="21" customHeight="1" spans="1:13">
      <c r="A919" s="5" t="s">
        <v>12</v>
      </c>
      <c r="B919" s="6" t="s">
        <v>74</v>
      </c>
      <c r="C919" s="6" t="s">
        <v>157</v>
      </c>
      <c r="D919" s="6" t="s">
        <v>155</v>
      </c>
      <c r="E919" s="6" t="s">
        <v>703</v>
      </c>
      <c r="F919" s="6" t="s">
        <v>1776</v>
      </c>
      <c r="G919" s="6">
        <v>67.2</v>
      </c>
      <c r="H919" s="6">
        <v>60.95</v>
      </c>
      <c r="I919" s="6">
        <v>89</v>
      </c>
      <c r="J919" s="6">
        <v>3000</v>
      </c>
      <c r="K919" s="7">
        <f>(J919-M919)*税费参数!$B$12/(I919*10000*(1+SUM(税费参数!$B$6:$B$8)))</f>
        <v>0.0308308621487064</v>
      </c>
      <c r="L919" s="7">
        <f>J919*税费参数!$B$12/(I919*10000)</f>
        <v>0.0337078651685393</v>
      </c>
      <c r="M919" s="6">
        <f>I919*10000*SUM(税费参数!$B$9:$B$10)/税费参数!$B$11</f>
        <v>166.875</v>
      </c>
    </row>
    <row r="920" ht="21" customHeight="1" spans="1:13">
      <c r="A920" s="5" t="s">
        <v>12</v>
      </c>
      <c r="B920" s="6" t="s">
        <v>74</v>
      </c>
      <c r="C920" s="6" t="s">
        <v>157</v>
      </c>
      <c r="D920" s="6" t="s">
        <v>155</v>
      </c>
      <c r="E920" s="6" t="s">
        <v>703</v>
      </c>
      <c r="F920" s="6" t="s">
        <v>1777</v>
      </c>
      <c r="G920" s="6">
        <v>67.2</v>
      </c>
      <c r="H920" s="6">
        <v>67.2</v>
      </c>
      <c r="I920" s="6">
        <v>89</v>
      </c>
      <c r="J920" s="6">
        <v>2520</v>
      </c>
      <c r="K920" s="7">
        <f>(J920-M920)*税费参数!$B$12/(I920*10000*(1+SUM(税费参数!$B$6:$B$8)))</f>
        <v>0.025607367304187</v>
      </c>
      <c r="L920" s="7">
        <f>J920*税费参数!$B$12/(I920*10000)</f>
        <v>0.028314606741573</v>
      </c>
      <c r="M920" s="6">
        <f>I920*10000*SUM(税费参数!$B$9:$B$10)/税费参数!$B$11</f>
        <v>166.875</v>
      </c>
    </row>
    <row r="921" ht="21" customHeight="1" spans="1:13">
      <c r="A921" s="5" t="s">
        <v>12</v>
      </c>
      <c r="B921" s="6" t="s">
        <v>74</v>
      </c>
      <c r="C921" s="6" t="s">
        <v>157</v>
      </c>
      <c r="D921" s="6" t="s">
        <v>155</v>
      </c>
      <c r="E921" s="6" t="s">
        <v>699</v>
      </c>
      <c r="F921" s="6" t="s">
        <v>1775</v>
      </c>
      <c r="G921" s="6">
        <v>67.52</v>
      </c>
      <c r="H921" s="6">
        <v>60.95</v>
      </c>
      <c r="I921" s="6">
        <v>93</v>
      </c>
      <c r="J921" s="6">
        <v>3800</v>
      </c>
      <c r="K921" s="7">
        <f>(J921-M921)*税费参数!$B$12/(I921*10000*(1+SUM(税费参数!$B$6:$B$8)))</f>
        <v>0.0377580775339113</v>
      </c>
      <c r="L921" s="7">
        <f>J921*税费参数!$B$12/(I921*10000)</f>
        <v>0.0408602150537634</v>
      </c>
      <c r="M921" s="6">
        <f>I921*10000*SUM(税费参数!$B$9:$B$10)/税费参数!$B$11</f>
        <v>174.375</v>
      </c>
    </row>
    <row r="922" ht="21" customHeight="1" spans="1:13">
      <c r="A922" s="5" t="s">
        <v>12</v>
      </c>
      <c r="B922" s="6" t="s">
        <v>74</v>
      </c>
      <c r="C922" s="6" t="s">
        <v>157</v>
      </c>
      <c r="D922" s="6" t="s">
        <v>155</v>
      </c>
      <c r="E922" s="6" t="s">
        <v>699</v>
      </c>
      <c r="F922" s="6" t="s">
        <v>1776</v>
      </c>
      <c r="G922" s="6">
        <v>67.52</v>
      </c>
      <c r="H922" s="6">
        <v>60.95</v>
      </c>
      <c r="I922" s="6">
        <v>93</v>
      </c>
      <c r="J922" s="6">
        <v>3000</v>
      </c>
      <c r="K922" s="7">
        <f>(J922-M922)*税费参数!$B$12/(I922*10000*(1+SUM(税费参数!$B$6:$B$8)))</f>
        <v>0.0294266968679216</v>
      </c>
      <c r="L922" s="7">
        <f>J922*税费参数!$B$12/(I922*10000)</f>
        <v>0.032258064516129</v>
      </c>
      <c r="M922" s="6">
        <f>I922*10000*SUM(税费参数!$B$9:$B$10)/税费参数!$B$11</f>
        <v>174.375</v>
      </c>
    </row>
    <row r="923" ht="21" customHeight="1" spans="1:13">
      <c r="A923" s="5" t="s">
        <v>12</v>
      </c>
      <c r="B923" s="6" t="s">
        <v>74</v>
      </c>
      <c r="C923" s="6" t="s">
        <v>157</v>
      </c>
      <c r="D923" s="6" t="s">
        <v>155</v>
      </c>
      <c r="E923" s="6" t="s">
        <v>699</v>
      </c>
      <c r="F923" s="6" t="s">
        <v>1777</v>
      </c>
      <c r="G923" s="6">
        <v>67.52</v>
      </c>
      <c r="H923" s="6">
        <v>67.2</v>
      </c>
      <c r="I923" s="6">
        <v>93</v>
      </c>
      <c r="J923" s="6">
        <v>2520</v>
      </c>
      <c r="K923" s="7">
        <f>(J923-M923)*税费参数!$B$12/(I923*10000*(1+SUM(税费参数!$B$6:$B$8)))</f>
        <v>0.0244278684683277</v>
      </c>
      <c r="L923" s="7">
        <f>J923*税费参数!$B$12/(I923*10000)</f>
        <v>0.0270967741935484</v>
      </c>
      <c r="M923" s="6">
        <f>I923*10000*SUM(税费参数!$B$9:$B$10)/税费参数!$B$11</f>
        <v>174.375</v>
      </c>
    </row>
    <row r="924" ht="21" customHeight="1" spans="1:13">
      <c r="A924" s="5" t="s">
        <v>12</v>
      </c>
      <c r="B924" s="6" t="s">
        <v>74</v>
      </c>
      <c r="C924" s="6" t="s">
        <v>157</v>
      </c>
      <c r="D924" s="6" t="s">
        <v>155</v>
      </c>
      <c r="E924" s="6" t="s">
        <v>697</v>
      </c>
      <c r="F924" s="6" t="s">
        <v>1775</v>
      </c>
      <c r="G924" s="6">
        <v>67.2</v>
      </c>
      <c r="H924" s="6">
        <v>60.95</v>
      </c>
      <c r="I924" s="6">
        <v>97</v>
      </c>
      <c r="J924" s="6">
        <v>3800</v>
      </c>
      <c r="K924" s="7">
        <f>(J924-M924)*税费参数!$B$12/(I924*10000*(1+SUM(税费参数!$B$6:$B$8)))</f>
        <v>0.0361261576096453</v>
      </c>
      <c r="L924" s="7">
        <f>J924*税费参数!$B$12/(I924*10000)</f>
        <v>0.0391752577319588</v>
      </c>
      <c r="M924" s="6">
        <f>I924*10000*SUM(税费参数!$B$9:$B$10)/税费参数!$B$11</f>
        <v>181.875</v>
      </c>
    </row>
    <row r="925" ht="21" customHeight="1" spans="1:13">
      <c r="A925" s="5" t="s">
        <v>12</v>
      </c>
      <c r="B925" s="6" t="s">
        <v>74</v>
      </c>
      <c r="C925" s="6" t="s">
        <v>157</v>
      </c>
      <c r="D925" s="6" t="s">
        <v>155</v>
      </c>
      <c r="E925" s="6" t="s">
        <v>697</v>
      </c>
      <c r="F925" s="6" t="s">
        <v>1776</v>
      </c>
      <c r="G925" s="6">
        <v>67.2</v>
      </c>
      <c r="H925" s="6">
        <v>60.95</v>
      </c>
      <c r="I925" s="6">
        <v>97</v>
      </c>
      <c r="J925" s="6">
        <v>3000</v>
      </c>
      <c r="K925" s="7">
        <f>(J925-M925)*税费参数!$B$12/(I925*10000*(1+SUM(税费参数!$B$6:$B$8)))</f>
        <v>0.0281383390329747</v>
      </c>
      <c r="L925" s="7">
        <f>J925*税费参数!$B$12/(I925*10000)</f>
        <v>0.0309278350515464</v>
      </c>
      <c r="M925" s="6">
        <f>I925*10000*SUM(税费参数!$B$9:$B$10)/税费参数!$B$11</f>
        <v>181.875</v>
      </c>
    </row>
    <row r="926" ht="21" customHeight="1" spans="1:13">
      <c r="A926" s="5" t="s">
        <v>12</v>
      </c>
      <c r="B926" s="6" t="s">
        <v>74</v>
      </c>
      <c r="C926" s="6" t="s">
        <v>157</v>
      </c>
      <c r="D926" s="6" t="s">
        <v>155</v>
      </c>
      <c r="E926" s="6" t="s">
        <v>697</v>
      </c>
      <c r="F926" s="6" t="s">
        <v>1777</v>
      </c>
      <c r="G926" s="6">
        <v>67.2</v>
      </c>
      <c r="H926" s="6">
        <v>67.2</v>
      </c>
      <c r="I926" s="6">
        <v>97</v>
      </c>
      <c r="J926" s="6">
        <v>2520</v>
      </c>
      <c r="K926" s="7">
        <f>(J926-M926)*税费参数!$B$12/(I926*10000*(1+SUM(税费参数!$B$6:$B$8)))</f>
        <v>0.0233456478869724</v>
      </c>
      <c r="L926" s="7">
        <f>J926*税费参数!$B$12/(I926*10000)</f>
        <v>0.025979381443299</v>
      </c>
      <c r="M926" s="6">
        <f>I926*10000*SUM(税费参数!$B$9:$B$10)/税费参数!$B$11</f>
        <v>181.875</v>
      </c>
    </row>
    <row r="927" ht="21" customHeight="1" spans="1:13">
      <c r="A927" s="5" t="s">
        <v>12</v>
      </c>
      <c r="B927" s="6" t="s">
        <v>74</v>
      </c>
      <c r="C927" s="6" t="s">
        <v>157</v>
      </c>
      <c r="D927" s="6" t="s">
        <v>155</v>
      </c>
      <c r="E927" s="6" t="s">
        <v>701</v>
      </c>
      <c r="F927" s="6" t="s">
        <v>1775</v>
      </c>
      <c r="G927" s="6">
        <v>60.95</v>
      </c>
      <c r="H927" s="6">
        <v>60.95</v>
      </c>
      <c r="I927" s="6">
        <v>97</v>
      </c>
      <c r="J927" s="6">
        <v>3800</v>
      </c>
      <c r="K927" s="7">
        <f>(J927-M927)*税费参数!$B$12/(I927*10000*(1+SUM(税费参数!$B$6:$B$8)))</f>
        <v>0.0361261576096453</v>
      </c>
      <c r="L927" s="7">
        <f>J927*税费参数!$B$12/(I927*10000)</f>
        <v>0.0391752577319588</v>
      </c>
      <c r="M927" s="6">
        <f>I927*10000*SUM(税费参数!$B$9:$B$10)/税费参数!$B$11</f>
        <v>181.875</v>
      </c>
    </row>
    <row r="928" ht="21" customHeight="1" spans="1:13">
      <c r="A928" s="5" t="s">
        <v>12</v>
      </c>
      <c r="B928" s="6" t="s">
        <v>74</v>
      </c>
      <c r="C928" s="6" t="s">
        <v>157</v>
      </c>
      <c r="D928" s="6" t="s">
        <v>155</v>
      </c>
      <c r="E928" s="6" t="s">
        <v>701</v>
      </c>
      <c r="F928" s="6" t="s">
        <v>1776</v>
      </c>
      <c r="G928" s="6">
        <v>60.95</v>
      </c>
      <c r="H928" s="6">
        <v>60.95</v>
      </c>
      <c r="I928" s="6">
        <v>97</v>
      </c>
      <c r="J928" s="6">
        <v>3000</v>
      </c>
      <c r="K928" s="7">
        <f>(J928-M928)*税费参数!$B$12/(I928*10000*(1+SUM(税费参数!$B$6:$B$8)))</f>
        <v>0.0281383390329747</v>
      </c>
      <c r="L928" s="7">
        <f>J928*税费参数!$B$12/(I928*10000)</f>
        <v>0.0309278350515464</v>
      </c>
      <c r="M928" s="6">
        <f>I928*10000*SUM(税费参数!$B$9:$B$10)/税费参数!$B$11</f>
        <v>181.875</v>
      </c>
    </row>
    <row r="929" ht="21" customHeight="1" spans="1:13">
      <c r="A929" s="5" t="s">
        <v>12</v>
      </c>
      <c r="B929" s="6" t="s">
        <v>74</v>
      </c>
      <c r="C929" s="6" t="s">
        <v>157</v>
      </c>
      <c r="D929" s="6" t="s">
        <v>155</v>
      </c>
      <c r="E929" s="6" t="s">
        <v>701</v>
      </c>
      <c r="F929" s="6" t="s">
        <v>1777</v>
      </c>
      <c r="G929" s="6">
        <v>60.95</v>
      </c>
      <c r="H929" s="6">
        <v>67.2</v>
      </c>
      <c r="I929" s="6">
        <v>97</v>
      </c>
      <c r="J929" s="6">
        <v>2520</v>
      </c>
      <c r="K929" s="7">
        <f>(J929-M929)*税费参数!$B$12/(I929*10000*(1+SUM(税费参数!$B$6:$B$8)))</f>
        <v>0.0233456478869724</v>
      </c>
      <c r="L929" s="7">
        <f>J929*税费参数!$B$12/(I929*10000)</f>
        <v>0.025979381443299</v>
      </c>
      <c r="M929" s="6">
        <f>I929*10000*SUM(税费参数!$B$9:$B$10)/税费参数!$B$11</f>
        <v>181.875</v>
      </c>
    </row>
    <row r="930" ht="21" customHeight="1" spans="1:13">
      <c r="A930" s="5" t="s">
        <v>12</v>
      </c>
      <c r="B930" s="6" t="s">
        <v>74</v>
      </c>
      <c r="C930" s="6" t="s">
        <v>157</v>
      </c>
      <c r="D930" s="6" t="s">
        <v>155</v>
      </c>
      <c r="E930" s="6" t="s">
        <v>705</v>
      </c>
      <c r="F930" s="6" t="s">
        <v>1775</v>
      </c>
      <c r="G930" s="6">
        <v>67.52</v>
      </c>
      <c r="H930" s="6">
        <v>60.95</v>
      </c>
      <c r="I930" s="6">
        <v>92</v>
      </c>
      <c r="J930" s="6">
        <v>3800</v>
      </c>
      <c r="K930" s="7">
        <f>(J930-M930)*税费参数!$B$12/(I930*10000*(1+SUM(税费参数!$B$6:$B$8)))</f>
        <v>0.0381882303400358</v>
      </c>
      <c r="L930" s="7">
        <f>J930*税费参数!$B$12/(I930*10000)</f>
        <v>0.041304347826087</v>
      </c>
      <c r="M930" s="6">
        <f>I930*10000*SUM(税费参数!$B$9:$B$10)/税费参数!$B$11</f>
        <v>172.5</v>
      </c>
    </row>
    <row r="931" ht="21" customHeight="1" spans="1:13">
      <c r="A931" s="5" t="s">
        <v>12</v>
      </c>
      <c r="B931" s="6" t="s">
        <v>74</v>
      </c>
      <c r="C931" s="6" t="s">
        <v>157</v>
      </c>
      <c r="D931" s="6" t="s">
        <v>155</v>
      </c>
      <c r="E931" s="6" t="s">
        <v>705</v>
      </c>
      <c r="F931" s="6" t="s">
        <v>1776</v>
      </c>
      <c r="G931" s="6">
        <v>67.52</v>
      </c>
      <c r="H931" s="6">
        <v>60.95</v>
      </c>
      <c r="I931" s="6">
        <v>92</v>
      </c>
      <c r="J931" s="6">
        <v>3000</v>
      </c>
      <c r="K931" s="7">
        <f>(J931-M931)*税费参数!$B$12/(I931*10000*(1+SUM(税费参数!$B$6:$B$8)))</f>
        <v>0.0297662911885462</v>
      </c>
      <c r="L931" s="7">
        <f>J931*税费参数!$B$12/(I931*10000)</f>
        <v>0.0326086956521739</v>
      </c>
      <c r="M931" s="6">
        <f>I931*10000*SUM(税费参数!$B$9:$B$10)/税费参数!$B$11</f>
        <v>172.5</v>
      </c>
    </row>
    <row r="932" ht="21" customHeight="1" spans="1:13">
      <c r="A932" s="5" t="s">
        <v>12</v>
      </c>
      <c r="B932" s="6" t="s">
        <v>74</v>
      </c>
      <c r="C932" s="6" t="s">
        <v>157</v>
      </c>
      <c r="D932" s="6" t="s">
        <v>155</v>
      </c>
      <c r="E932" s="6" t="s">
        <v>705</v>
      </c>
      <c r="F932" s="6" t="s">
        <v>1777</v>
      </c>
      <c r="G932" s="6">
        <v>67.52</v>
      </c>
      <c r="H932" s="6">
        <v>67.2</v>
      </c>
      <c r="I932" s="6">
        <v>92</v>
      </c>
      <c r="J932" s="6">
        <v>2520</v>
      </c>
      <c r="K932" s="7">
        <f>(J932-M932)*税费参数!$B$12/(I932*10000*(1+SUM(税费参数!$B$6:$B$8)))</f>
        <v>0.0247131276976524</v>
      </c>
      <c r="L932" s="7">
        <f>J932*税费参数!$B$12/(I932*10000)</f>
        <v>0.0273913043478261</v>
      </c>
      <c r="M932" s="6">
        <f>I932*10000*SUM(税费参数!$B$9:$B$10)/税费参数!$B$11</f>
        <v>172.5</v>
      </c>
    </row>
    <row r="933" ht="21" customHeight="1" spans="1:13">
      <c r="A933" s="5" t="s">
        <v>12</v>
      </c>
      <c r="B933" s="6" t="s">
        <v>74</v>
      </c>
      <c r="C933" s="6" t="s">
        <v>157</v>
      </c>
      <c r="D933" s="6" t="s">
        <v>155</v>
      </c>
      <c r="E933" s="6" t="s">
        <v>693</v>
      </c>
      <c r="F933" s="6" t="s">
        <v>1775</v>
      </c>
      <c r="G933" s="6">
        <v>60.95</v>
      </c>
      <c r="H933" s="6">
        <v>60.95</v>
      </c>
      <c r="I933" s="6">
        <v>93</v>
      </c>
      <c r="J933" s="6">
        <v>3800</v>
      </c>
      <c r="K933" s="7">
        <f>(J933-M933)*税费参数!$B$12/(I933*10000*(1+SUM(税费参数!$B$6:$B$8)))</f>
        <v>0.0377580775339113</v>
      </c>
      <c r="L933" s="7">
        <f>J933*税费参数!$B$12/(I933*10000)</f>
        <v>0.0408602150537634</v>
      </c>
      <c r="M933" s="6">
        <f>I933*10000*SUM(税费参数!$B$9:$B$10)/税费参数!$B$11</f>
        <v>174.375</v>
      </c>
    </row>
    <row r="934" ht="21" customHeight="1" spans="1:13">
      <c r="A934" s="5" t="s">
        <v>12</v>
      </c>
      <c r="B934" s="6" t="s">
        <v>74</v>
      </c>
      <c r="C934" s="6" t="s">
        <v>157</v>
      </c>
      <c r="D934" s="6" t="s">
        <v>155</v>
      </c>
      <c r="E934" s="6" t="s">
        <v>693</v>
      </c>
      <c r="F934" s="6" t="s">
        <v>1776</v>
      </c>
      <c r="G934" s="6">
        <v>60.95</v>
      </c>
      <c r="H934" s="6">
        <v>60.95</v>
      </c>
      <c r="I934" s="6">
        <v>93</v>
      </c>
      <c r="J934" s="6">
        <v>3000</v>
      </c>
      <c r="K934" s="7">
        <f>(J934-M934)*税费参数!$B$12/(I934*10000*(1+SUM(税费参数!$B$6:$B$8)))</f>
        <v>0.0294266968679216</v>
      </c>
      <c r="L934" s="7">
        <f>J934*税费参数!$B$12/(I934*10000)</f>
        <v>0.032258064516129</v>
      </c>
      <c r="M934" s="6">
        <f>I934*10000*SUM(税费参数!$B$9:$B$10)/税费参数!$B$11</f>
        <v>174.375</v>
      </c>
    </row>
    <row r="935" ht="21" customHeight="1" spans="1:13">
      <c r="A935" s="5" t="s">
        <v>12</v>
      </c>
      <c r="B935" s="6" t="s">
        <v>74</v>
      </c>
      <c r="C935" s="6" t="s">
        <v>157</v>
      </c>
      <c r="D935" s="6" t="s">
        <v>155</v>
      </c>
      <c r="E935" s="6" t="s">
        <v>693</v>
      </c>
      <c r="F935" s="6" t="s">
        <v>1777</v>
      </c>
      <c r="G935" s="6">
        <v>60.95</v>
      </c>
      <c r="H935" s="6">
        <v>67.2</v>
      </c>
      <c r="I935" s="6">
        <v>93</v>
      </c>
      <c r="J935" s="6">
        <v>2520</v>
      </c>
      <c r="K935" s="7">
        <f>(J935-M935)*税费参数!$B$12/(I935*10000*(1+SUM(税费参数!$B$6:$B$8)))</f>
        <v>0.0244278684683277</v>
      </c>
      <c r="L935" s="7">
        <f>J935*税费参数!$B$12/(I935*10000)</f>
        <v>0.0270967741935484</v>
      </c>
      <c r="M935" s="6">
        <f>I935*10000*SUM(税费参数!$B$9:$B$10)/税费参数!$B$11</f>
        <v>174.375</v>
      </c>
    </row>
    <row r="936" ht="21" customHeight="1" spans="1:13">
      <c r="A936" s="5" t="s">
        <v>12</v>
      </c>
      <c r="B936" s="6" t="s">
        <v>74</v>
      </c>
      <c r="C936" s="6" t="s">
        <v>157</v>
      </c>
      <c r="D936" s="6" t="s">
        <v>155</v>
      </c>
      <c r="E936" s="6" t="s">
        <v>695</v>
      </c>
      <c r="F936" s="6" t="s">
        <v>1775</v>
      </c>
      <c r="G936" s="6">
        <v>67.52</v>
      </c>
      <c r="H936" s="6">
        <v>60.95</v>
      </c>
      <c r="I936" s="6">
        <v>102</v>
      </c>
      <c r="J936" s="6">
        <v>3800</v>
      </c>
      <c r="K936" s="7">
        <f>(J936-M936)*税费参数!$B$12/(I936*10000*(1+SUM(税费参数!$B$6:$B$8)))</f>
        <v>0.0342662488724303</v>
      </c>
      <c r="L936" s="7">
        <f>J936*税费参数!$B$12/(I936*10000)</f>
        <v>0.0372549019607843</v>
      </c>
      <c r="M936" s="6">
        <f>I936*10000*SUM(税费参数!$B$9:$B$10)/税费参数!$B$11</f>
        <v>191.25</v>
      </c>
    </row>
    <row r="937" ht="21" customHeight="1" spans="1:13">
      <c r="A937" s="5" t="s">
        <v>12</v>
      </c>
      <c r="B937" s="6" t="s">
        <v>74</v>
      </c>
      <c r="C937" s="6" t="s">
        <v>157</v>
      </c>
      <c r="D937" s="6" t="s">
        <v>155</v>
      </c>
      <c r="E937" s="6" t="s">
        <v>695</v>
      </c>
      <c r="F937" s="6" t="s">
        <v>1776</v>
      </c>
      <c r="G937" s="6">
        <v>67.52</v>
      </c>
      <c r="H937" s="6">
        <v>60.95</v>
      </c>
      <c r="I937" s="6">
        <v>102</v>
      </c>
      <c r="J937" s="6">
        <v>3000</v>
      </c>
      <c r="K937" s="7">
        <f>(J937-M937)*税费参数!$B$12/(I937*10000*(1+SUM(税费参数!$B$6:$B$8)))</f>
        <v>0.0266699900299103</v>
      </c>
      <c r="L937" s="7">
        <f>J937*税费参数!$B$12/(I937*10000)</f>
        <v>0.0294117647058824</v>
      </c>
      <c r="M937" s="6">
        <f>I937*10000*SUM(税费参数!$B$9:$B$10)/税费参数!$B$11</f>
        <v>191.25</v>
      </c>
    </row>
    <row r="938" ht="21" customHeight="1" spans="1:13">
      <c r="A938" s="5" t="s">
        <v>12</v>
      </c>
      <c r="B938" s="6" t="s">
        <v>74</v>
      </c>
      <c r="C938" s="6" t="s">
        <v>157</v>
      </c>
      <c r="D938" s="6" t="s">
        <v>155</v>
      </c>
      <c r="E938" s="6" t="s">
        <v>695</v>
      </c>
      <c r="F938" s="6" t="s">
        <v>1777</v>
      </c>
      <c r="G938" s="6">
        <v>67.52</v>
      </c>
      <c r="H938" s="6">
        <v>67.2</v>
      </c>
      <c r="I938" s="6">
        <v>102</v>
      </c>
      <c r="J938" s="6">
        <v>2520</v>
      </c>
      <c r="K938" s="7">
        <f>(J938-M938)*税费参数!$B$12/(I938*10000*(1+SUM(税费参数!$B$6:$B$8)))</f>
        <v>0.0221122347243982</v>
      </c>
      <c r="L938" s="7">
        <f>J938*税费参数!$B$12/(I938*10000)</f>
        <v>0.0247058823529412</v>
      </c>
      <c r="M938" s="6">
        <f>I938*10000*SUM(税费参数!$B$9:$B$10)/税费参数!$B$11</f>
        <v>191.25</v>
      </c>
    </row>
    <row r="939" ht="21" customHeight="1" spans="1:13">
      <c r="A939" s="5" t="s">
        <v>12</v>
      </c>
      <c r="B939" s="6" t="s">
        <v>80</v>
      </c>
      <c r="C939" s="6" t="s">
        <v>157</v>
      </c>
      <c r="D939" s="6" t="s">
        <v>155</v>
      </c>
      <c r="E939" s="6" t="s">
        <v>719</v>
      </c>
      <c r="F939" s="6" t="s">
        <v>1778</v>
      </c>
      <c r="G939" s="6">
        <v>77.38</v>
      </c>
      <c r="H939" s="6">
        <v>77.38</v>
      </c>
      <c r="I939" s="6">
        <v>120</v>
      </c>
      <c r="J939" s="6">
        <v>2000</v>
      </c>
      <c r="K939" s="7">
        <f>(J939-M939)*税费参数!$B$12/(I939*10000*(1+SUM(税费参数!$B$6:$B$8)))</f>
        <v>0.0143260694108152</v>
      </c>
      <c r="L939" s="7">
        <f>J939*税费参数!$B$12/(I939*10000)</f>
        <v>0.0166666666666667</v>
      </c>
      <c r="M939" s="6">
        <f>I939*10000*SUM(税费参数!$B$9:$B$10)/税费参数!$B$11</f>
        <v>225</v>
      </c>
    </row>
    <row r="940" ht="21" customHeight="1" spans="1:13">
      <c r="A940" s="5" t="s">
        <v>12</v>
      </c>
      <c r="B940" s="6" t="s">
        <v>78</v>
      </c>
      <c r="C940" s="6" t="s">
        <v>152</v>
      </c>
      <c r="D940" s="6" t="s">
        <v>153</v>
      </c>
      <c r="E940" s="6" t="s">
        <v>729</v>
      </c>
      <c r="F940" s="6" t="s">
        <v>1779</v>
      </c>
      <c r="G940" s="6">
        <v>52.24</v>
      </c>
      <c r="H940" s="6">
        <v>47.89</v>
      </c>
      <c r="I940" s="6">
        <v>84</v>
      </c>
      <c r="J940" s="6">
        <v>1900</v>
      </c>
      <c r="K940" s="7">
        <f>(J940-M940)*税费参数!$B$12/(I940*10000*(1+SUM(税费参数!$B$6:$B$8)))</f>
        <v>0.0200910872823706</v>
      </c>
      <c r="L940" s="7">
        <f>J940*税费参数!$B$12/(I940*10000)</f>
        <v>0.0226190476190476</v>
      </c>
      <c r="M940" s="6">
        <f>I940*10000*SUM(税费参数!$B$9:$B$10)/税费参数!$B$11</f>
        <v>157.5</v>
      </c>
    </row>
    <row r="941" ht="21" customHeight="1" spans="1:13">
      <c r="A941" s="5" t="s">
        <v>12</v>
      </c>
      <c r="B941" s="6" t="s">
        <v>78</v>
      </c>
      <c r="C941" s="6" t="s">
        <v>152</v>
      </c>
      <c r="D941" s="6" t="s">
        <v>153</v>
      </c>
      <c r="E941" s="6" t="s">
        <v>731</v>
      </c>
      <c r="F941" s="6" t="s">
        <v>1779</v>
      </c>
      <c r="G941" s="6">
        <v>56.08</v>
      </c>
      <c r="H941" s="6">
        <v>47.89</v>
      </c>
      <c r="I941" s="6">
        <v>99.7</v>
      </c>
      <c r="J941" s="6">
        <v>1900</v>
      </c>
      <c r="K941" s="7">
        <f>(J941-M941)*税费参数!$B$12/(I941*10000*(1+SUM(税费参数!$B$6:$B$8)))</f>
        <v>0.0166413283433837</v>
      </c>
      <c r="L941" s="7">
        <f>J941*税费参数!$B$12/(I941*10000)</f>
        <v>0.0190571715145436</v>
      </c>
      <c r="M941" s="6">
        <f>I941*10000*SUM(税费参数!$B$9:$B$10)/税费参数!$B$11</f>
        <v>186.9375</v>
      </c>
    </row>
    <row r="942" ht="21" customHeight="1" spans="1:13">
      <c r="A942" s="5" t="s">
        <v>12</v>
      </c>
      <c r="B942" s="6" t="s">
        <v>78</v>
      </c>
      <c r="C942" s="6" t="s">
        <v>152</v>
      </c>
      <c r="D942" s="6" t="s">
        <v>153</v>
      </c>
      <c r="E942" s="6" t="s">
        <v>733</v>
      </c>
      <c r="F942" s="6" t="s">
        <v>1779</v>
      </c>
      <c r="G942" s="6">
        <v>45.52</v>
      </c>
      <c r="H942" s="6">
        <v>47.89</v>
      </c>
      <c r="I942" s="6">
        <v>75</v>
      </c>
      <c r="J942" s="6">
        <v>1900</v>
      </c>
      <c r="K942" s="7">
        <f>(J942-M942)*税费参数!$B$12/(I942*10000*(1+SUM(税费参数!$B$6:$B$8)))</f>
        <v>0.0227199354317998</v>
      </c>
      <c r="L942" s="7">
        <f>J942*税费参数!$B$12/(I942*10000)</f>
        <v>0.0253333333333333</v>
      </c>
      <c r="M942" s="6">
        <f>I942*10000*SUM(税费参数!$B$9:$B$10)/税费参数!$B$11</f>
        <v>140.625</v>
      </c>
    </row>
    <row r="943" ht="21" customHeight="1" spans="1:13">
      <c r="A943" s="5" t="s">
        <v>12</v>
      </c>
      <c r="B943" s="6" t="s">
        <v>78</v>
      </c>
      <c r="C943" s="6" t="s">
        <v>152</v>
      </c>
      <c r="D943" s="6" t="s">
        <v>153</v>
      </c>
      <c r="E943" s="6" t="s">
        <v>725</v>
      </c>
      <c r="F943" s="6" t="s">
        <v>1779</v>
      </c>
      <c r="G943" s="6">
        <v>42.63</v>
      </c>
      <c r="H943" s="6">
        <v>47.89</v>
      </c>
      <c r="I943" s="6">
        <v>70</v>
      </c>
      <c r="J943" s="6">
        <v>1900</v>
      </c>
      <c r="K943" s="7">
        <f>(J943-M943)*税费参数!$B$12/(I943*10000*(1+SUM(税费参数!$B$6:$B$8)))</f>
        <v>0.0244725008647527</v>
      </c>
      <c r="L943" s="7">
        <f>J943*税费参数!$B$12/(I943*10000)</f>
        <v>0.0271428571428571</v>
      </c>
      <c r="M943" s="6">
        <f>I943*10000*SUM(税费参数!$B$9:$B$10)/税费参数!$B$11</f>
        <v>131.25</v>
      </c>
    </row>
    <row r="944" ht="21" customHeight="1" spans="1:13">
      <c r="A944" s="5" t="s">
        <v>12</v>
      </c>
      <c r="B944" s="6" t="s">
        <v>78</v>
      </c>
      <c r="C944" s="6" t="s">
        <v>152</v>
      </c>
      <c r="D944" s="6" t="s">
        <v>153</v>
      </c>
      <c r="E944" s="6" t="s">
        <v>727</v>
      </c>
      <c r="F944" s="6" t="s">
        <v>1779</v>
      </c>
      <c r="G944" s="6">
        <v>42.14</v>
      </c>
      <c r="H944" s="6">
        <v>47.89</v>
      </c>
      <c r="I944" s="6">
        <v>70</v>
      </c>
      <c r="J944" s="6">
        <v>1900</v>
      </c>
      <c r="K944" s="7">
        <f>(J944-M944)*税费参数!$B$12/(I944*10000*(1+SUM(税费参数!$B$6:$B$8)))</f>
        <v>0.0244725008647527</v>
      </c>
      <c r="L944" s="7">
        <f>J944*税费参数!$B$12/(I944*10000)</f>
        <v>0.0271428571428571</v>
      </c>
      <c r="M944" s="6">
        <f>I944*10000*SUM(税费参数!$B$9:$B$10)/税费参数!$B$11</f>
        <v>131.25</v>
      </c>
    </row>
    <row r="945" ht="21" customHeight="1" spans="1:13">
      <c r="A945" s="5" t="s">
        <v>12</v>
      </c>
      <c r="B945" s="6" t="s">
        <v>73</v>
      </c>
      <c r="C945" s="6" t="s">
        <v>159</v>
      </c>
      <c r="D945" s="6" t="s">
        <v>160</v>
      </c>
      <c r="E945" s="6" t="s">
        <v>735</v>
      </c>
      <c r="F945" s="6" t="s">
        <v>1780</v>
      </c>
      <c r="G945" s="6">
        <v>33.85</v>
      </c>
      <c r="H945" s="6">
        <v>32.62</v>
      </c>
      <c r="I945" s="6">
        <v>45</v>
      </c>
      <c r="J945" s="6">
        <v>1550</v>
      </c>
      <c r="K945" s="7">
        <f>(J945-M945)*税费参数!$B$12/(I945*10000*(1+SUM(税费参数!$B$6:$B$8)))</f>
        <v>0.0315442561205273</v>
      </c>
      <c r="L945" s="7">
        <f>J945*税费参数!$B$12/(I945*10000)</f>
        <v>0.0344444444444444</v>
      </c>
      <c r="M945" s="6">
        <f>I945*10000*SUM(税费参数!$B$9:$B$10)/税费参数!$B$11</f>
        <v>84.375</v>
      </c>
    </row>
    <row r="946" ht="21" customHeight="1" spans="1:13">
      <c r="A946" s="5" t="s">
        <v>12</v>
      </c>
      <c r="B946" s="6" t="s">
        <v>73</v>
      </c>
      <c r="C946" s="6" t="s">
        <v>159</v>
      </c>
      <c r="D946" s="6" t="s">
        <v>160</v>
      </c>
      <c r="E946" s="6" t="s">
        <v>735</v>
      </c>
      <c r="F946" s="6" t="s">
        <v>1781</v>
      </c>
      <c r="G946" s="6">
        <v>33.85</v>
      </c>
      <c r="H946" s="6">
        <v>33.85</v>
      </c>
      <c r="I946" s="6">
        <v>45</v>
      </c>
      <c r="J946" s="6">
        <v>1500</v>
      </c>
      <c r="K946" s="7">
        <f>(J946-M946)*税费参数!$B$12/(I946*10000*(1+SUM(税费参数!$B$6:$B$8)))</f>
        <v>0.0304681194511703</v>
      </c>
      <c r="L946" s="7">
        <f>J946*税费参数!$B$12/(I946*10000)</f>
        <v>0.0333333333333333</v>
      </c>
      <c r="M946" s="6">
        <f>I946*10000*SUM(税费参数!$B$9:$B$10)/税费参数!$B$11</f>
        <v>84.375</v>
      </c>
    </row>
    <row r="947" ht="21" customHeight="1" spans="1:13">
      <c r="A947" s="5" t="s">
        <v>12</v>
      </c>
      <c r="B947" s="6" t="s">
        <v>73</v>
      </c>
      <c r="C947" s="6" t="s">
        <v>159</v>
      </c>
      <c r="D947" s="6" t="s">
        <v>160</v>
      </c>
      <c r="E947" s="6" t="s">
        <v>735</v>
      </c>
      <c r="F947" s="6" t="s">
        <v>1782</v>
      </c>
      <c r="G947" s="6">
        <v>33.85</v>
      </c>
      <c r="H947" s="6">
        <v>33.85</v>
      </c>
      <c r="I947" s="6">
        <v>45</v>
      </c>
      <c r="J947" s="6">
        <v>1600</v>
      </c>
      <c r="K947" s="7">
        <f>(J947-M947)*税费参数!$B$12/(I947*10000*(1+SUM(税费参数!$B$6:$B$8)))</f>
        <v>0.0326203927898843</v>
      </c>
      <c r="L947" s="7">
        <f>J947*税费参数!$B$12/(I947*10000)</f>
        <v>0.0355555555555556</v>
      </c>
      <c r="M947" s="6">
        <f>I947*10000*SUM(税费参数!$B$9:$B$10)/税费参数!$B$11</f>
        <v>84.375</v>
      </c>
    </row>
    <row r="948" ht="21" customHeight="1" spans="1:13">
      <c r="A948" s="5" t="s">
        <v>9</v>
      </c>
      <c r="B948" s="6" t="s">
        <v>90</v>
      </c>
      <c r="C948" s="6" t="s">
        <v>152</v>
      </c>
      <c r="D948" s="6" t="s">
        <v>153</v>
      </c>
      <c r="E948" s="6" t="s">
        <v>739</v>
      </c>
      <c r="F948" s="6" t="s">
        <v>1783</v>
      </c>
      <c r="G948" s="6">
        <v>57.19</v>
      </c>
      <c r="H948" s="6">
        <v>57.19</v>
      </c>
      <c r="I948" s="6">
        <v>78</v>
      </c>
      <c r="J948" s="6">
        <v>1900</v>
      </c>
      <c r="K948" s="7">
        <f>(J948-M948)*税费参数!$B$12/(I948*10000*(1+SUM(税费参数!$B$6:$B$8)))</f>
        <v>0.0217762463525175</v>
      </c>
      <c r="L948" s="7">
        <f>J948*税费参数!$B$12/(I948*10000)</f>
        <v>0.0243589743589744</v>
      </c>
      <c r="M948" s="6">
        <f>I948*10000*SUM(税费参数!$B$9:$B$10)/税费参数!$B$11</f>
        <v>146.25</v>
      </c>
    </row>
    <row r="949" ht="21" customHeight="1" spans="1:13">
      <c r="A949" s="5" t="s">
        <v>9</v>
      </c>
      <c r="B949" s="6" t="s">
        <v>90</v>
      </c>
      <c r="C949" s="6" t="s">
        <v>152</v>
      </c>
      <c r="D949" s="6" t="s">
        <v>153</v>
      </c>
      <c r="E949" s="6" t="s">
        <v>739</v>
      </c>
      <c r="F949" s="6" t="s">
        <v>1784</v>
      </c>
      <c r="G949" s="6">
        <v>57.19</v>
      </c>
      <c r="H949" s="6">
        <v>58.5</v>
      </c>
      <c r="I949" s="6">
        <v>78</v>
      </c>
      <c r="J949" s="6">
        <v>1500</v>
      </c>
      <c r="K949" s="7">
        <f>(J949-M949)*税费参数!$B$12/(I949*10000*(1+SUM(税费参数!$B$6:$B$8)))</f>
        <v>0.016809461724716</v>
      </c>
      <c r="L949" s="7">
        <f>J949*税费参数!$B$12/(I949*10000)</f>
        <v>0.0192307692307692</v>
      </c>
      <c r="M949" s="6">
        <f>I949*10000*SUM(税费参数!$B$9:$B$10)/税费参数!$B$11</f>
        <v>146.25</v>
      </c>
    </row>
    <row r="950" ht="21" customHeight="1" spans="1:13">
      <c r="A950" s="5" t="s">
        <v>9</v>
      </c>
      <c r="B950" s="6" t="s">
        <v>90</v>
      </c>
      <c r="C950" s="6" t="s">
        <v>157</v>
      </c>
      <c r="D950" s="6" t="s">
        <v>153</v>
      </c>
      <c r="E950" s="6" t="s">
        <v>741</v>
      </c>
      <c r="F950" s="6" t="s">
        <v>1785</v>
      </c>
      <c r="G950" s="6">
        <v>61.41</v>
      </c>
      <c r="H950" s="6">
        <v>61.37</v>
      </c>
      <c r="I950" s="6">
        <v>110</v>
      </c>
      <c r="J950" s="6">
        <v>2260</v>
      </c>
      <c r="K950" s="7">
        <f>(J950-M950)*税费参数!$B$12/(I950*10000*(1+SUM(税费参数!$B$6:$B$8)))</f>
        <v>0.0180827646929342</v>
      </c>
      <c r="L950" s="7">
        <f>J950*税费参数!$B$12/(I950*10000)</f>
        <v>0.0205454545454545</v>
      </c>
      <c r="M950" s="6">
        <f>I950*10000*SUM(税费参数!$B$9:$B$10)/税费参数!$B$11</f>
        <v>206.25</v>
      </c>
    </row>
    <row r="951" ht="21" customHeight="1" spans="1:13">
      <c r="A951" s="5" t="s">
        <v>9</v>
      </c>
      <c r="B951" s="6" t="s">
        <v>90</v>
      </c>
      <c r="C951" s="6" t="s">
        <v>157</v>
      </c>
      <c r="D951" s="6" t="s">
        <v>155</v>
      </c>
      <c r="E951" s="6" t="s">
        <v>745</v>
      </c>
      <c r="F951" s="6" t="s">
        <v>1786</v>
      </c>
      <c r="G951" s="6">
        <v>64.21</v>
      </c>
      <c r="H951" s="6">
        <v>71.95</v>
      </c>
      <c r="I951" s="6">
        <v>115</v>
      </c>
      <c r="J951" s="6">
        <v>2700</v>
      </c>
      <c r="K951" s="7">
        <f>(J951-M951)*税费参数!$B$12/(I951*10000*(1+SUM(税费参数!$B$6:$B$8)))</f>
        <v>0.0209232550794821</v>
      </c>
      <c r="L951" s="7">
        <f>J951*税费参数!$B$12/(I951*10000)</f>
        <v>0.0234782608695652</v>
      </c>
      <c r="M951" s="6">
        <f>I951*10000*SUM(税费参数!$B$9:$B$10)/税费参数!$B$11</f>
        <v>215.625</v>
      </c>
    </row>
    <row r="952" ht="21" customHeight="1" spans="1:13">
      <c r="A952" s="5" t="s">
        <v>9</v>
      </c>
      <c r="B952" s="6" t="s">
        <v>90</v>
      </c>
      <c r="C952" s="6" t="s">
        <v>157</v>
      </c>
      <c r="D952" s="6" t="s">
        <v>155</v>
      </c>
      <c r="E952" s="6" t="s">
        <v>745</v>
      </c>
      <c r="F952" s="6" t="s">
        <v>1787</v>
      </c>
      <c r="G952" s="6">
        <v>64.21</v>
      </c>
      <c r="H952" s="6">
        <v>63.18</v>
      </c>
      <c r="I952" s="6">
        <v>115</v>
      </c>
      <c r="J952" s="6">
        <v>2500</v>
      </c>
      <c r="K952" s="7">
        <f>(J952-M952)*税费参数!$B$12/(I952*10000*(1+SUM(税费参数!$B$6:$B$8)))</f>
        <v>0.0192388672491841</v>
      </c>
      <c r="L952" s="7">
        <f>J952*税费参数!$B$12/(I952*10000)</f>
        <v>0.0217391304347826</v>
      </c>
      <c r="M952" s="6">
        <f>I952*10000*SUM(税费参数!$B$9:$B$10)/税费参数!$B$11</f>
        <v>215.625</v>
      </c>
    </row>
    <row r="953" ht="21" customHeight="1" spans="1:13">
      <c r="A953" s="5" t="s">
        <v>9</v>
      </c>
      <c r="B953" s="6" t="s">
        <v>90</v>
      </c>
      <c r="C953" s="6" t="s">
        <v>157</v>
      </c>
      <c r="D953" s="6" t="s">
        <v>155</v>
      </c>
      <c r="E953" s="6" t="s">
        <v>745</v>
      </c>
      <c r="F953" s="6" t="s">
        <v>1788</v>
      </c>
      <c r="G953" s="6">
        <v>64.21</v>
      </c>
      <c r="H953" s="6">
        <v>64.21</v>
      </c>
      <c r="I953" s="6">
        <v>115</v>
      </c>
      <c r="J953" s="6">
        <v>2600</v>
      </c>
      <c r="K953" s="7">
        <f>(J953-M953)*税费参数!$B$12/(I953*10000*(1+SUM(税费参数!$B$6:$B$8)))</f>
        <v>0.0200810611643331</v>
      </c>
      <c r="L953" s="7">
        <f>J953*税费参数!$B$12/(I953*10000)</f>
        <v>0.0226086956521739</v>
      </c>
      <c r="M953" s="6">
        <f>I953*10000*SUM(税费参数!$B$9:$B$10)/税费参数!$B$11</f>
        <v>215.625</v>
      </c>
    </row>
    <row r="954" ht="21" customHeight="1" spans="1:13">
      <c r="A954" s="5" t="s">
        <v>9</v>
      </c>
      <c r="B954" s="6" t="s">
        <v>86</v>
      </c>
      <c r="C954" s="6" t="s">
        <v>157</v>
      </c>
      <c r="D954" s="6" t="s">
        <v>153</v>
      </c>
      <c r="E954" s="6" t="s">
        <v>749</v>
      </c>
      <c r="F954" s="6" t="s">
        <v>1789</v>
      </c>
      <c r="G954" s="6">
        <v>62.98</v>
      </c>
      <c r="H954" s="6">
        <v>67</v>
      </c>
      <c r="I954" s="6">
        <v>106</v>
      </c>
      <c r="J954" s="6">
        <v>2100</v>
      </c>
      <c r="K954" s="7">
        <f>(J954-M954)*税费参数!$B$12/(I954*10000*(1+SUM(税费参数!$B$6:$B$8)))</f>
        <v>0.0173717392297501</v>
      </c>
      <c r="L954" s="7">
        <f>J954*税费参数!$B$12/(I954*10000)</f>
        <v>0.019811320754717</v>
      </c>
      <c r="M954" s="6">
        <f>I954*10000*SUM(税费参数!$B$9:$B$10)/税费参数!$B$11</f>
        <v>198.75</v>
      </c>
    </row>
    <row r="955" ht="21" customHeight="1" spans="1:13">
      <c r="A955" s="5" t="s">
        <v>9</v>
      </c>
      <c r="B955" s="6" t="s">
        <v>86</v>
      </c>
      <c r="C955" s="6" t="s">
        <v>157</v>
      </c>
      <c r="D955" s="6" t="s">
        <v>153</v>
      </c>
      <c r="E955" s="6" t="s">
        <v>749</v>
      </c>
      <c r="F955" s="6" t="s">
        <v>1790</v>
      </c>
      <c r="G955" s="6">
        <v>62.98</v>
      </c>
      <c r="H955" s="6">
        <v>67.14</v>
      </c>
      <c r="I955" s="6">
        <v>106</v>
      </c>
      <c r="J955" s="6">
        <v>2700</v>
      </c>
      <c r="K955" s="7">
        <f>(J955-M955)*税费参数!$B$12/(I955*10000*(1+SUM(税费参数!$B$6:$B$8)))</f>
        <v>0.022853944903833</v>
      </c>
      <c r="L955" s="7">
        <f>J955*税费参数!$B$12/(I955*10000)</f>
        <v>0.0254716981132075</v>
      </c>
      <c r="M955" s="6">
        <f>I955*10000*SUM(税费参数!$B$9:$B$10)/税费参数!$B$11</f>
        <v>198.75</v>
      </c>
    </row>
    <row r="956" ht="21" customHeight="1" spans="1:13">
      <c r="A956" s="5" t="s">
        <v>9</v>
      </c>
      <c r="B956" s="6" t="s">
        <v>86</v>
      </c>
      <c r="C956" s="6" t="s">
        <v>157</v>
      </c>
      <c r="D956" s="6" t="s">
        <v>153</v>
      </c>
      <c r="E956" s="6" t="s">
        <v>749</v>
      </c>
      <c r="F956" s="6" t="s">
        <v>1791</v>
      </c>
      <c r="G956" s="6">
        <v>62.98</v>
      </c>
      <c r="H956" s="6">
        <v>67.14</v>
      </c>
      <c r="I956" s="6">
        <v>106</v>
      </c>
      <c r="J956" s="6">
        <v>2700</v>
      </c>
      <c r="K956" s="7">
        <f>(J956-M956)*税费参数!$B$12/(I956*10000*(1+SUM(税费参数!$B$6:$B$8)))</f>
        <v>0.022853944903833</v>
      </c>
      <c r="L956" s="7">
        <f>J956*税费参数!$B$12/(I956*10000)</f>
        <v>0.0254716981132075</v>
      </c>
      <c r="M956" s="6">
        <f>I956*10000*SUM(税费参数!$B$9:$B$10)/税费参数!$B$11</f>
        <v>198.75</v>
      </c>
    </row>
    <row r="957" ht="21" customHeight="1" spans="1:13">
      <c r="A957" s="5" t="s">
        <v>9</v>
      </c>
      <c r="B957" s="6" t="s">
        <v>86</v>
      </c>
      <c r="C957" s="6" t="s">
        <v>157</v>
      </c>
      <c r="D957" s="6" t="s">
        <v>153</v>
      </c>
      <c r="E957" s="6" t="s">
        <v>747</v>
      </c>
      <c r="F957" s="6" t="s">
        <v>1789</v>
      </c>
      <c r="G957" s="6">
        <v>67.14</v>
      </c>
      <c r="H957" s="6">
        <v>67</v>
      </c>
      <c r="I957" s="6">
        <v>89</v>
      </c>
      <c r="J957" s="6">
        <v>2100</v>
      </c>
      <c r="K957" s="7">
        <f>(J957-M957)*税费参数!$B$12/(I957*10000*(1+SUM(税费参数!$B$6:$B$8)))</f>
        <v>0.0210368093152325</v>
      </c>
      <c r="L957" s="7">
        <f>J957*税费参数!$B$12/(I957*10000)</f>
        <v>0.0235955056179775</v>
      </c>
      <c r="M957" s="6">
        <f>I957*10000*SUM(税费参数!$B$9:$B$10)/税费参数!$B$11</f>
        <v>166.875</v>
      </c>
    </row>
    <row r="958" ht="21" customHeight="1" spans="1:13">
      <c r="A958" s="5" t="s">
        <v>9</v>
      </c>
      <c r="B958" s="6" t="s">
        <v>86</v>
      </c>
      <c r="C958" s="6" t="s">
        <v>157</v>
      </c>
      <c r="D958" s="6" t="s">
        <v>153</v>
      </c>
      <c r="E958" s="6" t="s">
        <v>747</v>
      </c>
      <c r="F958" s="6" t="s">
        <v>1790</v>
      </c>
      <c r="G958" s="6">
        <v>67.14</v>
      </c>
      <c r="H958" s="6">
        <v>67.14</v>
      </c>
      <c r="I958" s="6">
        <v>89</v>
      </c>
      <c r="J958" s="6">
        <v>2700</v>
      </c>
      <c r="K958" s="7">
        <f>(J958-M958)*税费参数!$B$12/(I958*10000*(1+SUM(税费参数!$B$6:$B$8)))</f>
        <v>0.0275661778708817</v>
      </c>
      <c r="L958" s="7">
        <f>J958*税费参数!$B$12/(I958*10000)</f>
        <v>0.0303370786516854</v>
      </c>
      <c r="M958" s="6">
        <f>I958*10000*SUM(税费参数!$B$9:$B$10)/税费参数!$B$11</f>
        <v>166.875</v>
      </c>
    </row>
    <row r="959" ht="21" customHeight="1" spans="1:13">
      <c r="A959" s="5" t="s">
        <v>9</v>
      </c>
      <c r="B959" s="6" t="s">
        <v>86</v>
      </c>
      <c r="C959" s="6" t="s">
        <v>157</v>
      </c>
      <c r="D959" s="6" t="s">
        <v>153</v>
      </c>
      <c r="E959" s="6" t="s">
        <v>747</v>
      </c>
      <c r="F959" s="6" t="s">
        <v>1791</v>
      </c>
      <c r="G959" s="6">
        <v>67.14</v>
      </c>
      <c r="H959" s="6">
        <v>67.14</v>
      </c>
      <c r="I959" s="6">
        <v>89</v>
      </c>
      <c r="J959" s="6">
        <v>2700</v>
      </c>
      <c r="K959" s="7">
        <f>(J959-M959)*税费参数!$B$12/(I959*10000*(1+SUM(税费参数!$B$6:$B$8)))</f>
        <v>0.0275661778708817</v>
      </c>
      <c r="L959" s="7">
        <f>J959*税费参数!$B$12/(I959*10000)</f>
        <v>0.0303370786516854</v>
      </c>
      <c r="M959" s="6">
        <f>I959*10000*SUM(税费参数!$B$9:$B$10)/税费参数!$B$11</f>
        <v>166.875</v>
      </c>
    </row>
    <row r="960" ht="21" customHeight="1" spans="1:13">
      <c r="A960" s="5" t="s">
        <v>9</v>
      </c>
      <c r="B960" s="6" t="s">
        <v>83</v>
      </c>
      <c r="C960" s="6" t="s">
        <v>159</v>
      </c>
      <c r="D960" s="6" t="s">
        <v>160</v>
      </c>
      <c r="E960" s="6" t="s">
        <v>783</v>
      </c>
      <c r="F960" s="6" t="s">
        <v>1792</v>
      </c>
      <c r="G960" s="6">
        <v>33</v>
      </c>
      <c r="H960" s="6">
        <v>33.07</v>
      </c>
      <c r="I960" s="6">
        <v>52</v>
      </c>
      <c r="J960" s="6">
        <v>1800</v>
      </c>
      <c r="K960" s="7">
        <f>(J960-M960)*税费参数!$B$12/(I960*10000*(1+SUM(税费参数!$B$6:$B$8)))</f>
        <v>0.0317098156081207</v>
      </c>
      <c r="L960" s="7">
        <f>J960*税费参数!$B$12/(I960*10000)</f>
        <v>0.0346153846153846</v>
      </c>
      <c r="M960" s="6">
        <f>I960*10000*SUM(税费参数!$B$9:$B$10)/税费参数!$B$11</f>
        <v>97.5</v>
      </c>
    </row>
    <row r="961" ht="21" customHeight="1" spans="1:13">
      <c r="A961" s="5" t="s">
        <v>9</v>
      </c>
      <c r="B961" s="6" t="s">
        <v>83</v>
      </c>
      <c r="C961" s="6" t="s">
        <v>159</v>
      </c>
      <c r="D961" s="6" t="s">
        <v>160</v>
      </c>
      <c r="E961" s="6" t="s">
        <v>783</v>
      </c>
      <c r="F961" s="6" t="s">
        <v>1793</v>
      </c>
      <c r="G961" s="6">
        <v>33</v>
      </c>
      <c r="H961" s="6">
        <v>34.62</v>
      </c>
      <c r="I961" s="6">
        <v>52</v>
      </c>
      <c r="J961" s="6">
        <v>1700</v>
      </c>
      <c r="K961" s="7">
        <f>(J961-M961)*税费参数!$B$12/(I961*10000*(1+SUM(税费参数!$B$6:$B$8)))</f>
        <v>0.0298472713726951</v>
      </c>
      <c r="L961" s="7">
        <f>J961*税费参数!$B$12/(I961*10000)</f>
        <v>0.0326923076923077</v>
      </c>
      <c r="M961" s="6">
        <f>I961*10000*SUM(税费参数!$B$9:$B$10)/税费参数!$B$11</f>
        <v>97.5</v>
      </c>
    </row>
    <row r="962" ht="21" customHeight="1" spans="1:13">
      <c r="A962" s="5" t="s">
        <v>9</v>
      </c>
      <c r="B962" s="6" t="s">
        <v>83</v>
      </c>
      <c r="C962" s="6" t="s">
        <v>159</v>
      </c>
      <c r="D962" s="6" t="s">
        <v>160</v>
      </c>
      <c r="E962" s="6" t="s">
        <v>783</v>
      </c>
      <c r="F962" s="6" t="s">
        <v>1794</v>
      </c>
      <c r="G962" s="6">
        <v>33</v>
      </c>
      <c r="H962" s="6">
        <v>34.49</v>
      </c>
      <c r="I962" s="6">
        <v>52</v>
      </c>
      <c r="J962" s="6">
        <v>1790</v>
      </c>
      <c r="K962" s="7">
        <f>(J962-M962)*税费参数!$B$12/(I962*10000*(1+SUM(税费参数!$B$6:$B$8)))</f>
        <v>0.0315235611845781</v>
      </c>
      <c r="L962" s="7">
        <f>J962*税费参数!$B$12/(I962*10000)</f>
        <v>0.0344230769230769</v>
      </c>
      <c r="M962" s="6">
        <f>I962*10000*SUM(税费参数!$B$9:$B$10)/税费参数!$B$11</f>
        <v>97.5</v>
      </c>
    </row>
    <row r="963" ht="21" customHeight="1" spans="1:13">
      <c r="A963" s="5" t="s">
        <v>9</v>
      </c>
      <c r="B963" s="6" t="s">
        <v>83</v>
      </c>
      <c r="C963" s="6" t="s">
        <v>159</v>
      </c>
      <c r="D963" s="6" t="s">
        <v>160</v>
      </c>
      <c r="E963" s="6" t="s">
        <v>783</v>
      </c>
      <c r="F963" s="6" t="s">
        <v>1795</v>
      </c>
      <c r="G963" s="6">
        <v>33</v>
      </c>
      <c r="H963" s="6">
        <v>30.06</v>
      </c>
      <c r="I963" s="6">
        <v>52</v>
      </c>
      <c r="J963" s="6">
        <v>2000</v>
      </c>
      <c r="K963" s="7">
        <f>(J963-M963)*税费参数!$B$12/(I963*10000*(1+SUM(税费参数!$B$6:$B$8)))</f>
        <v>0.0354349040789719</v>
      </c>
      <c r="L963" s="7">
        <f>J963*税费参数!$B$12/(I963*10000)</f>
        <v>0.0384615384615385</v>
      </c>
      <c r="M963" s="6">
        <f>I963*10000*SUM(税费参数!$B$9:$B$10)/税费参数!$B$11</f>
        <v>97.5</v>
      </c>
    </row>
    <row r="964" ht="21" customHeight="1" spans="1:13">
      <c r="A964" s="5" t="s">
        <v>9</v>
      </c>
      <c r="B964" s="6" t="s">
        <v>83</v>
      </c>
      <c r="C964" s="6" t="s">
        <v>159</v>
      </c>
      <c r="D964" s="6" t="s">
        <v>160</v>
      </c>
      <c r="E964" s="6" t="s">
        <v>783</v>
      </c>
      <c r="F964" s="6" t="s">
        <v>1796</v>
      </c>
      <c r="G964" s="6">
        <v>33</v>
      </c>
      <c r="H964" s="6">
        <v>33.07</v>
      </c>
      <c r="I964" s="6">
        <v>52</v>
      </c>
      <c r="J964" s="6">
        <v>2000</v>
      </c>
      <c r="K964" s="7">
        <f>(J964-M964)*税费参数!$B$12/(I964*10000*(1+SUM(税费参数!$B$6:$B$8)))</f>
        <v>0.0354349040789719</v>
      </c>
      <c r="L964" s="7">
        <f>J964*税费参数!$B$12/(I964*10000)</f>
        <v>0.0384615384615385</v>
      </c>
      <c r="M964" s="6">
        <f>I964*10000*SUM(税费参数!$B$9:$B$10)/税费参数!$B$11</f>
        <v>97.5</v>
      </c>
    </row>
    <row r="965" ht="21" customHeight="1" spans="1:13">
      <c r="A965" s="5" t="s">
        <v>9</v>
      </c>
      <c r="B965" s="6" t="s">
        <v>83</v>
      </c>
      <c r="C965" s="6" t="s">
        <v>159</v>
      </c>
      <c r="D965" s="6" t="s">
        <v>160</v>
      </c>
      <c r="E965" s="6" t="s">
        <v>783</v>
      </c>
      <c r="F965" s="6" t="s">
        <v>1797</v>
      </c>
      <c r="G965" s="6">
        <v>33</v>
      </c>
      <c r="H965" s="6">
        <v>34.49</v>
      </c>
      <c r="I965" s="6">
        <v>52</v>
      </c>
      <c r="J965" s="6">
        <v>2200</v>
      </c>
      <c r="K965" s="7">
        <f>(J965-M965)*税费参数!$B$12/(I965*10000*(1+SUM(税费参数!$B$6:$B$8)))</f>
        <v>0.0391599925498231</v>
      </c>
      <c r="L965" s="7">
        <f>J965*税费参数!$B$12/(I965*10000)</f>
        <v>0.0423076923076923</v>
      </c>
      <c r="M965" s="6">
        <f>I965*10000*SUM(税费参数!$B$9:$B$10)/税费参数!$B$11</f>
        <v>97.5</v>
      </c>
    </row>
    <row r="966" ht="21" customHeight="1" spans="1:13">
      <c r="A966" s="5" t="s">
        <v>9</v>
      </c>
      <c r="B966" s="6" t="s">
        <v>83</v>
      </c>
      <c r="C966" s="6" t="s">
        <v>159</v>
      </c>
      <c r="D966" s="6" t="s">
        <v>160</v>
      </c>
      <c r="E966" s="6" t="s">
        <v>783</v>
      </c>
      <c r="F966" s="6" t="s">
        <v>1798</v>
      </c>
      <c r="G966" s="6">
        <v>33</v>
      </c>
      <c r="H966" s="6">
        <v>34.6</v>
      </c>
      <c r="I966" s="6">
        <v>52</v>
      </c>
      <c r="J966" s="6">
        <v>1800</v>
      </c>
      <c r="K966" s="7">
        <f>(J966-M966)*税费参数!$B$12/(I966*10000*(1+SUM(税费参数!$B$6:$B$8)))</f>
        <v>0.0317098156081207</v>
      </c>
      <c r="L966" s="7">
        <f>J966*税费参数!$B$12/(I966*10000)</f>
        <v>0.0346153846153846</v>
      </c>
      <c r="M966" s="6">
        <f>I966*10000*SUM(税费参数!$B$9:$B$10)/税费参数!$B$11</f>
        <v>97.5</v>
      </c>
    </row>
    <row r="967" ht="21" customHeight="1" spans="1:13">
      <c r="A967" s="5" t="s">
        <v>9</v>
      </c>
      <c r="B967" s="6" t="s">
        <v>83</v>
      </c>
      <c r="C967" s="6" t="s">
        <v>159</v>
      </c>
      <c r="D967" s="6" t="s">
        <v>160</v>
      </c>
      <c r="E967" s="6" t="s">
        <v>783</v>
      </c>
      <c r="F967" s="6" t="s">
        <v>1799</v>
      </c>
      <c r="G967" s="6">
        <v>33</v>
      </c>
      <c r="H967" s="6">
        <v>34.41</v>
      </c>
      <c r="I967" s="6">
        <v>52</v>
      </c>
      <c r="J967" s="6">
        <v>1900</v>
      </c>
      <c r="K967" s="7">
        <f>(J967-M967)*税费参数!$B$12/(I967*10000*(1+SUM(税费参数!$B$6:$B$8)))</f>
        <v>0.0335723598435463</v>
      </c>
      <c r="L967" s="7">
        <f>J967*税费参数!$B$12/(I967*10000)</f>
        <v>0.0365384615384615</v>
      </c>
      <c r="M967" s="6">
        <f>I967*10000*SUM(税费参数!$B$9:$B$10)/税费参数!$B$11</f>
        <v>97.5</v>
      </c>
    </row>
    <row r="968" ht="21" customHeight="1" spans="1:13">
      <c r="A968" s="5" t="s">
        <v>9</v>
      </c>
      <c r="B968" s="6" t="s">
        <v>83</v>
      </c>
      <c r="C968" s="6" t="s">
        <v>159</v>
      </c>
      <c r="D968" s="6" t="s">
        <v>160</v>
      </c>
      <c r="E968" s="6" t="s">
        <v>783</v>
      </c>
      <c r="F968" s="6" t="s">
        <v>1800</v>
      </c>
      <c r="G968" s="6">
        <v>33</v>
      </c>
      <c r="H968" s="6">
        <v>34</v>
      </c>
      <c r="I968" s="6">
        <v>52</v>
      </c>
      <c r="J968" s="6">
        <v>1850</v>
      </c>
      <c r="K968" s="7">
        <f>(J968-M968)*税费参数!$B$12/(I968*10000*(1+SUM(税费参数!$B$6:$B$8)))</f>
        <v>0.0326410877258335</v>
      </c>
      <c r="L968" s="7">
        <f>J968*税费参数!$B$12/(I968*10000)</f>
        <v>0.0355769230769231</v>
      </c>
      <c r="M968" s="6">
        <f>I968*10000*SUM(税费参数!$B$9:$B$10)/税费参数!$B$11</f>
        <v>97.5</v>
      </c>
    </row>
    <row r="969" ht="21" customHeight="1" spans="1:13">
      <c r="A969" s="5" t="s">
        <v>9</v>
      </c>
      <c r="B969" s="6" t="s">
        <v>83</v>
      </c>
      <c r="C969" s="6" t="s">
        <v>159</v>
      </c>
      <c r="D969" s="6" t="s">
        <v>160</v>
      </c>
      <c r="E969" s="6" t="s">
        <v>783</v>
      </c>
      <c r="F969" s="6" t="s">
        <v>1801</v>
      </c>
      <c r="G969" s="6">
        <v>33</v>
      </c>
      <c r="H969" s="6">
        <v>34.48</v>
      </c>
      <c r="I969" s="6">
        <v>52</v>
      </c>
      <c r="J969" s="6">
        <v>1950</v>
      </c>
      <c r="K969" s="7">
        <f>(J969-M969)*税费参数!$B$12/(I969*10000*(1+SUM(税费参数!$B$6:$B$8)))</f>
        <v>0.0345036319612591</v>
      </c>
      <c r="L969" s="7">
        <f>J969*税费参数!$B$12/(I969*10000)</f>
        <v>0.0375</v>
      </c>
      <c r="M969" s="6">
        <f>I969*10000*SUM(税费参数!$B$9:$B$10)/税费参数!$B$11</f>
        <v>97.5</v>
      </c>
    </row>
    <row r="970" ht="21" customHeight="1" spans="1:13">
      <c r="A970" s="5" t="s">
        <v>9</v>
      </c>
      <c r="B970" s="6" t="s">
        <v>83</v>
      </c>
      <c r="C970" s="6" t="s">
        <v>159</v>
      </c>
      <c r="D970" s="6" t="s">
        <v>160</v>
      </c>
      <c r="E970" s="6" t="s">
        <v>787</v>
      </c>
      <c r="F970" s="6" t="s">
        <v>1792</v>
      </c>
      <c r="G970" s="6">
        <v>30.06</v>
      </c>
      <c r="H970" s="6">
        <v>33.07</v>
      </c>
      <c r="I970" s="6">
        <v>49</v>
      </c>
      <c r="J970" s="6">
        <v>1800</v>
      </c>
      <c r="K970" s="7">
        <f>(J970-M970)*税费参数!$B$12/(I970*10000*(1+SUM(税费参数!$B$6:$B$8)))</f>
        <v>0.0337624153777734</v>
      </c>
      <c r="L970" s="7">
        <f>J970*税费参数!$B$12/(I970*10000)</f>
        <v>0.036734693877551</v>
      </c>
      <c r="M970" s="6">
        <f>I970*10000*SUM(税费参数!$B$9:$B$10)/税费参数!$B$11</f>
        <v>91.875</v>
      </c>
    </row>
    <row r="971" ht="21" customHeight="1" spans="1:13">
      <c r="A971" s="5" t="s">
        <v>9</v>
      </c>
      <c r="B971" s="6" t="s">
        <v>83</v>
      </c>
      <c r="C971" s="6" t="s">
        <v>159</v>
      </c>
      <c r="D971" s="6" t="s">
        <v>160</v>
      </c>
      <c r="E971" s="6" t="s">
        <v>787</v>
      </c>
      <c r="F971" s="6" t="s">
        <v>1794</v>
      </c>
      <c r="G971" s="6">
        <v>30.06</v>
      </c>
      <c r="H971" s="6">
        <v>34.49</v>
      </c>
      <c r="I971" s="6">
        <v>49</v>
      </c>
      <c r="J971" s="6">
        <v>1790</v>
      </c>
      <c r="K971" s="7">
        <f>(J971-M971)*税费参数!$B$12/(I971*10000*(1+SUM(税费参数!$B$6:$B$8)))</f>
        <v>0.0335647576221772</v>
      </c>
      <c r="L971" s="7">
        <f>J971*税费参数!$B$12/(I971*10000)</f>
        <v>0.036530612244898</v>
      </c>
      <c r="M971" s="6">
        <f>I971*10000*SUM(税费参数!$B$9:$B$10)/税费参数!$B$11</f>
        <v>91.875</v>
      </c>
    </row>
    <row r="972" ht="21" customHeight="1" spans="1:13">
      <c r="A972" s="5" t="s">
        <v>9</v>
      </c>
      <c r="B972" s="6" t="s">
        <v>83</v>
      </c>
      <c r="C972" s="6" t="s">
        <v>159</v>
      </c>
      <c r="D972" s="6" t="s">
        <v>160</v>
      </c>
      <c r="E972" s="6" t="s">
        <v>787</v>
      </c>
      <c r="F972" s="6" t="s">
        <v>1795</v>
      </c>
      <c r="G972" s="6">
        <v>30.06</v>
      </c>
      <c r="H972" s="6">
        <v>30.06</v>
      </c>
      <c r="I972" s="6">
        <v>49</v>
      </c>
      <c r="J972" s="6">
        <v>2000</v>
      </c>
      <c r="K972" s="7">
        <f>(J972-M972)*税费参数!$B$12/(I972*10000*(1+SUM(税费参数!$B$6:$B$8)))</f>
        <v>0.0377155704896971</v>
      </c>
      <c r="L972" s="7">
        <f>J972*税费参数!$B$12/(I972*10000)</f>
        <v>0.0408163265306122</v>
      </c>
      <c r="M972" s="6">
        <f>I972*10000*SUM(税费参数!$B$9:$B$10)/税费参数!$B$11</f>
        <v>91.875</v>
      </c>
    </row>
    <row r="973" ht="21" customHeight="1" spans="1:13">
      <c r="A973" s="5" t="s">
        <v>9</v>
      </c>
      <c r="B973" s="6" t="s">
        <v>83</v>
      </c>
      <c r="C973" s="6" t="s">
        <v>159</v>
      </c>
      <c r="D973" s="6" t="s">
        <v>160</v>
      </c>
      <c r="E973" s="6" t="s">
        <v>787</v>
      </c>
      <c r="F973" s="6" t="s">
        <v>1796</v>
      </c>
      <c r="G973" s="6">
        <v>30.06</v>
      </c>
      <c r="H973" s="6">
        <v>33.07</v>
      </c>
      <c r="I973" s="6">
        <v>49</v>
      </c>
      <c r="J973" s="6">
        <v>2000</v>
      </c>
      <c r="K973" s="7">
        <f>(J973-M973)*税费参数!$B$12/(I973*10000*(1+SUM(税费参数!$B$6:$B$8)))</f>
        <v>0.0377155704896971</v>
      </c>
      <c r="L973" s="7">
        <f>J973*税费参数!$B$12/(I973*10000)</f>
        <v>0.0408163265306122</v>
      </c>
      <c r="M973" s="6">
        <f>I973*10000*SUM(税费参数!$B$9:$B$10)/税费参数!$B$11</f>
        <v>91.875</v>
      </c>
    </row>
    <row r="974" ht="21" customHeight="1" spans="1:13">
      <c r="A974" s="5" t="s">
        <v>9</v>
      </c>
      <c r="B974" s="6" t="s">
        <v>83</v>
      </c>
      <c r="C974" s="6" t="s">
        <v>159</v>
      </c>
      <c r="D974" s="6" t="s">
        <v>160</v>
      </c>
      <c r="E974" s="6" t="s">
        <v>787</v>
      </c>
      <c r="F974" s="6" t="s">
        <v>1797</v>
      </c>
      <c r="G974" s="6">
        <v>30.06</v>
      </c>
      <c r="H974" s="6">
        <v>34.49</v>
      </c>
      <c r="I974" s="6">
        <v>49</v>
      </c>
      <c r="J974" s="6">
        <v>2200</v>
      </c>
      <c r="K974" s="7">
        <f>(J974-M974)*税费参数!$B$12/(I974*10000*(1+SUM(税费参数!$B$6:$B$8)))</f>
        <v>0.0416687256016208</v>
      </c>
      <c r="L974" s="7">
        <f>J974*税费参数!$B$12/(I974*10000)</f>
        <v>0.0448979591836735</v>
      </c>
      <c r="M974" s="6">
        <f>I974*10000*SUM(税费参数!$B$9:$B$10)/税费参数!$B$11</f>
        <v>91.875</v>
      </c>
    </row>
    <row r="975" ht="21" customHeight="1" spans="1:13">
      <c r="A975" s="5" t="s">
        <v>9</v>
      </c>
      <c r="B975" s="6" t="s">
        <v>83</v>
      </c>
      <c r="C975" s="6" t="s">
        <v>159</v>
      </c>
      <c r="D975" s="6" t="s">
        <v>160</v>
      </c>
      <c r="E975" s="6" t="s">
        <v>787</v>
      </c>
      <c r="F975" s="6" t="s">
        <v>1799</v>
      </c>
      <c r="G975" s="6">
        <v>30.06</v>
      </c>
      <c r="H975" s="6">
        <v>34.41</v>
      </c>
      <c r="I975" s="6">
        <v>49</v>
      </c>
      <c r="J975" s="6">
        <v>1900</v>
      </c>
      <c r="K975" s="7">
        <f>(J975-M975)*税费参数!$B$12/(I975*10000*(1+SUM(税费参数!$B$6:$B$8)))</f>
        <v>0.0357389929337352</v>
      </c>
      <c r="L975" s="7">
        <f>J975*税费参数!$B$12/(I975*10000)</f>
        <v>0.0387755102040816</v>
      </c>
      <c r="M975" s="6">
        <f>I975*10000*SUM(税费参数!$B$9:$B$10)/税费参数!$B$11</f>
        <v>91.875</v>
      </c>
    </row>
    <row r="976" ht="21" customHeight="1" spans="1:13">
      <c r="A976" s="5" t="s">
        <v>9</v>
      </c>
      <c r="B976" s="6" t="s">
        <v>83</v>
      </c>
      <c r="C976" s="6" t="s">
        <v>159</v>
      </c>
      <c r="D976" s="6" t="s">
        <v>160</v>
      </c>
      <c r="E976" s="6" t="s">
        <v>787</v>
      </c>
      <c r="F976" s="6" t="s">
        <v>1800</v>
      </c>
      <c r="G976" s="6">
        <v>30.06</v>
      </c>
      <c r="H976" s="6">
        <v>34</v>
      </c>
      <c r="I976" s="6">
        <v>49</v>
      </c>
      <c r="J976" s="6">
        <v>1850</v>
      </c>
      <c r="K976" s="7">
        <f>(J976-M976)*税费参数!$B$12/(I976*10000*(1+SUM(税费参数!$B$6:$B$8)))</f>
        <v>0.0347507041557543</v>
      </c>
      <c r="L976" s="7">
        <f>J976*税费参数!$B$12/(I976*10000)</f>
        <v>0.0377551020408163</v>
      </c>
      <c r="M976" s="6">
        <f>I976*10000*SUM(税费参数!$B$9:$B$10)/税费参数!$B$11</f>
        <v>91.875</v>
      </c>
    </row>
    <row r="977" ht="21" customHeight="1" spans="1:13">
      <c r="A977" s="5" t="s">
        <v>9</v>
      </c>
      <c r="B977" s="6" t="s">
        <v>83</v>
      </c>
      <c r="C977" s="6" t="s">
        <v>159</v>
      </c>
      <c r="D977" s="6" t="s">
        <v>160</v>
      </c>
      <c r="E977" s="6" t="s">
        <v>787</v>
      </c>
      <c r="F977" s="6" t="s">
        <v>1801</v>
      </c>
      <c r="G977" s="6">
        <v>30.06</v>
      </c>
      <c r="H977" s="6">
        <v>34.48</v>
      </c>
      <c r="I977" s="6">
        <v>49</v>
      </c>
      <c r="J977" s="6">
        <v>1950</v>
      </c>
      <c r="K977" s="7">
        <f>(J977-M977)*税费参数!$B$12/(I977*10000*(1+SUM(税费参数!$B$6:$B$8)))</f>
        <v>0.0367272817117162</v>
      </c>
      <c r="L977" s="7">
        <f>J977*税费参数!$B$12/(I977*10000)</f>
        <v>0.0397959183673469</v>
      </c>
      <c r="M977" s="6">
        <f>I977*10000*SUM(税费参数!$B$9:$B$10)/税费参数!$B$11</f>
        <v>91.875</v>
      </c>
    </row>
    <row r="978" ht="21" customHeight="1" spans="1:13">
      <c r="A978" s="5" t="s">
        <v>9</v>
      </c>
      <c r="B978" s="6" t="s">
        <v>83</v>
      </c>
      <c r="C978" s="6" t="s">
        <v>159</v>
      </c>
      <c r="D978" s="6" t="s">
        <v>160</v>
      </c>
      <c r="E978" s="6" t="s">
        <v>785</v>
      </c>
      <c r="F978" s="6" t="s">
        <v>1792</v>
      </c>
      <c r="G978" s="6">
        <v>34.35</v>
      </c>
      <c r="H978" s="6">
        <v>33.07</v>
      </c>
      <c r="I978" s="6">
        <v>46.8</v>
      </c>
      <c r="J978" s="6">
        <v>1800</v>
      </c>
      <c r="K978" s="7">
        <f>(J978-M978)*税费参数!$B$12/(I978*10000*(1+SUM(税费参数!$B$6:$B$8)))</f>
        <v>0.0354349040789719</v>
      </c>
      <c r="L978" s="7">
        <f>J978*税费参数!$B$12/(I978*10000)</f>
        <v>0.0384615384615385</v>
      </c>
      <c r="M978" s="6">
        <f>I978*10000*SUM(税费参数!$B$9:$B$10)/税费参数!$B$11</f>
        <v>87.75</v>
      </c>
    </row>
    <row r="979" ht="21" customHeight="1" spans="1:13">
      <c r="A979" s="5" t="s">
        <v>9</v>
      </c>
      <c r="B979" s="6" t="s">
        <v>83</v>
      </c>
      <c r="C979" s="6" t="s">
        <v>159</v>
      </c>
      <c r="D979" s="6" t="s">
        <v>160</v>
      </c>
      <c r="E979" s="6" t="s">
        <v>785</v>
      </c>
      <c r="F979" s="6" t="s">
        <v>1793</v>
      </c>
      <c r="G979" s="6">
        <v>34.35</v>
      </c>
      <c r="H979" s="6">
        <v>34.62</v>
      </c>
      <c r="I979" s="6">
        <v>46.8</v>
      </c>
      <c r="J979" s="6">
        <v>1700</v>
      </c>
      <c r="K979" s="7">
        <f>(J979-M979)*税费参数!$B$12/(I979*10000*(1+SUM(税费参数!$B$6:$B$8)))</f>
        <v>0.0333654104840546</v>
      </c>
      <c r="L979" s="7">
        <f>J979*税费参数!$B$12/(I979*10000)</f>
        <v>0.0363247863247863</v>
      </c>
      <c r="M979" s="6">
        <f>I979*10000*SUM(税费参数!$B$9:$B$10)/税费参数!$B$11</f>
        <v>87.75</v>
      </c>
    </row>
    <row r="980" ht="21" customHeight="1" spans="1:13">
      <c r="A980" s="5" t="s">
        <v>9</v>
      </c>
      <c r="B980" s="6" t="s">
        <v>83</v>
      </c>
      <c r="C980" s="6" t="s">
        <v>159</v>
      </c>
      <c r="D980" s="6" t="s">
        <v>160</v>
      </c>
      <c r="E980" s="6" t="s">
        <v>785</v>
      </c>
      <c r="F980" s="6" t="s">
        <v>1794</v>
      </c>
      <c r="G980" s="6">
        <v>34.35</v>
      </c>
      <c r="H980" s="6">
        <v>34.49</v>
      </c>
      <c r="I980" s="6">
        <v>46.8</v>
      </c>
      <c r="J980" s="6">
        <v>1790</v>
      </c>
      <c r="K980" s="7">
        <f>(J980-M980)*税费参数!$B$12/(I980*10000*(1+SUM(税费参数!$B$6:$B$8)))</f>
        <v>0.0352279547194801</v>
      </c>
      <c r="L980" s="7">
        <f>J980*税费参数!$B$12/(I980*10000)</f>
        <v>0.0382478632478633</v>
      </c>
      <c r="M980" s="6">
        <f>I980*10000*SUM(税费参数!$B$9:$B$10)/税费参数!$B$11</f>
        <v>87.75</v>
      </c>
    </row>
    <row r="981" ht="21" customHeight="1" spans="1:13">
      <c r="A981" s="5" t="s">
        <v>9</v>
      </c>
      <c r="B981" s="6" t="s">
        <v>83</v>
      </c>
      <c r="C981" s="6" t="s">
        <v>159</v>
      </c>
      <c r="D981" s="6" t="s">
        <v>160</v>
      </c>
      <c r="E981" s="6" t="s">
        <v>785</v>
      </c>
      <c r="F981" s="6" t="s">
        <v>1795</v>
      </c>
      <c r="G981" s="6">
        <v>34.35</v>
      </c>
      <c r="H981" s="6">
        <v>30.06</v>
      </c>
      <c r="I981" s="6">
        <v>46.8</v>
      </c>
      <c r="J981" s="6">
        <v>2000</v>
      </c>
      <c r="K981" s="7">
        <f>(J981-M981)*税费参数!$B$12/(I981*10000*(1+SUM(税费参数!$B$6:$B$8)))</f>
        <v>0.0395738912688065</v>
      </c>
      <c r="L981" s="7">
        <f>J981*税费参数!$B$12/(I981*10000)</f>
        <v>0.0427350427350427</v>
      </c>
      <c r="M981" s="6">
        <f>I981*10000*SUM(税费参数!$B$9:$B$10)/税费参数!$B$11</f>
        <v>87.75</v>
      </c>
    </row>
    <row r="982" ht="21" customHeight="1" spans="1:13">
      <c r="A982" s="5" t="s">
        <v>9</v>
      </c>
      <c r="B982" s="6" t="s">
        <v>83</v>
      </c>
      <c r="C982" s="6" t="s">
        <v>159</v>
      </c>
      <c r="D982" s="6" t="s">
        <v>160</v>
      </c>
      <c r="E982" s="6" t="s">
        <v>785</v>
      </c>
      <c r="F982" s="6" t="s">
        <v>1796</v>
      </c>
      <c r="G982" s="6">
        <v>34.35</v>
      </c>
      <c r="H982" s="6">
        <v>33.07</v>
      </c>
      <c r="I982" s="6">
        <v>46.8</v>
      </c>
      <c r="J982" s="6">
        <v>2000</v>
      </c>
      <c r="K982" s="7">
        <f>(J982-M982)*税费参数!$B$12/(I982*10000*(1+SUM(税费参数!$B$6:$B$8)))</f>
        <v>0.0395738912688065</v>
      </c>
      <c r="L982" s="7">
        <f>J982*税费参数!$B$12/(I982*10000)</f>
        <v>0.0427350427350427</v>
      </c>
      <c r="M982" s="6">
        <f>I982*10000*SUM(税费参数!$B$9:$B$10)/税费参数!$B$11</f>
        <v>87.75</v>
      </c>
    </row>
    <row r="983" ht="21" customHeight="1" spans="1:13">
      <c r="A983" s="5" t="s">
        <v>9</v>
      </c>
      <c r="B983" s="6" t="s">
        <v>83</v>
      </c>
      <c r="C983" s="6" t="s">
        <v>159</v>
      </c>
      <c r="D983" s="6" t="s">
        <v>160</v>
      </c>
      <c r="E983" s="6" t="s">
        <v>785</v>
      </c>
      <c r="F983" s="6" t="s">
        <v>1797</v>
      </c>
      <c r="G983" s="6">
        <v>34.35</v>
      </c>
      <c r="H983" s="6">
        <v>34.49</v>
      </c>
      <c r="I983" s="6">
        <v>46.8</v>
      </c>
      <c r="J983" s="6">
        <v>2200</v>
      </c>
      <c r="K983" s="7">
        <f>(J983-M983)*税费参数!$B$12/(I983*10000*(1+SUM(税费参数!$B$6:$B$8)))</f>
        <v>0.0437128784586412</v>
      </c>
      <c r="L983" s="7">
        <f>J983*税费参数!$B$12/(I983*10000)</f>
        <v>0.047008547008547</v>
      </c>
      <c r="M983" s="6">
        <f>I983*10000*SUM(税费参数!$B$9:$B$10)/税费参数!$B$11</f>
        <v>87.75</v>
      </c>
    </row>
    <row r="984" ht="21" customHeight="1" spans="1:13">
      <c r="A984" s="5" t="s">
        <v>9</v>
      </c>
      <c r="B984" s="6" t="s">
        <v>83</v>
      </c>
      <c r="C984" s="6" t="s">
        <v>159</v>
      </c>
      <c r="D984" s="6" t="s">
        <v>160</v>
      </c>
      <c r="E984" s="6" t="s">
        <v>785</v>
      </c>
      <c r="F984" s="6" t="s">
        <v>1798</v>
      </c>
      <c r="G984" s="6">
        <v>34.35</v>
      </c>
      <c r="H984" s="6">
        <v>34.6</v>
      </c>
      <c r="I984" s="6">
        <v>46.8</v>
      </c>
      <c r="J984" s="6">
        <v>1800</v>
      </c>
      <c r="K984" s="7">
        <f>(J984-M984)*税费参数!$B$12/(I984*10000*(1+SUM(税费参数!$B$6:$B$8)))</f>
        <v>0.0354349040789719</v>
      </c>
      <c r="L984" s="7">
        <f>J984*税费参数!$B$12/(I984*10000)</f>
        <v>0.0384615384615385</v>
      </c>
      <c r="M984" s="6">
        <f>I984*10000*SUM(税费参数!$B$9:$B$10)/税费参数!$B$11</f>
        <v>87.75</v>
      </c>
    </row>
    <row r="985" ht="21" customHeight="1" spans="1:13">
      <c r="A985" s="5" t="s">
        <v>9</v>
      </c>
      <c r="B985" s="6" t="s">
        <v>83</v>
      </c>
      <c r="C985" s="6" t="s">
        <v>159</v>
      </c>
      <c r="D985" s="6" t="s">
        <v>160</v>
      </c>
      <c r="E985" s="6" t="s">
        <v>785</v>
      </c>
      <c r="F985" s="6" t="s">
        <v>1799</v>
      </c>
      <c r="G985" s="6">
        <v>34.35</v>
      </c>
      <c r="H985" s="6">
        <v>34.41</v>
      </c>
      <c r="I985" s="6">
        <v>46.8</v>
      </c>
      <c r="J985" s="6">
        <v>1900</v>
      </c>
      <c r="K985" s="7">
        <f>(J985-M985)*税费参数!$B$12/(I985*10000*(1+SUM(税费参数!$B$6:$B$8)))</f>
        <v>0.0375043976738892</v>
      </c>
      <c r="L985" s="7">
        <f>J985*税费参数!$B$12/(I985*10000)</f>
        <v>0.0405982905982906</v>
      </c>
      <c r="M985" s="6">
        <f>I985*10000*SUM(税费参数!$B$9:$B$10)/税费参数!$B$11</f>
        <v>87.75</v>
      </c>
    </row>
    <row r="986" ht="21" customHeight="1" spans="1:13">
      <c r="A986" s="5" t="s">
        <v>9</v>
      </c>
      <c r="B986" s="6" t="s">
        <v>83</v>
      </c>
      <c r="C986" s="6" t="s">
        <v>159</v>
      </c>
      <c r="D986" s="6" t="s">
        <v>160</v>
      </c>
      <c r="E986" s="6" t="s">
        <v>785</v>
      </c>
      <c r="F986" s="6" t="s">
        <v>1800</v>
      </c>
      <c r="G986" s="6">
        <v>34.35</v>
      </c>
      <c r="H986" s="6">
        <v>34</v>
      </c>
      <c r="I986" s="6">
        <v>46.8</v>
      </c>
      <c r="J986" s="6">
        <v>1850</v>
      </c>
      <c r="K986" s="7">
        <f>(J986-M986)*税费参数!$B$12/(I986*10000*(1+SUM(税费参数!$B$6:$B$8)))</f>
        <v>0.0364696508764305</v>
      </c>
      <c r="L986" s="7">
        <f>J986*税费参数!$B$12/(I986*10000)</f>
        <v>0.0395299145299145</v>
      </c>
      <c r="M986" s="6">
        <f>I986*10000*SUM(税费参数!$B$9:$B$10)/税费参数!$B$11</f>
        <v>87.75</v>
      </c>
    </row>
    <row r="987" ht="21" customHeight="1" spans="1:13">
      <c r="A987" s="5" t="s">
        <v>9</v>
      </c>
      <c r="B987" s="6" t="s">
        <v>83</v>
      </c>
      <c r="C987" s="6" t="s">
        <v>159</v>
      </c>
      <c r="D987" s="6" t="s">
        <v>160</v>
      </c>
      <c r="E987" s="6" t="s">
        <v>785</v>
      </c>
      <c r="F987" s="6" t="s">
        <v>1801</v>
      </c>
      <c r="G987" s="6">
        <v>34.35</v>
      </c>
      <c r="H987" s="6">
        <v>34.48</v>
      </c>
      <c r="I987" s="6">
        <v>46.8</v>
      </c>
      <c r="J987" s="6">
        <v>1950</v>
      </c>
      <c r="K987" s="7">
        <f>(J987-M987)*税费参数!$B$12/(I987*10000*(1+SUM(税费参数!$B$6:$B$8)))</f>
        <v>0.0385391444713479</v>
      </c>
      <c r="L987" s="7">
        <f>J987*税费参数!$B$12/(I987*10000)</f>
        <v>0.0416666666666667</v>
      </c>
      <c r="M987" s="6">
        <f>I987*10000*SUM(税费参数!$B$9:$B$10)/税费参数!$B$11</f>
        <v>87.75</v>
      </c>
    </row>
    <row r="988" ht="21" customHeight="1" spans="1:13">
      <c r="A988" s="5" t="s">
        <v>9</v>
      </c>
      <c r="B988" s="6" t="s">
        <v>83</v>
      </c>
      <c r="C988" s="6" t="s">
        <v>152</v>
      </c>
      <c r="D988" s="6" t="s">
        <v>153</v>
      </c>
      <c r="E988" s="6" t="s">
        <v>765</v>
      </c>
      <c r="F988" s="6" t="s">
        <v>1802</v>
      </c>
      <c r="G988" s="6">
        <v>53.2</v>
      </c>
      <c r="H988" s="6">
        <v>53.28</v>
      </c>
      <c r="I988" s="6">
        <v>70</v>
      </c>
      <c r="J988" s="6">
        <v>3230</v>
      </c>
      <c r="K988" s="7">
        <f>(J988-M988)*税费参数!$B$12/(I988*10000*(1+SUM(税费参数!$B$6:$B$8)))</f>
        <v>0.0428744379107575</v>
      </c>
      <c r="L988" s="7">
        <f>J988*税费参数!$B$12/(I988*10000)</f>
        <v>0.0461428571428571</v>
      </c>
      <c r="M988" s="6">
        <f>I988*10000*SUM(税费参数!$B$9:$B$10)/税费参数!$B$11</f>
        <v>131.25</v>
      </c>
    </row>
    <row r="989" ht="21" customHeight="1" spans="1:13">
      <c r="A989" s="5" t="s">
        <v>9</v>
      </c>
      <c r="B989" s="6" t="s">
        <v>83</v>
      </c>
      <c r="C989" s="6" t="s">
        <v>152</v>
      </c>
      <c r="D989" s="6" t="s">
        <v>153</v>
      </c>
      <c r="E989" s="6" t="s">
        <v>765</v>
      </c>
      <c r="F989" s="6" t="s">
        <v>1803</v>
      </c>
      <c r="G989" s="6">
        <v>53.2</v>
      </c>
      <c r="H989" s="6">
        <v>53.24</v>
      </c>
      <c r="I989" s="6">
        <v>70</v>
      </c>
      <c r="J989" s="6">
        <v>2600</v>
      </c>
      <c r="K989" s="7">
        <f>(J989-M989)*税费参数!$B$12/(I989*10000*(1+SUM(税费参数!$B$6:$B$8)))</f>
        <v>0.0341577308889658</v>
      </c>
      <c r="L989" s="7">
        <f>J989*税费参数!$B$12/(I989*10000)</f>
        <v>0.0371428571428571</v>
      </c>
      <c r="M989" s="6">
        <f>I989*10000*SUM(税费参数!$B$9:$B$10)/税费参数!$B$11</f>
        <v>131.25</v>
      </c>
    </row>
    <row r="990" ht="21" customHeight="1" spans="1:13">
      <c r="A990" s="5" t="s">
        <v>9</v>
      </c>
      <c r="B990" s="6" t="s">
        <v>83</v>
      </c>
      <c r="C990" s="6" t="s">
        <v>152</v>
      </c>
      <c r="D990" s="6" t="s">
        <v>153</v>
      </c>
      <c r="E990" s="6" t="s">
        <v>765</v>
      </c>
      <c r="F990" s="6" t="s">
        <v>1804</v>
      </c>
      <c r="G990" s="6">
        <v>53.2</v>
      </c>
      <c r="H990" s="6">
        <v>53.18</v>
      </c>
      <c r="I990" s="6">
        <v>70</v>
      </c>
      <c r="J990" s="6">
        <v>2400</v>
      </c>
      <c r="K990" s="7">
        <f>(J990-M990)*税费参数!$B$12/(I990*10000*(1+SUM(税费参数!$B$6:$B$8)))</f>
        <v>0.0313905223106192</v>
      </c>
      <c r="L990" s="7">
        <f>J990*税费参数!$B$12/(I990*10000)</f>
        <v>0.0342857142857143</v>
      </c>
      <c r="M990" s="6">
        <f>I990*10000*SUM(税费参数!$B$9:$B$10)/税费参数!$B$11</f>
        <v>131.25</v>
      </c>
    </row>
    <row r="991" ht="21" customHeight="1" spans="1:13">
      <c r="A991" s="5" t="s">
        <v>9</v>
      </c>
      <c r="B991" s="6" t="s">
        <v>83</v>
      </c>
      <c r="C991" s="6" t="s">
        <v>152</v>
      </c>
      <c r="D991" s="6" t="s">
        <v>153</v>
      </c>
      <c r="E991" s="6" t="s">
        <v>765</v>
      </c>
      <c r="F991" s="6" t="s">
        <v>1805</v>
      </c>
      <c r="G991" s="6">
        <v>53.2</v>
      </c>
      <c r="H991" s="6">
        <v>53.24</v>
      </c>
      <c r="I991" s="6">
        <v>70</v>
      </c>
      <c r="J991" s="6">
        <v>2210</v>
      </c>
      <c r="K991" s="7">
        <f>(J991-M991)*税费参数!$B$12/(I991*10000*(1+SUM(税费参数!$B$6:$B$8)))</f>
        <v>0.0287616741611899</v>
      </c>
      <c r="L991" s="7">
        <f>J991*税费参数!$B$12/(I991*10000)</f>
        <v>0.0315714285714286</v>
      </c>
      <c r="M991" s="6">
        <f>I991*10000*SUM(税费参数!$B$9:$B$10)/税费参数!$B$11</f>
        <v>131.25</v>
      </c>
    </row>
    <row r="992" ht="21" customHeight="1" spans="1:13">
      <c r="A992" s="5" t="s">
        <v>9</v>
      </c>
      <c r="B992" s="6" t="s">
        <v>83</v>
      </c>
      <c r="C992" s="6" t="s">
        <v>152</v>
      </c>
      <c r="D992" s="6" t="s">
        <v>153</v>
      </c>
      <c r="E992" s="6" t="s">
        <v>765</v>
      </c>
      <c r="F992" s="6" t="s">
        <v>1806</v>
      </c>
      <c r="G992" s="6">
        <v>53.2</v>
      </c>
      <c r="H992" s="6">
        <v>52.49</v>
      </c>
      <c r="I992" s="6">
        <v>70</v>
      </c>
      <c r="J992" s="6">
        <v>2400</v>
      </c>
      <c r="K992" s="7">
        <f>(J992-M992)*税费参数!$B$12/(I992*10000*(1+SUM(税费参数!$B$6:$B$8)))</f>
        <v>0.0313905223106192</v>
      </c>
      <c r="L992" s="7">
        <f>J992*税费参数!$B$12/(I992*10000)</f>
        <v>0.0342857142857143</v>
      </c>
      <c r="M992" s="6">
        <f>I992*10000*SUM(税费参数!$B$9:$B$10)/税费参数!$B$11</f>
        <v>131.25</v>
      </c>
    </row>
    <row r="993" ht="21" customHeight="1" spans="1:13">
      <c r="A993" s="5" t="s">
        <v>9</v>
      </c>
      <c r="B993" s="6" t="s">
        <v>83</v>
      </c>
      <c r="C993" s="6" t="s">
        <v>152</v>
      </c>
      <c r="D993" s="6" t="s">
        <v>153</v>
      </c>
      <c r="E993" s="6" t="s">
        <v>765</v>
      </c>
      <c r="F993" s="6" t="s">
        <v>1807</v>
      </c>
      <c r="G993" s="6">
        <v>53.2</v>
      </c>
      <c r="H993" s="6">
        <v>52.03</v>
      </c>
      <c r="I993" s="6">
        <v>70</v>
      </c>
      <c r="J993" s="6">
        <v>2600</v>
      </c>
      <c r="K993" s="7">
        <f>(J993-M993)*税费参数!$B$12/(I993*10000*(1+SUM(税费参数!$B$6:$B$8)))</f>
        <v>0.0341577308889658</v>
      </c>
      <c r="L993" s="7">
        <f>J993*税费参数!$B$12/(I993*10000)</f>
        <v>0.0371428571428571</v>
      </c>
      <c r="M993" s="6">
        <f>I993*10000*SUM(税费参数!$B$9:$B$10)/税费参数!$B$11</f>
        <v>131.25</v>
      </c>
    </row>
    <row r="994" ht="21" customHeight="1" spans="1:13">
      <c r="A994" s="5" t="s">
        <v>9</v>
      </c>
      <c r="B994" s="6" t="s">
        <v>83</v>
      </c>
      <c r="C994" s="6" t="s">
        <v>152</v>
      </c>
      <c r="D994" s="6" t="s">
        <v>153</v>
      </c>
      <c r="E994" s="6" t="s">
        <v>765</v>
      </c>
      <c r="F994" s="6" t="s">
        <v>1808</v>
      </c>
      <c r="G994" s="6">
        <v>53.2</v>
      </c>
      <c r="H994" s="6">
        <v>52.11</v>
      </c>
      <c r="I994" s="6">
        <v>70</v>
      </c>
      <c r="J994" s="6">
        <v>2400</v>
      </c>
      <c r="K994" s="7">
        <f>(J994-M994)*税费参数!$B$12/(I994*10000*(1+SUM(税费参数!$B$6:$B$8)))</f>
        <v>0.0313905223106192</v>
      </c>
      <c r="L994" s="7">
        <f>J994*税费参数!$B$12/(I994*10000)</f>
        <v>0.0342857142857143</v>
      </c>
      <c r="M994" s="6">
        <f>I994*10000*SUM(税费参数!$B$9:$B$10)/税费参数!$B$11</f>
        <v>131.25</v>
      </c>
    </row>
    <row r="995" ht="21" customHeight="1" spans="1:13">
      <c r="A995" s="5" t="s">
        <v>9</v>
      </c>
      <c r="B995" s="6" t="s">
        <v>83</v>
      </c>
      <c r="C995" s="6" t="s">
        <v>152</v>
      </c>
      <c r="D995" s="6" t="s">
        <v>153</v>
      </c>
      <c r="E995" s="6" t="s">
        <v>765</v>
      </c>
      <c r="F995" s="6" t="s">
        <v>1809</v>
      </c>
      <c r="G995" s="6">
        <v>53.2</v>
      </c>
      <c r="H995" s="6">
        <v>59</v>
      </c>
      <c r="I995" s="6">
        <v>70</v>
      </c>
      <c r="J995" s="6">
        <v>2600</v>
      </c>
      <c r="K995" s="7">
        <f>(J995-M995)*税费参数!$B$12/(I995*10000*(1+SUM(税费参数!$B$6:$B$8)))</f>
        <v>0.0341577308889658</v>
      </c>
      <c r="L995" s="7">
        <f>J995*税费参数!$B$12/(I995*10000)</f>
        <v>0.0371428571428571</v>
      </c>
      <c r="M995" s="6">
        <f>I995*10000*SUM(税费参数!$B$9:$B$10)/税费参数!$B$11</f>
        <v>131.25</v>
      </c>
    </row>
    <row r="996" ht="21" customHeight="1" spans="1:13">
      <c r="A996" s="5" t="s">
        <v>9</v>
      </c>
      <c r="B996" s="6" t="s">
        <v>83</v>
      </c>
      <c r="C996" s="6" t="s">
        <v>152</v>
      </c>
      <c r="D996" s="6" t="s">
        <v>153</v>
      </c>
      <c r="E996" s="6" t="s">
        <v>773</v>
      </c>
      <c r="F996" s="6" t="s">
        <v>1802</v>
      </c>
      <c r="G996" s="6">
        <v>53.18</v>
      </c>
      <c r="H996" s="6">
        <v>53.28</v>
      </c>
      <c r="I996" s="6">
        <v>71</v>
      </c>
      <c r="J996" s="6">
        <v>3230</v>
      </c>
      <c r="K996" s="7">
        <f>(J996-M996)*税费参数!$B$12/(I996*10000*(1+SUM(税费参数!$B$6:$B$8)))</f>
        <v>0.0422449953961054</v>
      </c>
      <c r="L996" s="7">
        <f>J996*税费参数!$B$12/(I996*10000)</f>
        <v>0.0454929577464789</v>
      </c>
      <c r="M996" s="6">
        <f>I996*10000*SUM(税费参数!$B$9:$B$10)/税费参数!$B$11</f>
        <v>133.125</v>
      </c>
    </row>
    <row r="997" ht="21" customHeight="1" spans="1:13">
      <c r="A997" s="5" t="s">
        <v>9</v>
      </c>
      <c r="B997" s="6" t="s">
        <v>83</v>
      </c>
      <c r="C997" s="6" t="s">
        <v>152</v>
      </c>
      <c r="D997" s="6" t="s">
        <v>153</v>
      </c>
      <c r="E997" s="6" t="s">
        <v>773</v>
      </c>
      <c r="F997" s="6" t="s">
        <v>1803</v>
      </c>
      <c r="G997" s="6">
        <v>53.18</v>
      </c>
      <c r="H997" s="6">
        <v>53.24</v>
      </c>
      <c r="I997" s="6">
        <v>71</v>
      </c>
      <c r="J997" s="6">
        <v>2600</v>
      </c>
      <c r="K997" s="7">
        <f>(J997-M997)*税费参数!$B$12/(I997*10000*(1+SUM(税费参数!$B$6:$B$8)))</f>
        <v>0.0336510588957474</v>
      </c>
      <c r="L997" s="7">
        <f>J997*税费参数!$B$12/(I997*10000)</f>
        <v>0.0366197183098592</v>
      </c>
      <c r="M997" s="6">
        <f>I997*10000*SUM(税费参数!$B$9:$B$10)/税费参数!$B$11</f>
        <v>133.125</v>
      </c>
    </row>
    <row r="998" ht="21" customHeight="1" spans="1:13">
      <c r="A998" s="5" t="s">
        <v>9</v>
      </c>
      <c r="B998" s="6" t="s">
        <v>83</v>
      </c>
      <c r="C998" s="6" t="s">
        <v>152</v>
      </c>
      <c r="D998" s="6" t="s">
        <v>153</v>
      </c>
      <c r="E998" s="6" t="s">
        <v>773</v>
      </c>
      <c r="F998" s="6" t="s">
        <v>1804</v>
      </c>
      <c r="G998" s="6">
        <v>53.18</v>
      </c>
      <c r="H998" s="6">
        <v>53.18</v>
      </c>
      <c r="I998" s="6">
        <v>71</v>
      </c>
      <c r="J998" s="6">
        <v>2400</v>
      </c>
      <c r="K998" s="7">
        <f>(J998-M998)*税费参数!$B$12/(I998*10000*(1+SUM(税费参数!$B$6:$B$8)))</f>
        <v>0.0309228250861099</v>
      </c>
      <c r="L998" s="7">
        <f>J998*税费参数!$B$12/(I998*10000)</f>
        <v>0.0338028169014084</v>
      </c>
      <c r="M998" s="6">
        <f>I998*10000*SUM(税费参数!$B$9:$B$10)/税费参数!$B$11</f>
        <v>133.125</v>
      </c>
    </row>
    <row r="999" ht="21" customHeight="1" spans="1:13">
      <c r="A999" s="5" t="s">
        <v>9</v>
      </c>
      <c r="B999" s="6" t="s">
        <v>83</v>
      </c>
      <c r="C999" s="6" t="s">
        <v>152</v>
      </c>
      <c r="D999" s="6" t="s">
        <v>153</v>
      </c>
      <c r="E999" s="6" t="s">
        <v>773</v>
      </c>
      <c r="F999" s="6" t="s">
        <v>1805</v>
      </c>
      <c r="G999" s="6">
        <v>53.18</v>
      </c>
      <c r="H999" s="6">
        <v>53.24</v>
      </c>
      <c r="I999" s="6">
        <v>71</v>
      </c>
      <c r="J999" s="6">
        <v>2210</v>
      </c>
      <c r="K999" s="7">
        <f>(J999-M999)*税费参数!$B$12/(I999*10000*(1+SUM(税费参数!$B$6:$B$8)))</f>
        <v>0.0283310029669543</v>
      </c>
      <c r="L999" s="7">
        <f>J999*税费参数!$B$12/(I999*10000)</f>
        <v>0.0311267605633803</v>
      </c>
      <c r="M999" s="6">
        <f>I999*10000*SUM(税费参数!$B$9:$B$10)/税费参数!$B$11</f>
        <v>133.125</v>
      </c>
    </row>
    <row r="1000" ht="21" customHeight="1" spans="1:13">
      <c r="A1000" s="5" t="s">
        <v>9</v>
      </c>
      <c r="B1000" s="6" t="s">
        <v>83</v>
      </c>
      <c r="C1000" s="6" t="s">
        <v>152</v>
      </c>
      <c r="D1000" s="6" t="s">
        <v>153</v>
      </c>
      <c r="E1000" s="6" t="s">
        <v>773</v>
      </c>
      <c r="F1000" s="6" t="s">
        <v>1806</v>
      </c>
      <c r="G1000" s="6">
        <v>53.18</v>
      </c>
      <c r="H1000" s="6">
        <v>52.49</v>
      </c>
      <c r="I1000" s="6">
        <v>71</v>
      </c>
      <c r="J1000" s="6">
        <v>2400</v>
      </c>
      <c r="K1000" s="7">
        <f>(J1000-M1000)*税费参数!$B$12/(I1000*10000*(1+SUM(税费参数!$B$6:$B$8)))</f>
        <v>0.0309228250861099</v>
      </c>
      <c r="L1000" s="7">
        <f>J1000*税费参数!$B$12/(I1000*10000)</f>
        <v>0.0338028169014084</v>
      </c>
      <c r="M1000" s="6">
        <f>I1000*10000*SUM(税费参数!$B$9:$B$10)/税费参数!$B$11</f>
        <v>133.125</v>
      </c>
    </row>
    <row r="1001" ht="21" customHeight="1" spans="1:13">
      <c r="A1001" s="5" t="s">
        <v>9</v>
      </c>
      <c r="B1001" s="6" t="s">
        <v>83</v>
      </c>
      <c r="C1001" s="6" t="s">
        <v>152</v>
      </c>
      <c r="D1001" s="6" t="s">
        <v>153</v>
      </c>
      <c r="E1001" s="6" t="s">
        <v>773</v>
      </c>
      <c r="F1001" s="6" t="s">
        <v>1807</v>
      </c>
      <c r="G1001" s="6">
        <v>53.18</v>
      </c>
      <c r="H1001" s="6">
        <v>52.03</v>
      </c>
      <c r="I1001" s="6">
        <v>71</v>
      </c>
      <c r="J1001" s="6">
        <v>2600</v>
      </c>
      <c r="K1001" s="7">
        <f>(J1001-M1001)*税费参数!$B$12/(I1001*10000*(1+SUM(税费参数!$B$6:$B$8)))</f>
        <v>0.0336510588957474</v>
      </c>
      <c r="L1001" s="7">
        <f>J1001*税费参数!$B$12/(I1001*10000)</f>
        <v>0.0366197183098592</v>
      </c>
      <c r="M1001" s="6">
        <f>I1001*10000*SUM(税费参数!$B$9:$B$10)/税费参数!$B$11</f>
        <v>133.125</v>
      </c>
    </row>
    <row r="1002" ht="21" customHeight="1" spans="1:13">
      <c r="A1002" s="5" t="s">
        <v>9</v>
      </c>
      <c r="B1002" s="6" t="s">
        <v>83</v>
      </c>
      <c r="C1002" s="6" t="s">
        <v>152</v>
      </c>
      <c r="D1002" s="6" t="s">
        <v>153</v>
      </c>
      <c r="E1002" s="6" t="s">
        <v>773</v>
      </c>
      <c r="F1002" s="6" t="s">
        <v>1808</v>
      </c>
      <c r="G1002" s="6">
        <v>53.18</v>
      </c>
      <c r="H1002" s="6">
        <v>52.11</v>
      </c>
      <c r="I1002" s="6">
        <v>71</v>
      </c>
      <c r="J1002" s="6">
        <v>2400</v>
      </c>
      <c r="K1002" s="7">
        <f>(J1002-M1002)*税费参数!$B$12/(I1002*10000*(1+SUM(税费参数!$B$6:$B$8)))</f>
        <v>0.0309228250861099</v>
      </c>
      <c r="L1002" s="7">
        <f>J1002*税费参数!$B$12/(I1002*10000)</f>
        <v>0.0338028169014084</v>
      </c>
      <c r="M1002" s="6">
        <f>I1002*10000*SUM(税费参数!$B$9:$B$10)/税费参数!$B$11</f>
        <v>133.125</v>
      </c>
    </row>
    <row r="1003" ht="21" customHeight="1" spans="1:13">
      <c r="A1003" s="5" t="s">
        <v>9</v>
      </c>
      <c r="B1003" s="6" t="s">
        <v>83</v>
      </c>
      <c r="C1003" s="6" t="s">
        <v>152</v>
      </c>
      <c r="D1003" s="6" t="s">
        <v>153</v>
      </c>
      <c r="E1003" s="6" t="s">
        <v>773</v>
      </c>
      <c r="F1003" s="6" t="s">
        <v>1809</v>
      </c>
      <c r="G1003" s="6">
        <v>53.18</v>
      </c>
      <c r="H1003" s="6">
        <v>59</v>
      </c>
      <c r="I1003" s="6">
        <v>71</v>
      </c>
      <c r="J1003" s="6">
        <v>2600</v>
      </c>
      <c r="K1003" s="7">
        <f>(J1003-M1003)*税费参数!$B$12/(I1003*10000*(1+SUM(税费参数!$B$6:$B$8)))</f>
        <v>0.0336510588957474</v>
      </c>
      <c r="L1003" s="7">
        <f>J1003*税费参数!$B$12/(I1003*10000)</f>
        <v>0.0366197183098592</v>
      </c>
      <c r="M1003" s="6">
        <f>I1003*10000*SUM(税费参数!$B$9:$B$10)/税费参数!$B$11</f>
        <v>133.125</v>
      </c>
    </row>
    <row r="1004" ht="21" customHeight="1" spans="1:13">
      <c r="A1004" s="5" t="s">
        <v>9</v>
      </c>
      <c r="B1004" s="6" t="s">
        <v>83</v>
      </c>
      <c r="C1004" s="6" t="s">
        <v>152</v>
      </c>
      <c r="D1004" s="6" t="s">
        <v>153</v>
      </c>
      <c r="E1004" s="6" t="s">
        <v>767</v>
      </c>
      <c r="F1004" s="6" t="s">
        <v>1802</v>
      </c>
      <c r="G1004" s="6">
        <v>52.49</v>
      </c>
      <c r="H1004" s="6">
        <v>53.28</v>
      </c>
      <c r="I1004" s="6">
        <v>72</v>
      </c>
      <c r="J1004" s="6">
        <v>3230</v>
      </c>
      <c r="K1004" s="7">
        <f>(J1004-M1004)*税费参数!$B$12/(I1004*10000*(1+SUM(税费参数!$B$6:$B$8)))</f>
        <v>0.0416330373957493</v>
      </c>
      <c r="L1004" s="7">
        <f>J1004*税费参数!$B$12/(I1004*10000)</f>
        <v>0.0448611111111111</v>
      </c>
      <c r="M1004" s="6">
        <f>I1004*10000*SUM(税费参数!$B$9:$B$10)/税费参数!$B$11</f>
        <v>135</v>
      </c>
    </row>
    <row r="1005" ht="21" customHeight="1" spans="1:13">
      <c r="A1005" s="5" t="s">
        <v>9</v>
      </c>
      <c r="B1005" s="6" t="s">
        <v>83</v>
      </c>
      <c r="C1005" s="6" t="s">
        <v>152</v>
      </c>
      <c r="D1005" s="6" t="s">
        <v>153</v>
      </c>
      <c r="E1005" s="6" t="s">
        <v>767</v>
      </c>
      <c r="F1005" s="6" t="s">
        <v>1803</v>
      </c>
      <c r="G1005" s="6">
        <v>52.49</v>
      </c>
      <c r="H1005" s="6">
        <v>53.24</v>
      </c>
      <c r="I1005" s="6">
        <v>72</v>
      </c>
      <c r="J1005" s="6">
        <v>2600</v>
      </c>
      <c r="K1005" s="7">
        <f>(J1005-M1005)*税费参数!$B$12/(I1005*10000*(1+SUM(税费参数!$B$6:$B$8)))</f>
        <v>0.0331584611245628</v>
      </c>
      <c r="L1005" s="7">
        <f>J1005*税费参数!$B$12/(I1005*10000)</f>
        <v>0.0361111111111111</v>
      </c>
      <c r="M1005" s="6">
        <f>I1005*10000*SUM(税费参数!$B$9:$B$10)/税费参数!$B$11</f>
        <v>135</v>
      </c>
    </row>
    <row r="1006" ht="21" customHeight="1" spans="1:13">
      <c r="A1006" s="5" t="s">
        <v>9</v>
      </c>
      <c r="B1006" s="6" t="s">
        <v>83</v>
      </c>
      <c r="C1006" s="6" t="s">
        <v>152</v>
      </c>
      <c r="D1006" s="6" t="s">
        <v>153</v>
      </c>
      <c r="E1006" s="6" t="s">
        <v>767</v>
      </c>
      <c r="F1006" s="6" t="s">
        <v>1804</v>
      </c>
      <c r="G1006" s="6">
        <v>52.49</v>
      </c>
      <c r="H1006" s="6">
        <v>53.18</v>
      </c>
      <c r="I1006" s="6">
        <v>72</v>
      </c>
      <c r="J1006" s="6">
        <v>2400</v>
      </c>
      <c r="K1006" s="7">
        <f>(J1006-M1006)*税费参数!$B$12/(I1006*10000*(1+SUM(税费参数!$B$6:$B$8)))</f>
        <v>0.0304681194511703</v>
      </c>
      <c r="L1006" s="7">
        <f>J1006*税费参数!$B$12/(I1006*10000)</f>
        <v>0.0333333333333333</v>
      </c>
      <c r="M1006" s="6">
        <f>I1006*10000*SUM(税费参数!$B$9:$B$10)/税费参数!$B$11</f>
        <v>135</v>
      </c>
    </row>
    <row r="1007" ht="21" customHeight="1" spans="1:13">
      <c r="A1007" s="5" t="s">
        <v>9</v>
      </c>
      <c r="B1007" s="6" t="s">
        <v>83</v>
      </c>
      <c r="C1007" s="6" t="s">
        <v>152</v>
      </c>
      <c r="D1007" s="6" t="s">
        <v>153</v>
      </c>
      <c r="E1007" s="6" t="s">
        <v>767</v>
      </c>
      <c r="F1007" s="6" t="s">
        <v>1805</v>
      </c>
      <c r="G1007" s="6">
        <v>52.49</v>
      </c>
      <c r="H1007" s="6">
        <v>53.24</v>
      </c>
      <c r="I1007" s="6">
        <v>72</v>
      </c>
      <c r="J1007" s="6">
        <v>2210</v>
      </c>
      <c r="K1007" s="7">
        <f>(J1007-M1007)*税费参数!$B$12/(I1007*10000*(1+SUM(税费参数!$B$6:$B$8)))</f>
        <v>0.0279122948614474</v>
      </c>
      <c r="L1007" s="7">
        <f>J1007*税费参数!$B$12/(I1007*10000)</f>
        <v>0.0306944444444444</v>
      </c>
      <c r="M1007" s="6">
        <f>I1007*10000*SUM(税费参数!$B$9:$B$10)/税费参数!$B$11</f>
        <v>135</v>
      </c>
    </row>
    <row r="1008" ht="21" customHeight="1" spans="1:13">
      <c r="A1008" s="5" t="s">
        <v>9</v>
      </c>
      <c r="B1008" s="6" t="s">
        <v>83</v>
      </c>
      <c r="C1008" s="6" t="s">
        <v>152</v>
      </c>
      <c r="D1008" s="6" t="s">
        <v>153</v>
      </c>
      <c r="E1008" s="6" t="s">
        <v>767</v>
      </c>
      <c r="F1008" s="6" t="s">
        <v>1806</v>
      </c>
      <c r="G1008" s="6">
        <v>52.49</v>
      </c>
      <c r="H1008" s="6">
        <v>52.49</v>
      </c>
      <c r="I1008" s="6">
        <v>72</v>
      </c>
      <c r="J1008" s="6">
        <v>2400</v>
      </c>
      <c r="K1008" s="7">
        <f>(J1008-M1008)*税费参数!$B$12/(I1008*10000*(1+SUM(税费参数!$B$6:$B$8)))</f>
        <v>0.0304681194511703</v>
      </c>
      <c r="L1008" s="7">
        <f>J1008*税费参数!$B$12/(I1008*10000)</f>
        <v>0.0333333333333333</v>
      </c>
      <c r="M1008" s="6">
        <f>I1008*10000*SUM(税费参数!$B$9:$B$10)/税费参数!$B$11</f>
        <v>135</v>
      </c>
    </row>
    <row r="1009" ht="21" customHeight="1" spans="1:13">
      <c r="A1009" s="5" t="s">
        <v>9</v>
      </c>
      <c r="B1009" s="6" t="s">
        <v>83</v>
      </c>
      <c r="C1009" s="6" t="s">
        <v>152</v>
      </c>
      <c r="D1009" s="6" t="s">
        <v>153</v>
      </c>
      <c r="E1009" s="6" t="s">
        <v>767</v>
      </c>
      <c r="F1009" s="6" t="s">
        <v>1807</v>
      </c>
      <c r="G1009" s="6">
        <v>52.49</v>
      </c>
      <c r="H1009" s="6">
        <v>52.03</v>
      </c>
      <c r="I1009" s="6">
        <v>72</v>
      </c>
      <c r="J1009" s="6">
        <v>2600</v>
      </c>
      <c r="K1009" s="7">
        <f>(J1009-M1009)*税费参数!$B$12/(I1009*10000*(1+SUM(税费参数!$B$6:$B$8)))</f>
        <v>0.0331584611245628</v>
      </c>
      <c r="L1009" s="7">
        <f>J1009*税费参数!$B$12/(I1009*10000)</f>
        <v>0.0361111111111111</v>
      </c>
      <c r="M1009" s="6">
        <f>I1009*10000*SUM(税费参数!$B$9:$B$10)/税费参数!$B$11</f>
        <v>135</v>
      </c>
    </row>
    <row r="1010" ht="21" customHeight="1" spans="1:13">
      <c r="A1010" s="5" t="s">
        <v>9</v>
      </c>
      <c r="B1010" s="6" t="s">
        <v>83</v>
      </c>
      <c r="C1010" s="6" t="s">
        <v>152</v>
      </c>
      <c r="D1010" s="6" t="s">
        <v>153</v>
      </c>
      <c r="E1010" s="6" t="s">
        <v>767</v>
      </c>
      <c r="F1010" s="6" t="s">
        <v>1808</v>
      </c>
      <c r="G1010" s="6">
        <v>52.49</v>
      </c>
      <c r="H1010" s="6">
        <v>52.11</v>
      </c>
      <c r="I1010" s="6">
        <v>72</v>
      </c>
      <c r="J1010" s="6">
        <v>2400</v>
      </c>
      <c r="K1010" s="7">
        <f>(J1010-M1010)*税费参数!$B$12/(I1010*10000*(1+SUM(税费参数!$B$6:$B$8)))</f>
        <v>0.0304681194511703</v>
      </c>
      <c r="L1010" s="7">
        <f>J1010*税费参数!$B$12/(I1010*10000)</f>
        <v>0.0333333333333333</v>
      </c>
      <c r="M1010" s="6">
        <f>I1010*10000*SUM(税费参数!$B$9:$B$10)/税费参数!$B$11</f>
        <v>135</v>
      </c>
    </row>
    <row r="1011" ht="21" customHeight="1" spans="1:13">
      <c r="A1011" s="5" t="s">
        <v>9</v>
      </c>
      <c r="B1011" s="6" t="s">
        <v>83</v>
      </c>
      <c r="C1011" s="6" t="s">
        <v>152</v>
      </c>
      <c r="D1011" s="6" t="s">
        <v>153</v>
      </c>
      <c r="E1011" s="6" t="s">
        <v>767</v>
      </c>
      <c r="F1011" s="6" t="s">
        <v>1809</v>
      </c>
      <c r="G1011" s="6">
        <v>52.49</v>
      </c>
      <c r="H1011" s="6">
        <v>59</v>
      </c>
      <c r="I1011" s="6">
        <v>72</v>
      </c>
      <c r="J1011" s="6">
        <v>2600</v>
      </c>
      <c r="K1011" s="7">
        <f>(J1011-M1011)*税费参数!$B$12/(I1011*10000*(1+SUM(税费参数!$B$6:$B$8)))</f>
        <v>0.0331584611245628</v>
      </c>
      <c r="L1011" s="7">
        <f>J1011*税费参数!$B$12/(I1011*10000)</f>
        <v>0.0361111111111111</v>
      </c>
      <c r="M1011" s="6">
        <f>I1011*10000*SUM(税费参数!$B$9:$B$10)/税费参数!$B$11</f>
        <v>135</v>
      </c>
    </row>
    <row r="1012" ht="21" customHeight="1" spans="1:13">
      <c r="A1012" s="5" t="s">
        <v>9</v>
      </c>
      <c r="B1012" s="6" t="s">
        <v>83</v>
      </c>
      <c r="C1012" s="6" t="s">
        <v>152</v>
      </c>
      <c r="D1012" s="6" t="s">
        <v>153</v>
      </c>
      <c r="E1012" s="6" t="s">
        <v>771</v>
      </c>
      <c r="F1012" s="6" t="s">
        <v>1802</v>
      </c>
      <c r="G1012" s="6">
        <v>53.01</v>
      </c>
      <c r="H1012" s="6">
        <v>53.28</v>
      </c>
      <c r="I1012" s="6">
        <v>69</v>
      </c>
      <c r="J1012" s="6">
        <v>3230</v>
      </c>
      <c r="K1012" s="7">
        <f>(J1012-M1012)*税费参数!$B$12/(I1012*10000*(1+SUM(税费参数!$B$6:$B$8)))</f>
        <v>0.0435221251359792</v>
      </c>
      <c r="L1012" s="7">
        <f>J1012*税费参数!$B$12/(I1012*10000)</f>
        <v>0.0468115942028986</v>
      </c>
      <c r="M1012" s="6">
        <f>I1012*10000*SUM(税费参数!$B$9:$B$10)/税费参数!$B$11</f>
        <v>129.375</v>
      </c>
    </row>
    <row r="1013" ht="21" customHeight="1" spans="1:13">
      <c r="A1013" s="5" t="s">
        <v>9</v>
      </c>
      <c r="B1013" s="6" t="s">
        <v>83</v>
      </c>
      <c r="C1013" s="6" t="s">
        <v>152</v>
      </c>
      <c r="D1013" s="6" t="s">
        <v>153</v>
      </c>
      <c r="E1013" s="6" t="s">
        <v>771</v>
      </c>
      <c r="F1013" s="6" t="s">
        <v>1803</v>
      </c>
      <c r="G1013" s="6">
        <v>53.01</v>
      </c>
      <c r="H1013" s="6">
        <v>53.24</v>
      </c>
      <c r="I1013" s="6">
        <v>69</v>
      </c>
      <c r="J1013" s="6">
        <v>2600</v>
      </c>
      <c r="K1013" s="7">
        <f>(J1013-M1013)*税费参数!$B$12/(I1013*10000*(1+SUM(税费参数!$B$6:$B$8)))</f>
        <v>0.0346790890269151</v>
      </c>
      <c r="L1013" s="7">
        <f>J1013*税费参数!$B$12/(I1013*10000)</f>
        <v>0.0376811594202899</v>
      </c>
      <c r="M1013" s="6">
        <f>I1013*10000*SUM(税费参数!$B$9:$B$10)/税费参数!$B$11</f>
        <v>129.375</v>
      </c>
    </row>
    <row r="1014" ht="21" customHeight="1" spans="1:13">
      <c r="A1014" s="5" t="s">
        <v>9</v>
      </c>
      <c r="B1014" s="6" t="s">
        <v>83</v>
      </c>
      <c r="C1014" s="6" t="s">
        <v>152</v>
      </c>
      <c r="D1014" s="6" t="s">
        <v>153</v>
      </c>
      <c r="E1014" s="6" t="s">
        <v>771</v>
      </c>
      <c r="F1014" s="6" t="s">
        <v>1804</v>
      </c>
      <c r="G1014" s="6">
        <v>53.01</v>
      </c>
      <c r="H1014" s="6">
        <v>53.18</v>
      </c>
      <c r="I1014" s="6">
        <v>69</v>
      </c>
      <c r="J1014" s="6">
        <v>2400</v>
      </c>
      <c r="K1014" s="7">
        <f>(J1014-M1014)*税费参数!$B$12/(I1014*10000*(1+SUM(税费参数!$B$6:$B$8)))</f>
        <v>0.0318717759764186</v>
      </c>
      <c r="L1014" s="7">
        <f>J1014*税费参数!$B$12/(I1014*10000)</f>
        <v>0.0347826086956522</v>
      </c>
      <c r="M1014" s="6">
        <f>I1014*10000*SUM(税费参数!$B$9:$B$10)/税费参数!$B$11</f>
        <v>129.375</v>
      </c>
    </row>
    <row r="1015" ht="21" customHeight="1" spans="1:13">
      <c r="A1015" s="5" t="s">
        <v>9</v>
      </c>
      <c r="B1015" s="6" t="s">
        <v>83</v>
      </c>
      <c r="C1015" s="6" t="s">
        <v>152</v>
      </c>
      <c r="D1015" s="6" t="s">
        <v>153</v>
      </c>
      <c r="E1015" s="6" t="s">
        <v>771</v>
      </c>
      <c r="F1015" s="6" t="s">
        <v>1805</v>
      </c>
      <c r="G1015" s="6">
        <v>53.01</v>
      </c>
      <c r="H1015" s="6">
        <v>53.24</v>
      </c>
      <c r="I1015" s="6">
        <v>69</v>
      </c>
      <c r="J1015" s="6">
        <v>2210</v>
      </c>
      <c r="K1015" s="7">
        <f>(J1015-M1015)*税费参数!$B$12/(I1015*10000*(1+SUM(税费参数!$B$6:$B$8)))</f>
        <v>0.0292048285784469</v>
      </c>
      <c r="L1015" s="7">
        <f>J1015*税费参数!$B$12/(I1015*10000)</f>
        <v>0.0320289855072464</v>
      </c>
      <c r="M1015" s="6">
        <f>I1015*10000*SUM(税费参数!$B$9:$B$10)/税费参数!$B$11</f>
        <v>129.375</v>
      </c>
    </row>
    <row r="1016" ht="21" customHeight="1" spans="1:13">
      <c r="A1016" s="5" t="s">
        <v>9</v>
      </c>
      <c r="B1016" s="6" t="s">
        <v>83</v>
      </c>
      <c r="C1016" s="6" t="s">
        <v>152</v>
      </c>
      <c r="D1016" s="6" t="s">
        <v>153</v>
      </c>
      <c r="E1016" s="6" t="s">
        <v>771</v>
      </c>
      <c r="F1016" s="6" t="s">
        <v>1806</v>
      </c>
      <c r="G1016" s="6">
        <v>53.01</v>
      </c>
      <c r="H1016" s="6">
        <v>52.49</v>
      </c>
      <c r="I1016" s="6">
        <v>69</v>
      </c>
      <c r="J1016" s="6">
        <v>2400</v>
      </c>
      <c r="K1016" s="7">
        <f>(J1016-M1016)*税费参数!$B$12/(I1016*10000*(1+SUM(税费参数!$B$6:$B$8)))</f>
        <v>0.0318717759764186</v>
      </c>
      <c r="L1016" s="7">
        <f>J1016*税费参数!$B$12/(I1016*10000)</f>
        <v>0.0347826086956522</v>
      </c>
      <c r="M1016" s="6">
        <f>I1016*10000*SUM(税费参数!$B$9:$B$10)/税费参数!$B$11</f>
        <v>129.375</v>
      </c>
    </row>
    <row r="1017" ht="21" customHeight="1" spans="1:13">
      <c r="A1017" s="5" t="s">
        <v>9</v>
      </c>
      <c r="B1017" s="6" t="s">
        <v>83</v>
      </c>
      <c r="C1017" s="6" t="s">
        <v>152</v>
      </c>
      <c r="D1017" s="6" t="s">
        <v>153</v>
      </c>
      <c r="E1017" s="6" t="s">
        <v>771</v>
      </c>
      <c r="F1017" s="6" t="s">
        <v>1807</v>
      </c>
      <c r="G1017" s="6">
        <v>53.01</v>
      </c>
      <c r="H1017" s="6">
        <v>52.03</v>
      </c>
      <c r="I1017" s="6">
        <v>69</v>
      </c>
      <c r="J1017" s="6">
        <v>2600</v>
      </c>
      <c r="K1017" s="7">
        <f>(J1017-M1017)*税费参数!$B$12/(I1017*10000*(1+SUM(税费参数!$B$6:$B$8)))</f>
        <v>0.0346790890269151</v>
      </c>
      <c r="L1017" s="7">
        <f>J1017*税费参数!$B$12/(I1017*10000)</f>
        <v>0.0376811594202899</v>
      </c>
      <c r="M1017" s="6">
        <f>I1017*10000*SUM(税费参数!$B$9:$B$10)/税费参数!$B$11</f>
        <v>129.375</v>
      </c>
    </row>
    <row r="1018" ht="21" customHeight="1" spans="1:13">
      <c r="A1018" s="5" t="s">
        <v>9</v>
      </c>
      <c r="B1018" s="6" t="s">
        <v>83</v>
      </c>
      <c r="C1018" s="6" t="s">
        <v>152</v>
      </c>
      <c r="D1018" s="6" t="s">
        <v>153</v>
      </c>
      <c r="E1018" s="6" t="s">
        <v>771</v>
      </c>
      <c r="F1018" s="6" t="s">
        <v>1808</v>
      </c>
      <c r="G1018" s="6">
        <v>53.01</v>
      </c>
      <c r="H1018" s="6">
        <v>52.11</v>
      </c>
      <c r="I1018" s="6">
        <v>69</v>
      </c>
      <c r="J1018" s="6">
        <v>2400</v>
      </c>
      <c r="K1018" s="7">
        <f>(J1018-M1018)*税费参数!$B$12/(I1018*10000*(1+SUM(税费参数!$B$6:$B$8)))</f>
        <v>0.0318717759764186</v>
      </c>
      <c r="L1018" s="7">
        <f>J1018*税费参数!$B$12/(I1018*10000)</f>
        <v>0.0347826086956522</v>
      </c>
      <c r="M1018" s="6">
        <f>I1018*10000*SUM(税费参数!$B$9:$B$10)/税费参数!$B$11</f>
        <v>129.375</v>
      </c>
    </row>
    <row r="1019" ht="21" customHeight="1" spans="1:13">
      <c r="A1019" s="5" t="s">
        <v>9</v>
      </c>
      <c r="B1019" s="6" t="s">
        <v>83</v>
      </c>
      <c r="C1019" s="6" t="s">
        <v>152</v>
      </c>
      <c r="D1019" s="6" t="s">
        <v>153</v>
      </c>
      <c r="E1019" s="6" t="s">
        <v>771</v>
      </c>
      <c r="F1019" s="6" t="s">
        <v>1809</v>
      </c>
      <c r="G1019" s="6">
        <v>53.01</v>
      </c>
      <c r="H1019" s="6">
        <v>59</v>
      </c>
      <c r="I1019" s="6">
        <v>69</v>
      </c>
      <c r="J1019" s="6">
        <v>2600</v>
      </c>
      <c r="K1019" s="7">
        <f>(J1019-M1019)*税费参数!$B$12/(I1019*10000*(1+SUM(税费参数!$B$6:$B$8)))</f>
        <v>0.0346790890269151</v>
      </c>
      <c r="L1019" s="7">
        <f>J1019*税费参数!$B$12/(I1019*10000)</f>
        <v>0.0376811594202899</v>
      </c>
      <c r="M1019" s="6">
        <f>I1019*10000*SUM(税费参数!$B$9:$B$10)/税费参数!$B$11</f>
        <v>129.375</v>
      </c>
    </row>
    <row r="1020" ht="21" customHeight="1" spans="1:13">
      <c r="A1020" s="5" t="s">
        <v>9</v>
      </c>
      <c r="B1020" s="6" t="s">
        <v>83</v>
      </c>
      <c r="C1020" s="6" t="s">
        <v>152</v>
      </c>
      <c r="D1020" s="6" t="s">
        <v>153</v>
      </c>
      <c r="E1020" s="6" t="s">
        <v>775</v>
      </c>
      <c r="F1020" s="6" t="s">
        <v>1802</v>
      </c>
      <c r="G1020" s="6">
        <v>52.11</v>
      </c>
      <c r="H1020" s="6">
        <v>53.28</v>
      </c>
      <c r="I1020" s="6">
        <v>69.8</v>
      </c>
      <c r="J1020" s="6">
        <v>3230</v>
      </c>
      <c r="K1020" s="7">
        <f>(J1020-M1020)*税费参数!$B$12/(I1020*10000*(1+SUM(税费参数!$B$6:$B$8)))</f>
        <v>0.0430024906859446</v>
      </c>
      <c r="L1020" s="7">
        <f>J1020*税费参数!$B$12/(I1020*10000)</f>
        <v>0.0462750716332378</v>
      </c>
      <c r="M1020" s="6">
        <f>I1020*10000*SUM(税费参数!$B$9:$B$10)/税费参数!$B$11</f>
        <v>130.875</v>
      </c>
    </row>
    <row r="1021" ht="21" customHeight="1" spans="1:13">
      <c r="A1021" s="5" t="s">
        <v>9</v>
      </c>
      <c r="B1021" s="6" t="s">
        <v>83</v>
      </c>
      <c r="C1021" s="6" t="s">
        <v>152</v>
      </c>
      <c r="D1021" s="6" t="s">
        <v>153</v>
      </c>
      <c r="E1021" s="6" t="s">
        <v>775</v>
      </c>
      <c r="F1021" s="6" t="s">
        <v>1803</v>
      </c>
      <c r="G1021" s="6">
        <v>52.11</v>
      </c>
      <c r="H1021" s="6">
        <v>53.24</v>
      </c>
      <c r="I1021" s="6">
        <v>69.8</v>
      </c>
      <c r="J1021" s="6">
        <v>2600</v>
      </c>
      <c r="K1021" s="7">
        <f>(J1021-M1021)*税费参数!$B$12/(I1021*10000*(1+SUM(税费参数!$B$6:$B$8)))</f>
        <v>0.0342608074262681</v>
      </c>
      <c r="L1021" s="7">
        <f>J1021*税费参数!$B$12/(I1021*10000)</f>
        <v>0.0372492836676218</v>
      </c>
      <c r="M1021" s="6">
        <f>I1021*10000*SUM(税费参数!$B$9:$B$10)/税费参数!$B$11</f>
        <v>130.875</v>
      </c>
    </row>
    <row r="1022" ht="21" customHeight="1" spans="1:13">
      <c r="A1022" s="5" t="s">
        <v>9</v>
      </c>
      <c r="B1022" s="6" t="s">
        <v>83</v>
      </c>
      <c r="C1022" s="6" t="s">
        <v>152</v>
      </c>
      <c r="D1022" s="6" t="s">
        <v>153</v>
      </c>
      <c r="E1022" s="6" t="s">
        <v>775</v>
      </c>
      <c r="F1022" s="6" t="s">
        <v>1804</v>
      </c>
      <c r="G1022" s="6">
        <v>52.11</v>
      </c>
      <c r="H1022" s="6">
        <v>53.18</v>
      </c>
      <c r="I1022" s="6">
        <v>69.8</v>
      </c>
      <c r="J1022" s="6">
        <v>2400</v>
      </c>
      <c r="K1022" s="7">
        <f>(J1022-M1022)*税费参数!$B$12/(I1022*10000*(1+SUM(税费参数!$B$6:$B$8)))</f>
        <v>0.0314856698835136</v>
      </c>
      <c r="L1022" s="7">
        <f>J1022*税费参数!$B$12/(I1022*10000)</f>
        <v>0.0343839541547278</v>
      </c>
      <c r="M1022" s="6">
        <f>I1022*10000*SUM(税费参数!$B$9:$B$10)/税费参数!$B$11</f>
        <v>130.875</v>
      </c>
    </row>
    <row r="1023" ht="21" customHeight="1" spans="1:13">
      <c r="A1023" s="5" t="s">
        <v>9</v>
      </c>
      <c r="B1023" s="6" t="s">
        <v>83</v>
      </c>
      <c r="C1023" s="6" t="s">
        <v>152</v>
      </c>
      <c r="D1023" s="6" t="s">
        <v>153</v>
      </c>
      <c r="E1023" s="6" t="s">
        <v>775</v>
      </c>
      <c r="F1023" s="6" t="s">
        <v>1805</v>
      </c>
      <c r="G1023" s="6">
        <v>52.11</v>
      </c>
      <c r="H1023" s="6">
        <v>53.24</v>
      </c>
      <c r="I1023" s="6">
        <v>69.8</v>
      </c>
      <c r="J1023" s="6">
        <v>2210</v>
      </c>
      <c r="K1023" s="7">
        <f>(J1023-M1023)*税费参数!$B$12/(I1023*10000*(1+SUM(税费参数!$B$6:$B$8)))</f>
        <v>0.0288492892178969</v>
      </c>
      <c r="L1023" s="7">
        <f>J1023*税费参数!$B$12/(I1023*10000)</f>
        <v>0.0316618911174785</v>
      </c>
      <c r="M1023" s="6">
        <f>I1023*10000*SUM(税费参数!$B$9:$B$10)/税费参数!$B$11</f>
        <v>130.875</v>
      </c>
    </row>
    <row r="1024" ht="21" customHeight="1" spans="1:13">
      <c r="A1024" s="5" t="s">
        <v>9</v>
      </c>
      <c r="B1024" s="6" t="s">
        <v>83</v>
      </c>
      <c r="C1024" s="6" t="s">
        <v>152</v>
      </c>
      <c r="D1024" s="6" t="s">
        <v>153</v>
      </c>
      <c r="E1024" s="6" t="s">
        <v>775</v>
      </c>
      <c r="F1024" s="6" t="s">
        <v>1806</v>
      </c>
      <c r="G1024" s="6">
        <v>52.11</v>
      </c>
      <c r="H1024" s="6">
        <v>52.49</v>
      </c>
      <c r="I1024" s="6">
        <v>69.8</v>
      </c>
      <c r="J1024" s="6">
        <v>2400</v>
      </c>
      <c r="K1024" s="7">
        <f>(J1024-M1024)*税费参数!$B$12/(I1024*10000*(1+SUM(税费参数!$B$6:$B$8)))</f>
        <v>0.0314856698835136</v>
      </c>
      <c r="L1024" s="7">
        <f>J1024*税费参数!$B$12/(I1024*10000)</f>
        <v>0.0343839541547278</v>
      </c>
      <c r="M1024" s="6">
        <f>I1024*10000*SUM(税费参数!$B$9:$B$10)/税费参数!$B$11</f>
        <v>130.875</v>
      </c>
    </row>
    <row r="1025" ht="21" customHeight="1" spans="1:13">
      <c r="A1025" s="5" t="s">
        <v>9</v>
      </c>
      <c r="B1025" s="6" t="s">
        <v>83</v>
      </c>
      <c r="C1025" s="6" t="s">
        <v>152</v>
      </c>
      <c r="D1025" s="6" t="s">
        <v>153</v>
      </c>
      <c r="E1025" s="6" t="s">
        <v>775</v>
      </c>
      <c r="F1025" s="6" t="s">
        <v>1807</v>
      </c>
      <c r="G1025" s="6">
        <v>52.11</v>
      </c>
      <c r="H1025" s="6">
        <v>52.03</v>
      </c>
      <c r="I1025" s="6">
        <v>69.8</v>
      </c>
      <c r="J1025" s="6">
        <v>2600</v>
      </c>
      <c r="K1025" s="7">
        <f>(J1025-M1025)*税费参数!$B$12/(I1025*10000*(1+SUM(税费参数!$B$6:$B$8)))</f>
        <v>0.0342608074262681</v>
      </c>
      <c r="L1025" s="7">
        <f>J1025*税费参数!$B$12/(I1025*10000)</f>
        <v>0.0372492836676218</v>
      </c>
      <c r="M1025" s="6">
        <f>I1025*10000*SUM(税费参数!$B$9:$B$10)/税费参数!$B$11</f>
        <v>130.875</v>
      </c>
    </row>
    <row r="1026" ht="21" customHeight="1" spans="1:13">
      <c r="A1026" s="5" t="s">
        <v>9</v>
      </c>
      <c r="B1026" s="6" t="s">
        <v>83</v>
      </c>
      <c r="C1026" s="6" t="s">
        <v>152</v>
      </c>
      <c r="D1026" s="6" t="s">
        <v>153</v>
      </c>
      <c r="E1026" s="6" t="s">
        <v>775</v>
      </c>
      <c r="F1026" s="6" t="s">
        <v>1808</v>
      </c>
      <c r="G1026" s="6">
        <v>52.11</v>
      </c>
      <c r="H1026" s="6">
        <v>52.11</v>
      </c>
      <c r="I1026" s="6">
        <v>69.8</v>
      </c>
      <c r="J1026" s="6">
        <v>2400</v>
      </c>
      <c r="K1026" s="7">
        <f>(J1026-M1026)*税费参数!$B$12/(I1026*10000*(1+SUM(税费参数!$B$6:$B$8)))</f>
        <v>0.0314856698835136</v>
      </c>
      <c r="L1026" s="7">
        <f>J1026*税费参数!$B$12/(I1026*10000)</f>
        <v>0.0343839541547278</v>
      </c>
      <c r="M1026" s="6">
        <f>I1026*10000*SUM(税费参数!$B$9:$B$10)/税费参数!$B$11</f>
        <v>130.875</v>
      </c>
    </row>
    <row r="1027" ht="21" customHeight="1" spans="1:13">
      <c r="A1027" s="5" t="s">
        <v>9</v>
      </c>
      <c r="B1027" s="6" t="s">
        <v>83</v>
      </c>
      <c r="C1027" s="6" t="s">
        <v>152</v>
      </c>
      <c r="D1027" s="6" t="s">
        <v>153</v>
      </c>
      <c r="E1027" s="6" t="s">
        <v>775</v>
      </c>
      <c r="F1027" s="6" t="s">
        <v>1809</v>
      </c>
      <c r="G1027" s="6">
        <v>52.11</v>
      </c>
      <c r="H1027" s="6">
        <v>59</v>
      </c>
      <c r="I1027" s="6">
        <v>69.8</v>
      </c>
      <c r="J1027" s="6">
        <v>2600</v>
      </c>
      <c r="K1027" s="7">
        <f>(J1027-M1027)*税费参数!$B$12/(I1027*10000*(1+SUM(税费参数!$B$6:$B$8)))</f>
        <v>0.0342608074262681</v>
      </c>
      <c r="L1027" s="7">
        <f>J1027*税费参数!$B$12/(I1027*10000)</f>
        <v>0.0372492836676218</v>
      </c>
      <c r="M1027" s="6">
        <f>I1027*10000*SUM(税费参数!$B$9:$B$10)/税费参数!$B$11</f>
        <v>130.875</v>
      </c>
    </row>
    <row r="1028" ht="21" customHeight="1" spans="1:13">
      <c r="A1028" s="5" t="s">
        <v>9</v>
      </c>
      <c r="B1028" s="6" t="s">
        <v>83</v>
      </c>
      <c r="C1028" s="6" t="s">
        <v>152</v>
      </c>
      <c r="D1028" s="6" t="s">
        <v>153</v>
      </c>
      <c r="E1028" s="6" t="s">
        <v>777</v>
      </c>
      <c r="F1028" s="6" t="s">
        <v>1802</v>
      </c>
      <c r="G1028" s="6">
        <v>53.18</v>
      </c>
      <c r="H1028" s="6">
        <v>53.28</v>
      </c>
      <c r="I1028" s="6">
        <v>71.8</v>
      </c>
      <c r="J1028" s="6">
        <v>3230</v>
      </c>
      <c r="K1028" s="7">
        <f>(J1028-M1028)*税费参数!$B$12/(I1028*10000*(1+SUM(税费参数!$B$6:$B$8)))</f>
        <v>0.0417540653011122</v>
      </c>
      <c r="L1028" s="7">
        <f>J1028*税费参数!$B$12/(I1028*10000)</f>
        <v>0.0449860724233983</v>
      </c>
      <c r="M1028" s="6">
        <f>I1028*10000*SUM(税费参数!$B$9:$B$10)/税费参数!$B$11</f>
        <v>134.625</v>
      </c>
    </row>
    <row r="1029" ht="21" customHeight="1" spans="1:13">
      <c r="A1029" s="5" t="s">
        <v>9</v>
      </c>
      <c r="B1029" s="6" t="s">
        <v>83</v>
      </c>
      <c r="C1029" s="6" t="s">
        <v>152</v>
      </c>
      <c r="D1029" s="6" t="s">
        <v>153</v>
      </c>
      <c r="E1029" s="6" t="s">
        <v>777</v>
      </c>
      <c r="F1029" s="6" t="s">
        <v>1803</v>
      </c>
      <c r="G1029" s="6">
        <v>53.18</v>
      </c>
      <c r="H1029" s="6">
        <v>53.24</v>
      </c>
      <c r="I1029" s="6">
        <v>71.8</v>
      </c>
      <c r="J1029" s="6">
        <v>2600</v>
      </c>
      <c r="K1029" s="7">
        <f>(J1029-M1029)*税费参数!$B$12/(I1029*10000*(1+SUM(税费参数!$B$6:$B$8)))</f>
        <v>0.033255882967889</v>
      </c>
      <c r="L1029" s="7">
        <f>J1029*税费参数!$B$12/(I1029*10000)</f>
        <v>0.0362116991643454</v>
      </c>
      <c r="M1029" s="6">
        <f>I1029*10000*SUM(税费参数!$B$9:$B$10)/税费参数!$B$11</f>
        <v>134.625</v>
      </c>
    </row>
    <row r="1030" ht="21" customHeight="1" spans="1:13">
      <c r="A1030" s="5" t="s">
        <v>9</v>
      </c>
      <c r="B1030" s="6" t="s">
        <v>83</v>
      </c>
      <c r="C1030" s="6" t="s">
        <v>152</v>
      </c>
      <c r="D1030" s="6" t="s">
        <v>153</v>
      </c>
      <c r="E1030" s="6" t="s">
        <v>777</v>
      </c>
      <c r="F1030" s="6" t="s">
        <v>1804</v>
      </c>
      <c r="G1030" s="6">
        <v>53.18</v>
      </c>
      <c r="H1030" s="6">
        <v>53.18</v>
      </c>
      <c r="I1030" s="6">
        <v>71.8</v>
      </c>
      <c r="J1030" s="6">
        <v>2400</v>
      </c>
      <c r="K1030" s="7">
        <f>(J1030-M1030)*税费参数!$B$12/(I1030*10000*(1+SUM(税费参数!$B$6:$B$8)))</f>
        <v>0.0305580473065483</v>
      </c>
      <c r="L1030" s="7">
        <f>J1030*税费参数!$B$12/(I1030*10000)</f>
        <v>0.0334261838440111</v>
      </c>
      <c r="M1030" s="6">
        <f>I1030*10000*SUM(税费参数!$B$9:$B$10)/税费参数!$B$11</f>
        <v>134.625</v>
      </c>
    </row>
    <row r="1031" ht="21" customHeight="1" spans="1:13">
      <c r="A1031" s="5" t="s">
        <v>9</v>
      </c>
      <c r="B1031" s="6" t="s">
        <v>83</v>
      </c>
      <c r="C1031" s="6" t="s">
        <v>152</v>
      </c>
      <c r="D1031" s="6" t="s">
        <v>153</v>
      </c>
      <c r="E1031" s="6" t="s">
        <v>777</v>
      </c>
      <c r="F1031" s="6" t="s">
        <v>1805</v>
      </c>
      <c r="G1031" s="6">
        <v>53.18</v>
      </c>
      <c r="H1031" s="6">
        <v>53.24</v>
      </c>
      <c r="I1031" s="6">
        <v>71.8</v>
      </c>
      <c r="J1031" s="6">
        <v>2210</v>
      </c>
      <c r="K1031" s="7">
        <f>(J1031-M1031)*税费参数!$B$12/(I1031*10000*(1+SUM(税费参数!$B$6:$B$8)))</f>
        <v>0.0279951034282747</v>
      </c>
      <c r="L1031" s="7">
        <f>J1031*税费参数!$B$12/(I1031*10000)</f>
        <v>0.0307799442896936</v>
      </c>
      <c r="M1031" s="6">
        <f>I1031*10000*SUM(税费参数!$B$9:$B$10)/税费参数!$B$11</f>
        <v>134.625</v>
      </c>
    </row>
    <row r="1032" ht="21" customHeight="1" spans="1:13">
      <c r="A1032" s="5" t="s">
        <v>9</v>
      </c>
      <c r="B1032" s="6" t="s">
        <v>83</v>
      </c>
      <c r="C1032" s="6" t="s">
        <v>152</v>
      </c>
      <c r="D1032" s="6" t="s">
        <v>153</v>
      </c>
      <c r="E1032" s="6" t="s">
        <v>777</v>
      </c>
      <c r="F1032" s="6" t="s">
        <v>1806</v>
      </c>
      <c r="G1032" s="6">
        <v>53.18</v>
      </c>
      <c r="H1032" s="6">
        <v>52.49</v>
      </c>
      <c r="I1032" s="6">
        <v>71.8</v>
      </c>
      <c r="J1032" s="6">
        <v>2400</v>
      </c>
      <c r="K1032" s="7">
        <f>(J1032-M1032)*税费参数!$B$12/(I1032*10000*(1+SUM(税费参数!$B$6:$B$8)))</f>
        <v>0.0305580473065483</v>
      </c>
      <c r="L1032" s="7">
        <f>J1032*税费参数!$B$12/(I1032*10000)</f>
        <v>0.0334261838440111</v>
      </c>
      <c r="M1032" s="6">
        <f>I1032*10000*SUM(税费参数!$B$9:$B$10)/税费参数!$B$11</f>
        <v>134.625</v>
      </c>
    </row>
    <row r="1033" ht="21" customHeight="1" spans="1:13">
      <c r="A1033" s="5" t="s">
        <v>9</v>
      </c>
      <c r="B1033" s="6" t="s">
        <v>83</v>
      </c>
      <c r="C1033" s="6" t="s">
        <v>152</v>
      </c>
      <c r="D1033" s="6" t="s">
        <v>153</v>
      </c>
      <c r="E1033" s="6" t="s">
        <v>777</v>
      </c>
      <c r="F1033" s="6" t="s">
        <v>1807</v>
      </c>
      <c r="G1033" s="6">
        <v>53.18</v>
      </c>
      <c r="H1033" s="6">
        <v>52.03</v>
      </c>
      <c r="I1033" s="6">
        <v>71.8</v>
      </c>
      <c r="J1033" s="6">
        <v>2600</v>
      </c>
      <c r="K1033" s="7">
        <f>(J1033-M1033)*税费参数!$B$12/(I1033*10000*(1+SUM(税费参数!$B$6:$B$8)))</f>
        <v>0.033255882967889</v>
      </c>
      <c r="L1033" s="7">
        <f>J1033*税费参数!$B$12/(I1033*10000)</f>
        <v>0.0362116991643454</v>
      </c>
      <c r="M1033" s="6">
        <f>I1033*10000*SUM(税费参数!$B$9:$B$10)/税费参数!$B$11</f>
        <v>134.625</v>
      </c>
    </row>
    <row r="1034" ht="21" customHeight="1" spans="1:13">
      <c r="A1034" s="5" t="s">
        <v>9</v>
      </c>
      <c r="B1034" s="6" t="s">
        <v>83</v>
      </c>
      <c r="C1034" s="6" t="s">
        <v>152</v>
      </c>
      <c r="D1034" s="6" t="s">
        <v>153</v>
      </c>
      <c r="E1034" s="6" t="s">
        <v>777</v>
      </c>
      <c r="F1034" s="6" t="s">
        <v>1808</v>
      </c>
      <c r="G1034" s="6">
        <v>53.18</v>
      </c>
      <c r="H1034" s="6">
        <v>52.11</v>
      </c>
      <c r="I1034" s="6">
        <v>71.8</v>
      </c>
      <c r="J1034" s="6">
        <v>2400</v>
      </c>
      <c r="K1034" s="7">
        <f>(J1034-M1034)*税费参数!$B$12/(I1034*10000*(1+SUM(税费参数!$B$6:$B$8)))</f>
        <v>0.0305580473065483</v>
      </c>
      <c r="L1034" s="7">
        <f>J1034*税费参数!$B$12/(I1034*10000)</f>
        <v>0.0334261838440111</v>
      </c>
      <c r="M1034" s="6">
        <f>I1034*10000*SUM(税费参数!$B$9:$B$10)/税费参数!$B$11</f>
        <v>134.625</v>
      </c>
    </row>
    <row r="1035" ht="21" customHeight="1" spans="1:13">
      <c r="A1035" s="5" t="s">
        <v>9</v>
      </c>
      <c r="B1035" s="6" t="s">
        <v>83</v>
      </c>
      <c r="C1035" s="6" t="s">
        <v>152</v>
      </c>
      <c r="D1035" s="6" t="s">
        <v>153</v>
      </c>
      <c r="E1035" s="6" t="s">
        <v>777</v>
      </c>
      <c r="F1035" s="6" t="s">
        <v>1809</v>
      </c>
      <c r="G1035" s="6">
        <v>53.18</v>
      </c>
      <c r="H1035" s="6">
        <v>59</v>
      </c>
      <c r="I1035" s="6">
        <v>71.8</v>
      </c>
      <c r="J1035" s="6">
        <v>2600</v>
      </c>
      <c r="K1035" s="7">
        <f>(J1035-M1035)*税费参数!$B$12/(I1035*10000*(1+SUM(税费参数!$B$6:$B$8)))</f>
        <v>0.033255882967889</v>
      </c>
      <c r="L1035" s="7">
        <f>J1035*税费参数!$B$12/(I1035*10000)</f>
        <v>0.0362116991643454</v>
      </c>
      <c r="M1035" s="6">
        <f>I1035*10000*SUM(税费参数!$B$9:$B$10)/税费参数!$B$11</f>
        <v>134.625</v>
      </c>
    </row>
    <row r="1036" ht="21" customHeight="1" spans="1:13">
      <c r="A1036" s="5" t="s">
        <v>9</v>
      </c>
      <c r="B1036" s="6" t="s">
        <v>83</v>
      </c>
      <c r="C1036" s="6" t="s">
        <v>152</v>
      </c>
      <c r="D1036" s="6" t="s">
        <v>153</v>
      </c>
      <c r="E1036" s="6" t="s">
        <v>769</v>
      </c>
      <c r="F1036" s="6" t="s">
        <v>1810</v>
      </c>
      <c r="G1036" s="6">
        <v>40.94</v>
      </c>
      <c r="H1036" s="6">
        <v>43.72</v>
      </c>
      <c r="I1036" s="6">
        <v>59</v>
      </c>
      <c r="J1036" s="6">
        <v>2150</v>
      </c>
      <c r="K1036" s="7">
        <f>(J1036-M1036)*税费参数!$B$12/(I1036*10000*(1+SUM(税费参数!$B$6:$B$8)))</f>
        <v>0.0334776542044568</v>
      </c>
      <c r="L1036" s="7">
        <f>J1036*税费参数!$B$12/(I1036*10000)</f>
        <v>0.0364406779661017</v>
      </c>
      <c r="M1036" s="6">
        <f>I1036*10000*SUM(税费参数!$B$9:$B$10)/税费参数!$B$11</f>
        <v>110.625</v>
      </c>
    </row>
    <row r="1037" ht="21" customHeight="1" spans="1:13">
      <c r="A1037" s="5" t="s">
        <v>9</v>
      </c>
      <c r="B1037" s="6" t="s">
        <v>83</v>
      </c>
      <c r="C1037" s="6" t="s">
        <v>157</v>
      </c>
      <c r="D1037" s="6" t="s">
        <v>155</v>
      </c>
      <c r="E1037" s="6" t="s">
        <v>781</v>
      </c>
      <c r="F1037" s="6" t="s">
        <v>1811</v>
      </c>
      <c r="G1037" s="6">
        <v>83.39</v>
      </c>
      <c r="H1037" s="6">
        <v>83.39</v>
      </c>
      <c r="I1037" s="6">
        <v>120</v>
      </c>
      <c r="J1037" s="6">
        <v>3000</v>
      </c>
      <c r="K1037" s="7">
        <f>(J1037-M1037)*税费参数!$B$12/(I1037*10000*(1+SUM(税费参数!$B$6:$B$8)))</f>
        <v>0.0223970944309927</v>
      </c>
      <c r="L1037" s="7">
        <f>J1037*税费参数!$B$12/(I1037*10000)</f>
        <v>0.025</v>
      </c>
      <c r="M1037" s="6">
        <f>I1037*10000*SUM(税费参数!$B$9:$B$10)/税费参数!$B$11</f>
        <v>225</v>
      </c>
    </row>
    <row r="1038" ht="21" customHeight="1" spans="1:13">
      <c r="A1038" s="5" t="s">
        <v>9</v>
      </c>
      <c r="B1038" s="6" t="s">
        <v>83</v>
      </c>
      <c r="C1038" s="6" t="s">
        <v>157</v>
      </c>
      <c r="D1038" s="6" t="s">
        <v>155</v>
      </c>
      <c r="E1038" s="6" t="s">
        <v>779</v>
      </c>
      <c r="F1038" s="6" t="s">
        <v>1811</v>
      </c>
      <c r="G1038" s="6">
        <v>79.05</v>
      </c>
      <c r="H1038" s="6">
        <v>83.39</v>
      </c>
      <c r="I1038" s="6">
        <v>90</v>
      </c>
      <c r="J1038" s="6">
        <v>3000</v>
      </c>
      <c r="K1038" s="7">
        <f>(J1038-M1038)*税费参数!$B$12/(I1038*10000*(1+SUM(税费参数!$B$6:$B$8)))</f>
        <v>0.0304681194511703</v>
      </c>
      <c r="L1038" s="7">
        <f>J1038*税费参数!$B$12/(I1038*10000)</f>
        <v>0.0333333333333333</v>
      </c>
      <c r="M1038" s="6">
        <f>I1038*10000*SUM(税费参数!$B$9:$B$10)/税费参数!$B$11</f>
        <v>168.75</v>
      </c>
    </row>
    <row r="1039" ht="21" customHeight="1" spans="1:13">
      <c r="A1039" s="5" t="s">
        <v>9</v>
      </c>
      <c r="B1039" s="6" t="s">
        <v>88</v>
      </c>
      <c r="C1039" s="6" t="s">
        <v>157</v>
      </c>
      <c r="D1039" s="6" t="s">
        <v>153</v>
      </c>
      <c r="E1039" s="6" t="s">
        <v>789</v>
      </c>
      <c r="F1039" s="6" t="s">
        <v>1812</v>
      </c>
      <c r="G1039" s="6">
        <v>61.39</v>
      </c>
      <c r="H1039" s="6">
        <v>61.39</v>
      </c>
      <c r="I1039" s="6">
        <v>95</v>
      </c>
      <c r="J1039" s="6">
        <v>2500</v>
      </c>
      <c r="K1039" s="7">
        <f>(J1039-M1039)*税费参数!$B$12/(I1039*10000*(1+SUM(税费参数!$B$6:$B$8)))</f>
        <v>0.0236714668025997</v>
      </c>
      <c r="L1039" s="7">
        <f>J1039*税费参数!$B$12/(I1039*10000)</f>
        <v>0.0263157894736842</v>
      </c>
      <c r="M1039" s="6">
        <f>I1039*10000*SUM(税费参数!$B$9:$B$10)/税费参数!$B$11</f>
        <v>178.125</v>
      </c>
    </row>
    <row r="1040" ht="21" customHeight="1" spans="1:13">
      <c r="A1040" s="5" t="s">
        <v>9</v>
      </c>
      <c r="B1040" s="6" t="s">
        <v>88</v>
      </c>
      <c r="C1040" s="6" t="s">
        <v>157</v>
      </c>
      <c r="D1040" s="6" t="s">
        <v>153</v>
      </c>
      <c r="E1040" s="6" t="s">
        <v>791</v>
      </c>
      <c r="F1040" s="6" t="s">
        <v>1812</v>
      </c>
      <c r="G1040" s="6">
        <v>61.03</v>
      </c>
      <c r="H1040" s="6">
        <v>61.39</v>
      </c>
      <c r="I1040" s="6">
        <v>92</v>
      </c>
      <c r="J1040" s="6">
        <v>2500</v>
      </c>
      <c r="K1040" s="7">
        <f>(J1040-M1040)*税费参数!$B$12/(I1040*10000*(1+SUM(税费参数!$B$6:$B$8)))</f>
        <v>0.0245025792188651</v>
      </c>
      <c r="L1040" s="7">
        <f>J1040*税费参数!$B$12/(I1040*10000)</f>
        <v>0.0271739130434783</v>
      </c>
      <c r="M1040" s="6">
        <f>I1040*10000*SUM(税费参数!$B$9:$B$10)/税费参数!$B$11</f>
        <v>172.5</v>
      </c>
    </row>
    <row r="1041" ht="21" customHeight="1" spans="1:13">
      <c r="A1041" s="5" t="s">
        <v>9</v>
      </c>
      <c r="B1041" s="6" t="s">
        <v>88</v>
      </c>
      <c r="C1041" s="6" t="s">
        <v>157</v>
      </c>
      <c r="D1041" s="6" t="s">
        <v>155</v>
      </c>
      <c r="E1041" s="6" t="s">
        <v>793</v>
      </c>
      <c r="F1041" s="6" t="s">
        <v>1813</v>
      </c>
      <c r="G1041" s="6">
        <v>75.06</v>
      </c>
      <c r="H1041" s="6">
        <v>75.49</v>
      </c>
      <c r="I1041" s="6">
        <v>120</v>
      </c>
      <c r="J1041" s="6">
        <v>2600</v>
      </c>
      <c r="K1041" s="7">
        <f>(J1041-M1041)*税费参数!$B$12/(I1041*10000*(1+SUM(税费参数!$B$6:$B$8)))</f>
        <v>0.0191686844229217</v>
      </c>
      <c r="L1041" s="7">
        <f>J1041*税费参数!$B$12/(I1041*10000)</f>
        <v>0.0216666666666667</v>
      </c>
      <c r="M1041" s="6">
        <f>I1041*10000*SUM(税费参数!$B$9:$B$10)/税费参数!$B$11</f>
        <v>225</v>
      </c>
    </row>
    <row r="1042" ht="21" customHeight="1" spans="1:13">
      <c r="A1042" s="5" t="s">
        <v>9</v>
      </c>
      <c r="B1042" s="6" t="s">
        <v>88</v>
      </c>
      <c r="C1042" s="6" t="s">
        <v>157</v>
      </c>
      <c r="D1042" s="6" t="s">
        <v>155</v>
      </c>
      <c r="E1042" s="6" t="s">
        <v>793</v>
      </c>
      <c r="F1042" s="6" t="s">
        <v>1814</v>
      </c>
      <c r="G1042" s="6">
        <v>75.06</v>
      </c>
      <c r="H1042" s="6">
        <v>80</v>
      </c>
      <c r="I1042" s="6">
        <v>120</v>
      </c>
      <c r="J1042" s="6">
        <v>2600</v>
      </c>
      <c r="K1042" s="7">
        <f>(J1042-M1042)*税费参数!$B$12/(I1042*10000*(1+SUM(税费参数!$B$6:$B$8)))</f>
        <v>0.0191686844229217</v>
      </c>
      <c r="L1042" s="7">
        <f>J1042*税费参数!$B$12/(I1042*10000)</f>
        <v>0.0216666666666667</v>
      </c>
      <c r="M1042" s="6">
        <f>I1042*10000*SUM(税费参数!$B$9:$B$10)/税费参数!$B$11</f>
        <v>225</v>
      </c>
    </row>
    <row r="1043" ht="21" customHeight="1" spans="1:13">
      <c r="A1043" s="5" t="s">
        <v>9</v>
      </c>
      <c r="B1043" s="6" t="s">
        <v>88</v>
      </c>
      <c r="C1043" s="6" t="s">
        <v>157</v>
      </c>
      <c r="D1043" s="6" t="s">
        <v>155</v>
      </c>
      <c r="E1043" s="6" t="s">
        <v>793</v>
      </c>
      <c r="F1043" s="6" t="s">
        <v>1815</v>
      </c>
      <c r="G1043" s="6">
        <v>75.06</v>
      </c>
      <c r="H1043" s="6">
        <v>79.97</v>
      </c>
      <c r="I1043" s="6">
        <v>120</v>
      </c>
      <c r="J1043" s="6">
        <v>2800</v>
      </c>
      <c r="K1043" s="7">
        <f>(J1043-M1043)*税费参数!$B$12/(I1043*10000*(1+SUM(税费参数!$B$6:$B$8)))</f>
        <v>0.0207828894269572</v>
      </c>
      <c r="L1043" s="7">
        <f>J1043*税费参数!$B$12/(I1043*10000)</f>
        <v>0.0233333333333333</v>
      </c>
      <c r="M1043" s="6">
        <f>I1043*10000*SUM(税费参数!$B$9:$B$10)/税费参数!$B$11</f>
        <v>225</v>
      </c>
    </row>
    <row r="1044" ht="21" customHeight="1" spans="1:13">
      <c r="A1044" s="5" t="s">
        <v>9</v>
      </c>
      <c r="B1044" s="6" t="s">
        <v>88</v>
      </c>
      <c r="C1044" s="6" t="s">
        <v>157</v>
      </c>
      <c r="D1044" s="6" t="s">
        <v>155</v>
      </c>
      <c r="E1044" s="6" t="s">
        <v>793</v>
      </c>
      <c r="F1044" s="6" t="s">
        <v>1816</v>
      </c>
      <c r="G1044" s="6">
        <v>75.06</v>
      </c>
      <c r="H1044" s="6">
        <v>72.7</v>
      </c>
      <c r="I1044" s="6">
        <v>120</v>
      </c>
      <c r="J1044" s="6">
        <v>2700</v>
      </c>
      <c r="K1044" s="7">
        <f>(J1044-M1044)*税费参数!$B$12/(I1044*10000*(1+SUM(税费参数!$B$6:$B$8)))</f>
        <v>0.0199757869249395</v>
      </c>
      <c r="L1044" s="7">
        <f>J1044*税费参数!$B$12/(I1044*10000)</f>
        <v>0.0225</v>
      </c>
      <c r="M1044" s="6">
        <f>I1044*10000*SUM(税费参数!$B$9:$B$10)/税费参数!$B$11</f>
        <v>225</v>
      </c>
    </row>
    <row r="1045" ht="21" customHeight="1" spans="1:13">
      <c r="A1045" s="5" t="s">
        <v>9</v>
      </c>
      <c r="B1045" s="6" t="s">
        <v>88</v>
      </c>
      <c r="C1045" s="6" t="s">
        <v>157</v>
      </c>
      <c r="D1045" s="6" t="s">
        <v>155</v>
      </c>
      <c r="E1045" s="6" t="s">
        <v>793</v>
      </c>
      <c r="F1045" s="6" t="s">
        <v>1817</v>
      </c>
      <c r="G1045" s="6">
        <v>75.06</v>
      </c>
      <c r="H1045" s="6">
        <v>77.11</v>
      </c>
      <c r="I1045" s="6">
        <v>120</v>
      </c>
      <c r="J1045" s="6">
        <v>2800</v>
      </c>
      <c r="K1045" s="7">
        <f>(J1045-M1045)*税费参数!$B$12/(I1045*10000*(1+SUM(税费参数!$B$6:$B$8)))</f>
        <v>0.0207828894269572</v>
      </c>
      <c r="L1045" s="7">
        <f>J1045*税费参数!$B$12/(I1045*10000)</f>
        <v>0.0233333333333333</v>
      </c>
      <c r="M1045" s="6">
        <f>I1045*10000*SUM(税费参数!$B$9:$B$10)/税费参数!$B$11</f>
        <v>225</v>
      </c>
    </row>
    <row r="1046" ht="21" customHeight="1" spans="1:13">
      <c r="A1046" s="5" t="s">
        <v>9</v>
      </c>
      <c r="B1046" s="6" t="s">
        <v>88</v>
      </c>
      <c r="C1046" s="6" t="s">
        <v>157</v>
      </c>
      <c r="D1046" s="6" t="s">
        <v>162</v>
      </c>
      <c r="E1046" s="6" t="s">
        <v>795</v>
      </c>
      <c r="F1046" s="6" t="s">
        <v>1818</v>
      </c>
      <c r="G1046" s="6">
        <v>76.99</v>
      </c>
      <c r="H1046" s="6">
        <v>75.25</v>
      </c>
      <c r="I1046" s="6">
        <v>115</v>
      </c>
      <c r="J1046" s="6">
        <v>3000</v>
      </c>
      <c r="K1046" s="7">
        <f>(J1046-M1046)*税费参数!$B$12/(I1046*10000*(1+SUM(税费参数!$B$6:$B$8)))</f>
        <v>0.0234498368249289</v>
      </c>
      <c r="L1046" s="7">
        <f>J1046*税费参数!$B$12/(I1046*10000)</f>
        <v>0.0260869565217391</v>
      </c>
      <c r="M1046" s="6">
        <f>I1046*10000*SUM(税费参数!$B$9:$B$10)/税费参数!$B$11</f>
        <v>215.625</v>
      </c>
    </row>
    <row r="1047" ht="21" customHeight="1" spans="1:13">
      <c r="A1047" s="5" t="s">
        <v>9</v>
      </c>
      <c r="B1047" s="6" t="s">
        <v>89</v>
      </c>
      <c r="C1047" s="6" t="s">
        <v>157</v>
      </c>
      <c r="D1047" s="6" t="s">
        <v>155</v>
      </c>
      <c r="E1047" s="6" t="s">
        <v>807</v>
      </c>
      <c r="F1047" s="6" t="s">
        <v>1819</v>
      </c>
      <c r="G1047" s="6">
        <v>61.59</v>
      </c>
      <c r="H1047" s="6">
        <v>60.83</v>
      </c>
      <c r="I1047" s="6">
        <v>119</v>
      </c>
      <c r="J1047" s="6">
        <v>2400</v>
      </c>
      <c r="K1047" s="7">
        <f>(J1047-M1047)*税费参数!$B$12/(I1047*10000*(1+SUM(税费参数!$B$6:$B$8)))</f>
        <v>0.0177172563940831</v>
      </c>
      <c r="L1047" s="7">
        <f>J1047*税费参数!$B$12/(I1047*10000)</f>
        <v>0.0201680672268908</v>
      </c>
      <c r="M1047" s="6">
        <f>I1047*10000*SUM(税费参数!$B$9:$B$10)/税费参数!$B$11</f>
        <v>223.125</v>
      </c>
    </row>
    <row r="1048" ht="21" customHeight="1" spans="1:13">
      <c r="A1048" s="5" t="s">
        <v>9</v>
      </c>
      <c r="B1048" s="6" t="s">
        <v>89</v>
      </c>
      <c r="C1048" s="6" t="s">
        <v>157</v>
      </c>
      <c r="D1048" s="6" t="s">
        <v>155</v>
      </c>
      <c r="E1048" s="6" t="s">
        <v>807</v>
      </c>
      <c r="F1048" s="6" t="s">
        <v>1820</v>
      </c>
      <c r="G1048" s="6">
        <v>61.59</v>
      </c>
      <c r="H1048" s="6">
        <v>68.49</v>
      </c>
      <c r="I1048" s="6">
        <v>119</v>
      </c>
      <c r="J1048" s="6">
        <v>3000</v>
      </c>
      <c r="K1048" s="7">
        <f>(J1048-M1048)*税费参数!$B$12/(I1048*10000*(1+SUM(税费参数!$B$6:$B$8)))</f>
        <v>0.0226005656499888</v>
      </c>
      <c r="L1048" s="7">
        <f>J1048*税费参数!$B$12/(I1048*10000)</f>
        <v>0.0252100840336134</v>
      </c>
      <c r="M1048" s="6">
        <f>I1048*10000*SUM(税费参数!$B$9:$B$10)/税费参数!$B$11</f>
        <v>223.125</v>
      </c>
    </row>
    <row r="1049" ht="21" customHeight="1" spans="1:13">
      <c r="A1049" s="5" t="s">
        <v>9</v>
      </c>
      <c r="B1049" s="6" t="s">
        <v>89</v>
      </c>
      <c r="C1049" s="6" t="s">
        <v>157</v>
      </c>
      <c r="D1049" s="6" t="s">
        <v>155</v>
      </c>
      <c r="E1049" s="6" t="s">
        <v>807</v>
      </c>
      <c r="F1049" s="6" t="s">
        <v>1821</v>
      </c>
      <c r="G1049" s="6">
        <v>61.59</v>
      </c>
      <c r="H1049" s="6">
        <v>63.94</v>
      </c>
      <c r="I1049" s="6">
        <v>119</v>
      </c>
      <c r="J1049" s="6">
        <v>2500</v>
      </c>
      <c r="K1049" s="7">
        <f>(J1049-M1049)*税费参数!$B$12/(I1049*10000*(1+SUM(税费参数!$B$6:$B$8)))</f>
        <v>0.0185311412700673</v>
      </c>
      <c r="L1049" s="7">
        <f>J1049*税费参数!$B$12/(I1049*10000)</f>
        <v>0.0210084033613445</v>
      </c>
      <c r="M1049" s="6">
        <f>I1049*10000*SUM(税费参数!$B$9:$B$10)/税费参数!$B$11</f>
        <v>223.125</v>
      </c>
    </row>
    <row r="1050" ht="21" customHeight="1" spans="1:13">
      <c r="A1050" s="5" t="s">
        <v>9</v>
      </c>
      <c r="B1050" s="6" t="s">
        <v>89</v>
      </c>
      <c r="C1050" s="6" t="s">
        <v>157</v>
      </c>
      <c r="D1050" s="6" t="s">
        <v>155</v>
      </c>
      <c r="E1050" s="6" t="s">
        <v>807</v>
      </c>
      <c r="F1050" s="6" t="s">
        <v>1822</v>
      </c>
      <c r="G1050" s="6">
        <v>61.59</v>
      </c>
      <c r="H1050" s="6">
        <v>70.16</v>
      </c>
      <c r="I1050" s="6">
        <v>119</v>
      </c>
      <c r="J1050" s="6">
        <v>2700</v>
      </c>
      <c r="K1050" s="7">
        <f>(J1050-M1050)*税费参数!$B$12/(I1050*10000*(1+SUM(税费参数!$B$6:$B$8)))</f>
        <v>0.0201589110220359</v>
      </c>
      <c r="L1050" s="7">
        <f>J1050*税费参数!$B$12/(I1050*10000)</f>
        <v>0.0226890756302521</v>
      </c>
      <c r="M1050" s="6">
        <f>I1050*10000*SUM(税费参数!$B$9:$B$10)/税费参数!$B$11</f>
        <v>223.125</v>
      </c>
    </row>
    <row r="1051" ht="21" customHeight="1" spans="1:13">
      <c r="A1051" s="5" t="s">
        <v>9</v>
      </c>
      <c r="B1051" s="6" t="s">
        <v>89</v>
      </c>
      <c r="C1051" s="6" t="s">
        <v>157</v>
      </c>
      <c r="D1051" s="6" t="s">
        <v>155</v>
      </c>
      <c r="E1051" s="6" t="s">
        <v>807</v>
      </c>
      <c r="F1051" s="6" t="s">
        <v>1823</v>
      </c>
      <c r="G1051" s="6">
        <v>61.59</v>
      </c>
      <c r="H1051" s="6">
        <v>68.51</v>
      </c>
      <c r="I1051" s="6">
        <v>119</v>
      </c>
      <c r="J1051" s="6">
        <v>2695</v>
      </c>
      <c r="K1051" s="7">
        <f>(J1051-M1051)*税费参数!$B$12/(I1051*10000*(1+SUM(税费参数!$B$6:$B$8)))</f>
        <v>0.0201182167782367</v>
      </c>
      <c r="L1051" s="7">
        <f>J1051*税费参数!$B$12/(I1051*10000)</f>
        <v>0.0226470588235294</v>
      </c>
      <c r="M1051" s="6">
        <f>I1051*10000*SUM(税费参数!$B$9:$B$10)/税费参数!$B$11</f>
        <v>223.125</v>
      </c>
    </row>
    <row r="1052" ht="21" customHeight="1" spans="1:13">
      <c r="A1052" s="5" t="s">
        <v>9</v>
      </c>
      <c r="B1052" s="6" t="s">
        <v>89</v>
      </c>
      <c r="C1052" s="6" t="s">
        <v>157</v>
      </c>
      <c r="D1052" s="6" t="s">
        <v>155</v>
      </c>
      <c r="E1052" s="6" t="s">
        <v>807</v>
      </c>
      <c r="F1052" s="6" t="s">
        <v>1824</v>
      </c>
      <c r="G1052" s="6">
        <v>61.59</v>
      </c>
      <c r="H1052" s="6">
        <v>66.4</v>
      </c>
      <c r="I1052" s="6">
        <v>119</v>
      </c>
      <c r="J1052" s="6">
        <v>3000</v>
      </c>
      <c r="K1052" s="7">
        <f>(J1052-M1052)*税费参数!$B$12/(I1052*10000*(1+SUM(税费参数!$B$6:$B$8)))</f>
        <v>0.0226005656499888</v>
      </c>
      <c r="L1052" s="7">
        <f>J1052*税费参数!$B$12/(I1052*10000)</f>
        <v>0.0252100840336134</v>
      </c>
      <c r="M1052" s="6">
        <f>I1052*10000*SUM(税费参数!$B$9:$B$10)/税费参数!$B$11</f>
        <v>223.125</v>
      </c>
    </row>
    <row r="1053" ht="21" customHeight="1" spans="1:13">
      <c r="A1053" s="5" t="s">
        <v>9</v>
      </c>
      <c r="B1053" s="6" t="s">
        <v>89</v>
      </c>
      <c r="C1053" s="6" t="s">
        <v>157</v>
      </c>
      <c r="D1053" s="6" t="s">
        <v>155</v>
      </c>
      <c r="E1053" s="6" t="s">
        <v>807</v>
      </c>
      <c r="F1053" s="6" t="s">
        <v>1825</v>
      </c>
      <c r="G1053" s="6">
        <v>61.59</v>
      </c>
      <c r="H1053" s="6">
        <v>60.83</v>
      </c>
      <c r="I1053" s="6">
        <v>119</v>
      </c>
      <c r="J1053" s="6">
        <v>2700</v>
      </c>
      <c r="K1053" s="7">
        <f>(J1053-M1053)*税费参数!$B$12/(I1053*10000*(1+SUM(税费参数!$B$6:$B$8)))</f>
        <v>0.0201589110220359</v>
      </c>
      <c r="L1053" s="7">
        <f>J1053*税费参数!$B$12/(I1053*10000)</f>
        <v>0.0226890756302521</v>
      </c>
      <c r="M1053" s="6">
        <f>I1053*10000*SUM(税费参数!$B$9:$B$10)/税费参数!$B$11</f>
        <v>223.125</v>
      </c>
    </row>
    <row r="1054" ht="21" customHeight="1" spans="1:13">
      <c r="A1054" s="5" t="s">
        <v>9</v>
      </c>
      <c r="B1054" s="6" t="s">
        <v>89</v>
      </c>
      <c r="C1054" s="6" t="s">
        <v>157</v>
      </c>
      <c r="D1054" s="6" t="s">
        <v>155</v>
      </c>
      <c r="E1054" s="6" t="s">
        <v>807</v>
      </c>
      <c r="F1054" s="6" t="s">
        <v>1826</v>
      </c>
      <c r="G1054" s="6">
        <v>61.59</v>
      </c>
      <c r="H1054" s="6">
        <v>67.46</v>
      </c>
      <c r="I1054" s="6">
        <v>119</v>
      </c>
      <c r="J1054" s="6">
        <v>2700</v>
      </c>
      <c r="K1054" s="7">
        <f>(J1054-M1054)*税费参数!$B$12/(I1054*10000*(1+SUM(税费参数!$B$6:$B$8)))</f>
        <v>0.0201589110220359</v>
      </c>
      <c r="L1054" s="7">
        <f>J1054*税费参数!$B$12/(I1054*10000)</f>
        <v>0.0226890756302521</v>
      </c>
      <c r="M1054" s="6">
        <f>I1054*10000*SUM(税费参数!$B$9:$B$10)/税费参数!$B$11</f>
        <v>223.125</v>
      </c>
    </row>
    <row r="1055" ht="21" customHeight="1" spans="1:13">
      <c r="A1055" s="5" t="s">
        <v>9</v>
      </c>
      <c r="B1055" s="6" t="s">
        <v>89</v>
      </c>
      <c r="C1055" s="6" t="s">
        <v>157</v>
      </c>
      <c r="D1055" s="6" t="s">
        <v>155</v>
      </c>
      <c r="E1055" s="6" t="s">
        <v>807</v>
      </c>
      <c r="F1055" s="6" t="s">
        <v>1827</v>
      </c>
      <c r="G1055" s="6">
        <v>61.59</v>
      </c>
      <c r="H1055" s="6">
        <v>60.83</v>
      </c>
      <c r="I1055" s="6">
        <v>119</v>
      </c>
      <c r="J1055" s="6">
        <v>2800</v>
      </c>
      <c r="K1055" s="7">
        <f>(J1055-M1055)*税费参数!$B$12/(I1055*10000*(1+SUM(税费参数!$B$6:$B$8)))</f>
        <v>0.0209727958980202</v>
      </c>
      <c r="L1055" s="7">
        <f>J1055*税费参数!$B$12/(I1055*10000)</f>
        <v>0.0235294117647059</v>
      </c>
      <c r="M1055" s="6">
        <f>I1055*10000*SUM(税费参数!$B$9:$B$10)/税费参数!$B$11</f>
        <v>223.125</v>
      </c>
    </row>
    <row r="1056" ht="21" customHeight="1" spans="1:13">
      <c r="A1056" s="5" t="s">
        <v>9</v>
      </c>
      <c r="B1056" s="6" t="s">
        <v>89</v>
      </c>
      <c r="C1056" s="6" t="s">
        <v>157</v>
      </c>
      <c r="D1056" s="6" t="s">
        <v>155</v>
      </c>
      <c r="E1056" s="6" t="s">
        <v>807</v>
      </c>
      <c r="F1056" s="6" t="s">
        <v>1828</v>
      </c>
      <c r="G1056" s="6">
        <v>61.59</v>
      </c>
      <c r="H1056" s="6">
        <v>64.14</v>
      </c>
      <c r="I1056" s="6">
        <v>119</v>
      </c>
      <c r="J1056" s="6">
        <v>3000</v>
      </c>
      <c r="K1056" s="7">
        <f>(J1056-M1056)*税费参数!$B$12/(I1056*10000*(1+SUM(税费参数!$B$6:$B$8)))</f>
        <v>0.0226005656499888</v>
      </c>
      <c r="L1056" s="7">
        <f>J1056*税费参数!$B$12/(I1056*10000)</f>
        <v>0.0252100840336134</v>
      </c>
      <c r="M1056" s="6">
        <f>I1056*10000*SUM(税费参数!$B$9:$B$10)/税费参数!$B$11</f>
        <v>223.125</v>
      </c>
    </row>
    <row r="1057" ht="21" customHeight="1" spans="1:13">
      <c r="A1057" s="5" t="s">
        <v>9</v>
      </c>
      <c r="B1057" s="6" t="s">
        <v>89</v>
      </c>
      <c r="C1057" s="6" t="s">
        <v>157</v>
      </c>
      <c r="D1057" s="6" t="s">
        <v>155</v>
      </c>
      <c r="E1057" s="6" t="s">
        <v>807</v>
      </c>
      <c r="F1057" s="6" t="s">
        <v>1829</v>
      </c>
      <c r="G1057" s="6">
        <v>61.59</v>
      </c>
      <c r="H1057" s="6">
        <v>65.61</v>
      </c>
      <c r="I1057" s="6">
        <v>119</v>
      </c>
      <c r="J1057" s="6">
        <v>3000</v>
      </c>
      <c r="K1057" s="7">
        <f>(J1057-M1057)*税费参数!$B$12/(I1057*10000*(1+SUM(税费参数!$B$6:$B$8)))</f>
        <v>0.0226005656499888</v>
      </c>
      <c r="L1057" s="7">
        <f>J1057*税费参数!$B$12/(I1057*10000)</f>
        <v>0.0252100840336134</v>
      </c>
      <c r="M1057" s="6">
        <f>I1057*10000*SUM(税费参数!$B$9:$B$10)/税费参数!$B$11</f>
        <v>223.125</v>
      </c>
    </row>
    <row r="1058" ht="21" customHeight="1" spans="1:13">
      <c r="A1058" s="5" t="s">
        <v>9</v>
      </c>
      <c r="B1058" s="6" t="s">
        <v>89</v>
      </c>
      <c r="C1058" s="6" t="s">
        <v>157</v>
      </c>
      <c r="D1058" s="6" t="s">
        <v>155</v>
      </c>
      <c r="E1058" s="6" t="s">
        <v>809</v>
      </c>
      <c r="F1058" s="6" t="s">
        <v>1830</v>
      </c>
      <c r="G1058" s="6">
        <v>66.17</v>
      </c>
      <c r="H1058" s="6">
        <v>75</v>
      </c>
      <c r="I1058" s="6">
        <v>112</v>
      </c>
      <c r="J1058" s="6">
        <v>2300</v>
      </c>
      <c r="K1058" s="7">
        <f>(J1058-M1058)*税费参数!$B$12/(I1058*10000*(1+SUM(税费参数!$B$6:$B$8)))</f>
        <v>0.0180733310273262</v>
      </c>
      <c r="L1058" s="7">
        <f>J1058*税费参数!$B$12/(I1058*10000)</f>
        <v>0.0205357142857143</v>
      </c>
      <c r="M1058" s="6">
        <f>I1058*10000*SUM(税费参数!$B$9:$B$10)/税费参数!$B$11</f>
        <v>210</v>
      </c>
    </row>
    <row r="1059" ht="21" customHeight="1" spans="1:13">
      <c r="A1059" s="5" t="s">
        <v>9</v>
      </c>
      <c r="B1059" s="6" t="s">
        <v>89</v>
      </c>
      <c r="C1059" s="6" t="s">
        <v>157</v>
      </c>
      <c r="D1059" s="6" t="s">
        <v>155</v>
      </c>
      <c r="E1059" s="6" t="s">
        <v>809</v>
      </c>
      <c r="F1059" s="6" t="s">
        <v>1819</v>
      </c>
      <c r="G1059" s="6">
        <v>66.17</v>
      </c>
      <c r="H1059" s="6">
        <v>60.83</v>
      </c>
      <c r="I1059" s="6">
        <v>112</v>
      </c>
      <c r="J1059" s="6">
        <v>2400</v>
      </c>
      <c r="K1059" s="7">
        <f>(J1059-M1059)*税费参数!$B$12/(I1059*10000*(1+SUM(税费参数!$B$6:$B$8)))</f>
        <v>0.0189380837080595</v>
      </c>
      <c r="L1059" s="7">
        <f>J1059*税费参数!$B$12/(I1059*10000)</f>
        <v>0.0214285714285714</v>
      </c>
      <c r="M1059" s="6">
        <f>I1059*10000*SUM(税费参数!$B$9:$B$10)/税费参数!$B$11</f>
        <v>210</v>
      </c>
    </row>
    <row r="1060" ht="21" customHeight="1" spans="1:13">
      <c r="A1060" s="5" t="s">
        <v>9</v>
      </c>
      <c r="B1060" s="6" t="s">
        <v>89</v>
      </c>
      <c r="C1060" s="6" t="s">
        <v>157</v>
      </c>
      <c r="D1060" s="6" t="s">
        <v>155</v>
      </c>
      <c r="E1060" s="6" t="s">
        <v>809</v>
      </c>
      <c r="F1060" s="6" t="s">
        <v>1820</v>
      </c>
      <c r="G1060" s="6">
        <v>66.17</v>
      </c>
      <c r="H1060" s="6">
        <v>68.49</v>
      </c>
      <c r="I1060" s="6">
        <v>112</v>
      </c>
      <c r="J1060" s="6">
        <v>3000</v>
      </c>
      <c r="K1060" s="7">
        <f>(J1060-M1060)*税费参数!$B$12/(I1060*10000*(1+SUM(税费参数!$B$6:$B$8)))</f>
        <v>0.0241265997924594</v>
      </c>
      <c r="L1060" s="7">
        <f>J1060*税费参数!$B$12/(I1060*10000)</f>
        <v>0.0267857142857143</v>
      </c>
      <c r="M1060" s="6">
        <f>I1060*10000*SUM(税费参数!$B$9:$B$10)/税费参数!$B$11</f>
        <v>210</v>
      </c>
    </row>
    <row r="1061" ht="21" customHeight="1" spans="1:13">
      <c r="A1061" s="5" t="s">
        <v>9</v>
      </c>
      <c r="B1061" s="6" t="s">
        <v>89</v>
      </c>
      <c r="C1061" s="6" t="s">
        <v>157</v>
      </c>
      <c r="D1061" s="6" t="s">
        <v>155</v>
      </c>
      <c r="E1061" s="6" t="s">
        <v>809</v>
      </c>
      <c r="F1061" s="6" t="s">
        <v>1821</v>
      </c>
      <c r="G1061" s="6">
        <v>66.17</v>
      </c>
      <c r="H1061" s="6">
        <v>63.94</v>
      </c>
      <c r="I1061" s="6">
        <v>112</v>
      </c>
      <c r="J1061" s="6">
        <v>2500</v>
      </c>
      <c r="K1061" s="7">
        <f>(J1061-M1061)*税费参数!$B$12/(I1061*10000*(1+SUM(税费参数!$B$6:$B$8)))</f>
        <v>0.0198028363887928</v>
      </c>
      <c r="L1061" s="7">
        <f>J1061*税费参数!$B$12/(I1061*10000)</f>
        <v>0.0223214285714286</v>
      </c>
      <c r="M1061" s="6">
        <f>I1061*10000*SUM(税费参数!$B$9:$B$10)/税费参数!$B$11</f>
        <v>210</v>
      </c>
    </row>
    <row r="1062" ht="21" customHeight="1" spans="1:13">
      <c r="A1062" s="5" t="s">
        <v>9</v>
      </c>
      <c r="B1062" s="6" t="s">
        <v>89</v>
      </c>
      <c r="C1062" s="6" t="s">
        <v>157</v>
      </c>
      <c r="D1062" s="6" t="s">
        <v>155</v>
      </c>
      <c r="E1062" s="6" t="s">
        <v>809</v>
      </c>
      <c r="F1062" s="6" t="s">
        <v>1822</v>
      </c>
      <c r="G1062" s="6">
        <v>66.17</v>
      </c>
      <c r="H1062" s="6">
        <v>70.16</v>
      </c>
      <c r="I1062" s="6">
        <v>112</v>
      </c>
      <c r="J1062" s="6">
        <v>2700</v>
      </c>
      <c r="K1062" s="7">
        <f>(J1062-M1062)*税费参数!$B$12/(I1062*10000*(1+SUM(税费参数!$B$6:$B$8)))</f>
        <v>0.0215323417502594</v>
      </c>
      <c r="L1062" s="7">
        <f>J1062*税费参数!$B$12/(I1062*10000)</f>
        <v>0.0241071428571429</v>
      </c>
      <c r="M1062" s="6">
        <f>I1062*10000*SUM(税费参数!$B$9:$B$10)/税费参数!$B$11</f>
        <v>210</v>
      </c>
    </row>
    <row r="1063" ht="21" customHeight="1" spans="1:13">
      <c r="A1063" s="5" t="s">
        <v>9</v>
      </c>
      <c r="B1063" s="6" t="s">
        <v>89</v>
      </c>
      <c r="C1063" s="6" t="s">
        <v>157</v>
      </c>
      <c r="D1063" s="6" t="s">
        <v>155</v>
      </c>
      <c r="E1063" s="6" t="s">
        <v>809</v>
      </c>
      <c r="F1063" s="6" t="s">
        <v>1823</v>
      </c>
      <c r="G1063" s="6">
        <v>66.17</v>
      </c>
      <c r="H1063" s="6">
        <v>68.51</v>
      </c>
      <c r="I1063" s="6">
        <v>112</v>
      </c>
      <c r="J1063" s="6">
        <v>2695</v>
      </c>
      <c r="K1063" s="7">
        <f>(J1063-M1063)*税费参数!$B$12/(I1063*10000*(1+SUM(税费参数!$B$6:$B$8)))</f>
        <v>0.0214891041162228</v>
      </c>
      <c r="L1063" s="7">
        <f>J1063*税费参数!$B$12/(I1063*10000)</f>
        <v>0.0240625</v>
      </c>
      <c r="M1063" s="6">
        <f>I1063*10000*SUM(税费参数!$B$9:$B$10)/税费参数!$B$11</f>
        <v>210</v>
      </c>
    </row>
    <row r="1064" ht="21" customHeight="1" spans="1:13">
      <c r="A1064" s="5" t="s">
        <v>9</v>
      </c>
      <c r="B1064" s="6" t="s">
        <v>89</v>
      </c>
      <c r="C1064" s="6" t="s">
        <v>157</v>
      </c>
      <c r="D1064" s="6" t="s">
        <v>155</v>
      </c>
      <c r="E1064" s="6" t="s">
        <v>809</v>
      </c>
      <c r="F1064" s="6" t="s">
        <v>1831</v>
      </c>
      <c r="G1064" s="6">
        <v>66.17</v>
      </c>
      <c r="H1064" s="6">
        <v>71.89</v>
      </c>
      <c r="I1064" s="6">
        <v>112</v>
      </c>
      <c r="J1064" s="6">
        <v>3100</v>
      </c>
      <c r="K1064" s="7">
        <f>(J1064-M1064)*税费参数!$B$12/(I1064*10000*(1+SUM(税费参数!$B$6:$B$8)))</f>
        <v>0.0249913524731927</v>
      </c>
      <c r="L1064" s="7">
        <f>J1064*税费参数!$B$12/(I1064*10000)</f>
        <v>0.0276785714285714</v>
      </c>
      <c r="M1064" s="6">
        <f>I1064*10000*SUM(税费参数!$B$9:$B$10)/税费参数!$B$11</f>
        <v>210</v>
      </c>
    </row>
    <row r="1065" ht="21" customHeight="1" spans="1:13">
      <c r="A1065" s="5" t="s">
        <v>9</v>
      </c>
      <c r="B1065" s="6" t="s">
        <v>89</v>
      </c>
      <c r="C1065" s="6" t="s">
        <v>157</v>
      </c>
      <c r="D1065" s="6" t="s">
        <v>155</v>
      </c>
      <c r="E1065" s="6" t="s">
        <v>809</v>
      </c>
      <c r="F1065" s="6" t="s">
        <v>1824</v>
      </c>
      <c r="G1065" s="6">
        <v>66.17</v>
      </c>
      <c r="H1065" s="6">
        <v>66.4</v>
      </c>
      <c r="I1065" s="6">
        <v>112</v>
      </c>
      <c r="J1065" s="6">
        <v>3000</v>
      </c>
      <c r="K1065" s="7">
        <f>(J1065-M1065)*税费参数!$B$12/(I1065*10000*(1+SUM(税费参数!$B$6:$B$8)))</f>
        <v>0.0241265997924594</v>
      </c>
      <c r="L1065" s="7">
        <f>J1065*税费参数!$B$12/(I1065*10000)</f>
        <v>0.0267857142857143</v>
      </c>
      <c r="M1065" s="6">
        <f>I1065*10000*SUM(税费参数!$B$9:$B$10)/税费参数!$B$11</f>
        <v>210</v>
      </c>
    </row>
    <row r="1066" ht="21" customHeight="1" spans="1:13">
      <c r="A1066" s="5" t="s">
        <v>9</v>
      </c>
      <c r="B1066" s="6" t="s">
        <v>89</v>
      </c>
      <c r="C1066" s="6" t="s">
        <v>157</v>
      </c>
      <c r="D1066" s="6" t="s">
        <v>155</v>
      </c>
      <c r="E1066" s="6" t="s">
        <v>809</v>
      </c>
      <c r="F1066" s="6" t="s">
        <v>1825</v>
      </c>
      <c r="G1066" s="6">
        <v>66.17</v>
      </c>
      <c r="H1066" s="6">
        <v>60.83</v>
      </c>
      <c r="I1066" s="6">
        <v>112</v>
      </c>
      <c r="J1066" s="6">
        <v>2700</v>
      </c>
      <c r="K1066" s="7">
        <f>(J1066-M1066)*税费参数!$B$12/(I1066*10000*(1+SUM(税费参数!$B$6:$B$8)))</f>
        <v>0.0215323417502594</v>
      </c>
      <c r="L1066" s="7">
        <f>J1066*税费参数!$B$12/(I1066*10000)</f>
        <v>0.0241071428571429</v>
      </c>
      <c r="M1066" s="6">
        <f>I1066*10000*SUM(税费参数!$B$9:$B$10)/税费参数!$B$11</f>
        <v>210</v>
      </c>
    </row>
    <row r="1067" ht="21" customHeight="1" spans="1:13">
      <c r="A1067" s="5" t="s">
        <v>9</v>
      </c>
      <c r="B1067" s="6" t="s">
        <v>89</v>
      </c>
      <c r="C1067" s="6" t="s">
        <v>157</v>
      </c>
      <c r="D1067" s="6" t="s">
        <v>155</v>
      </c>
      <c r="E1067" s="6" t="s">
        <v>809</v>
      </c>
      <c r="F1067" s="6" t="s">
        <v>1826</v>
      </c>
      <c r="G1067" s="6">
        <v>66.17</v>
      </c>
      <c r="H1067" s="6">
        <v>67.46</v>
      </c>
      <c r="I1067" s="6">
        <v>112</v>
      </c>
      <c r="J1067" s="6">
        <v>2700</v>
      </c>
      <c r="K1067" s="7">
        <f>(J1067-M1067)*税费参数!$B$12/(I1067*10000*(1+SUM(税费参数!$B$6:$B$8)))</f>
        <v>0.0215323417502594</v>
      </c>
      <c r="L1067" s="7">
        <f>J1067*税费参数!$B$12/(I1067*10000)</f>
        <v>0.0241071428571429</v>
      </c>
      <c r="M1067" s="6">
        <f>I1067*10000*SUM(税费参数!$B$9:$B$10)/税费参数!$B$11</f>
        <v>210</v>
      </c>
    </row>
    <row r="1068" ht="21" customHeight="1" spans="1:13">
      <c r="A1068" s="5" t="s">
        <v>9</v>
      </c>
      <c r="B1068" s="6" t="s">
        <v>89</v>
      </c>
      <c r="C1068" s="6" t="s">
        <v>157</v>
      </c>
      <c r="D1068" s="6" t="s">
        <v>155</v>
      </c>
      <c r="E1068" s="6" t="s">
        <v>809</v>
      </c>
      <c r="F1068" s="6" t="s">
        <v>1832</v>
      </c>
      <c r="G1068" s="6">
        <v>66.17</v>
      </c>
      <c r="H1068" s="6">
        <v>75.83</v>
      </c>
      <c r="I1068" s="6">
        <v>112</v>
      </c>
      <c r="J1068" s="6">
        <v>2800</v>
      </c>
      <c r="K1068" s="7">
        <f>(J1068-M1068)*税费参数!$B$12/(I1068*10000*(1+SUM(税费参数!$B$6:$B$8)))</f>
        <v>0.0223970944309927</v>
      </c>
      <c r="L1068" s="7">
        <f>J1068*税费参数!$B$12/(I1068*10000)</f>
        <v>0.025</v>
      </c>
      <c r="M1068" s="6">
        <f>I1068*10000*SUM(税费参数!$B$9:$B$10)/税费参数!$B$11</f>
        <v>210</v>
      </c>
    </row>
    <row r="1069" ht="21" customHeight="1" spans="1:13">
      <c r="A1069" s="5" t="s">
        <v>9</v>
      </c>
      <c r="B1069" s="6" t="s">
        <v>89</v>
      </c>
      <c r="C1069" s="6" t="s">
        <v>157</v>
      </c>
      <c r="D1069" s="6" t="s">
        <v>155</v>
      </c>
      <c r="E1069" s="6" t="s">
        <v>809</v>
      </c>
      <c r="F1069" s="6" t="s">
        <v>1827</v>
      </c>
      <c r="G1069" s="6">
        <v>66.17</v>
      </c>
      <c r="H1069" s="6">
        <v>60.83</v>
      </c>
      <c r="I1069" s="6">
        <v>112</v>
      </c>
      <c r="J1069" s="6">
        <v>2800</v>
      </c>
      <c r="K1069" s="7">
        <f>(J1069-M1069)*税费参数!$B$12/(I1069*10000*(1+SUM(税费参数!$B$6:$B$8)))</f>
        <v>0.0223970944309927</v>
      </c>
      <c r="L1069" s="7">
        <f>J1069*税费参数!$B$12/(I1069*10000)</f>
        <v>0.025</v>
      </c>
      <c r="M1069" s="6">
        <f>I1069*10000*SUM(税费参数!$B$9:$B$10)/税费参数!$B$11</f>
        <v>210</v>
      </c>
    </row>
    <row r="1070" ht="21" customHeight="1" spans="1:13">
      <c r="A1070" s="5" t="s">
        <v>9</v>
      </c>
      <c r="B1070" s="6" t="s">
        <v>89</v>
      </c>
      <c r="C1070" s="6" t="s">
        <v>157</v>
      </c>
      <c r="D1070" s="6" t="s">
        <v>155</v>
      </c>
      <c r="E1070" s="6" t="s">
        <v>809</v>
      </c>
      <c r="F1070" s="6" t="s">
        <v>1828</v>
      </c>
      <c r="G1070" s="6">
        <v>66.17</v>
      </c>
      <c r="H1070" s="6">
        <v>64.14</v>
      </c>
      <c r="I1070" s="6">
        <v>112</v>
      </c>
      <c r="J1070" s="6">
        <v>3000</v>
      </c>
      <c r="K1070" s="7">
        <f>(J1070-M1070)*税费参数!$B$12/(I1070*10000*(1+SUM(税费参数!$B$6:$B$8)))</f>
        <v>0.0241265997924594</v>
      </c>
      <c r="L1070" s="7">
        <f>J1070*税费参数!$B$12/(I1070*10000)</f>
        <v>0.0267857142857143</v>
      </c>
      <c r="M1070" s="6">
        <f>I1070*10000*SUM(税费参数!$B$9:$B$10)/税费参数!$B$11</f>
        <v>210</v>
      </c>
    </row>
    <row r="1071" ht="21" customHeight="1" spans="1:13">
      <c r="A1071" s="5" t="s">
        <v>9</v>
      </c>
      <c r="B1071" s="6" t="s">
        <v>89</v>
      </c>
      <c r="C1071" s="6" t="s">
        <v>157</v>
      </c>
      <c r="D1071" s="6" t="s">
        <v>155</v>
      </c>
      <c r="E1071" s="6" t="s">
        <v>809</v>
      </c>
      <c r="F1071" s="6" t="s">
        <v>1829</v>
      </c>
      <c r="G1071" s="6">
        <v>66.17</v>
      </c>
      <c r="H1071" s="6">
        <v>65.61</v>
      </c>
      <c r="I1071" s="6">
        <v>112</v>
      </c>
      <c r="J1071" s="6">
        <v>3000</v>
      </c>
      <c r="K1071" s="7">
        <f>(J1071-M1071)*税费参数!$B$12/(I1071*10000*(1+SUM(税费参数!$B$6:$B$8)))</f>
        <v>0.0241265997924594</v>
      </c>
      <c r="L1071" s="7">
        <f>J1071*税费参数!$B$12/(I1071*10000)</f>
        <v>0.0267857142857143</v>
      </c>
      <c r="M1071" s="6">
        <f>I1071*10000*SUM(税费参数!$B$9:$B$10)/税费参数!$B$11</f>
        <v>210</v>
      </c>
    </row>
    <row r="1072" ht="21" customHeight="1" spans="1:13">
      <c r="A1072" s="5" t="s">
        <v>9</v>
      </c>
      <c r="B1072" s="6" t="s">
        <v>89</v>
      </c>
      <c r="C1072" s="6" t="s">
        <v>157</v>
      </c>
      <c r="D1072" s="6" t="s">
        <v>155</v>
      </c>
      <c r="E1072" s="6" t="s">
        <v>809</v>
      </c>
      <c r="F1072" s="6" t="s">
        <v>1833</v>
      </c>
      <c r="G1072" s="6">
        <v>66.17</v>
      </c>
      <c r="H1072" s="6">
        <v>75.79</v>
      </c>
      <c r="I1072" s="6">
        <v>112</v>
      </c>
      <c r="J1072" s="6">
        <v>3500</v>
      </c>
      <c r="K1072" s="7">
        <f>(J1072-M1072)*税费参数!$B$12/(I1072*10000*(1+SUM(税费参数!$B$6:$B$8)))</f>
        <v>0.0284503631961259</v>
      </c>
      <c r="L1072" s="7">
        <f>J1072*税费参数!$B$12/(I1072*10000)</f>
        <v>0.03125</v>
      </c>
      <c r="M1072" s="6">
        <f>I1072*10000*SUM(税费参数!$B$9:$B$10)/税费参数!$B$11</f>
        <v>210</v>
      </c>
    </row>
    <row r="1073" ht="21" customHeight="1" spans="1:13">
      <c r="A1073" s="5" t="s">
        <v>9</v>
      </c>
      <c r="B1073" s="6" t="s">
        <v>89</v>
      </c>
      <c r="C1073" s="6" t="s">
        <v>157</v>
      </c>
      <c r="D1073" s="6" t="s">
        <v>155</v>
      </c>
      <c r="E1073" s="6" t="s">
        <v>811</v>
      </c>
      <c r="F1073" s="6" t="s">
        <v>1819</v>
      </c>
      <c r="G1073" s="6">
        <v>60.83</v>
      </c>
      <c r="H1073" s="6">
        <v>60.83</v>
      </c>
      <c r="I1073" s="6">
        <v>102</v>
      </c>
      <c r="J1073" s="6">
        <v>2400</v>
      </c>
      <c r="K1073" s="7">
        <f>(J1073-M1073)*税费参数!$B$12/(I1073*10000*(1+SUM(税费参数!$B$6:$B$8)))</f>
        <v>0.0209727958980202</v>
      </c>
      <c r="L1073" s="7">
        <f>J1073*税费参数!$B$12/(I1073*10000)</f>
        <v>0.0235294117647059</v>
      </c>
      <c r="M1073" s="6">
        <f>I1073*10000*SUM(税费参数!$B$9:$B$10)/税费参数!$B$11</f>
        <v>191.25</v>
      </c>
    </row>
    <row r="1074" ht="21" customHeight="1" spans="1:13">
      <c r="A1074" s="5" t="s">
        <v>9</v>
      </c>
      <c r="B1074" s="6" t="s">
        <v>89</v>
      </c>
      <c r="C1074" s="6" t="s">
        <v>157</v>
      </c>
      <c r="D1074" s="6" t="s">
        <v>155</v>
      </c>
      <c r="E1074" s="6" t="s">
        <v>811</v>
      </c>
      <c r="F1074" s="6" t="s">
        <v>1820</v>
      </c>
      <c r="G1074" s="6">
        <v>60.83</v>
      </c>
      <c r="H1074" s="6">
        <v>68.49</v>
      </c>
      <c r="I1074" s="6">
        <v>102</v>
      </c>
      <c r="J1074" s="6">
        <v>3000</v>
      </c>
      <c r="K1074" s="7">
        <f>(J1074-M1074)*税费参数!$B$12/(I1074*10000*(1+SUM(税费参数!$B$6:$B$8)))</f>
        <v>0.0266699900299103</v>
      </c>
      <c r="L1074" s="7">
        <f>J1074*税费参数!$B$12/(I1074*10000)</f>
        <v>0.0294117647058824</v>
      </c>
      <c r="M1074" s="6">
        <f>I1074*10000*SUM(税费参数!$B$9:$B$10)/税费参数!$B$11</f>
        <v>191.25</v>
      </c>
    </row>
    <row r="1075" ht="21" customHeight="1" spans="1:13">
      <c r="A1075" s="5" t="s">
        <v>9</v>
      </c>
      <c r="B1075" s="6" t="s">
        <v>89</v>
      </c>
      <c r="C1075" s="6" t="s">
        <v>157</v>
      </c>
      <c r="D1075" s="6" t="s">
        <v>155</v>
      </c>
      <c r="E1075" s="6" t="s">
        <v>811</v>
      </c>
      <c r="F1075" s="6" t="s">
        <v>1821</v>
      </c>
      <c r="G1075" s="6">
        <v>60.83</v>
      </c>
      <c r="H1075" s="6">
        <v>63.94</v>
      </c>
      <c r="I1075" s="6">
        <v>102</v>
      </c>
      <c r="J1075" s="6">
        <v>2500</v>
      </c>
      <c r="K1075" s="7">
        <f>(J1075-M1075)*税费参数!$B$12/(I1075*10000*(1+SUM(税费参数!$B$6:$B$8)))</f>
        <v>0.0219223282533352</v>
      </c>
      <c r="L1075" s="7">
        <f>J1075*税费参数!$B$12/(I1075*10000)</f>
        <v>0.0245098039215686</v>
      </c>
      <c r="M1075" s="6">
        <f>I1075*10000*SUM(税费参数!$B$9:$B$10)/税费参数!$B$11</f>
        <v>191.25</v>
      </c>
    </row>
    <row r="1076" ht="21" customHeight="1" spans="1:13">
      <c r="A1076" s="5" t="s">
        <v>9</v>
      </c>
      <c r="B1076" s="6" t="s">
        <v>89</v>
      </c>
      <c r="C1076" s="6" t="s">
        <v>157</v>
      </c>
      <c r="D1076" s="6" t="s">
        <v>155</v>
      </c>
      <c r="E1076" s="6" t="s">
        <v>811</v>
      </c>
      <c r="F1076" s="6" t="s">
        <v>1823</v>
      </c>
      <c r="G1076" s="6">
        <v>60.83</v>
      </c>
      <c r="H1076" s="6">
        <v>68.51</v>
      </c>
      <c r="I1076" s="6">
        <v>102</v>
      </c>
      <c r="J1076" s="6">
        <v>2695</v>
      </c>
      <c r="K1076" s="7">
        <f>(J1076-M1076)*税费参数!$B$12/(I1076*10000*(1+SUM(税费参数!$B$6:$B$8)))</f>
        <v>0.0237739163461995</v>
      </c>
      <c r="L1076" s="7">
        <f>J1076*税费参数!$B$12/(I1076*10000)</f>
        <v>0.026421568627451</v>
      </c>
      <c r="M1076" s="6">
        <f>I1076*10000*SUM(税费参数!$B$9:$B$10)/税费参数!$B$11</f>
        <v>191.25</v>
      </c>
    </row>
    <row r="1077" ht="21" customHeight="1" spans="1:13">
      <c r="A1077" s="5" t="s">
        <v>9</v>
      </c>
      <c r="B1077" s="6" t="s">
        <v>89</v>
      </c>
      <c r="C1077" s="6" t="s">
        <v>157</v>
      </c>
      <c r="D1077" s="6" t="s">
        <v>155</v>
      </c>
      <c r="E1077" s="6" t="s">
        <v>811</v>
      </c>
      <c r="F1077" s="6" t="s">
        <v>1824</v>
      </c>
      <c r="G1077" s="6">
        <v>60.83</v>
      </c>
      <c r="H1077" s="6">
        <v>66.4</v>
      </c>
      <c r="I1077" s="6">
        <v>102</v>
      </c>
      <c r="J1077" s="6">
        <v>3000</v>
      </c>
      <c r="K1077" s="7">
        <f>(J1077-M1077)*税费参数!$B$12/(I1077*10000*(1+SUM(税费参数!$B$6:$B$8)))</f>
        <v>0.0266699900299103</v>
      </c>
      <c r="L1077" s="7">
        <f>J1077*税费参数!$B$12/(I1077*10000)</f>
        <v>0.0294117647058824</v>
      </c>
      <c r="M1077" s="6">
        <f>I1077*10000*SUM(税费参数!$B$9:$B$10)/税费参数!$B$11</f>
        <v>191.25</v>
      </c>
    </row>
    <row r="1078" ht="21" customHeight="1" spans="1:13">
      <c r="A1078" s="5" t="s">
        <v>9</v>
      </c>
      <c r="B1078" s="6" t="s">
        <v>89</v>
      </c>
      <c r="C1078" s="6" t="s">
        <v>157</v>
      </c>
      <c r="D1078" s="6" t="s">
        <v>155</v>
      </c>
      <c r="E1078" s="6" t="s">
        <v>811</v>
      </c>
      <c r="F1078" s="6" t="s">
        <v>1825</v>
      </c>
      <c r="G1078" s="6">
        <v>60.83</v>
      </c>
      <c r="H1078" s="6">
        <v>60.83</v>
      </c>
      <c r="I1078" s="6">
        <v>102</v>
      </c>
      <c r="J1078" s="6">
        <v>2700</v>
      </c>
      <c r="K1078" s="7">
        <f>(J1078-M1078)*税费参数!$B$12/(I1078*10000*(1+SUM(税费参数!$B$6:$B$8)))</f>
        <v>0.0238213929639652</v>
      </c>
      <c r="L1078" s="7">
        <f>J1078*税费参数!$B$12/(I1078*10000)</f>
        <v>0.0264705882352941</v>
      </c>
      <c r="M1078" s="6">
        <f>I1078*10000*SUM(税费参数!$B$9:$B$10)/税费参数!$B$11</f>
        <v>191.25</v>
      </c>
    </row>
    <row r="1079" ht="21" customHeight="1" spans="1:13">
      <c r="A1079" s="5" t="s">
        <v>9</v>
      </c>
      <c r="B1079" s="6" t="s">
        <v>89</v>
      </c>
      <c r="C1079" s="6" t="s">
        <v>157</v>
      </c>
      <c r="D1079" s="6" t="s">
        <v>155</v>
      </c>
      <c r="E1079" s="6" t="s">
        <v>811</v>
      </c>
      <c r="F1079" s="6" t="s">
        <v>1826</v>
      </c>
      <c r="G1079" s="6">
        <v>60.83</v>
      </c>
      <c r="H1079" s="6">
        <v>67.46</v>
      </c>
      <c r="I1079" s="6">
        <v>102</v>
      </c>
      <c r="J1079" s="6">
        <v>2700</v>
      </c>
      <c r="K1079" s="7">
        <f>(J1079-M1079)*税费参数!$B$12/(I1079*10000*(1+SUM(税费参数!$B$6:$B$8)))</f>
        <v>0.0238213929639652</v>
      </c>
      <c r="L1079" s="7">
        <f>J1079*税费参数!$B$12/(I1079*10000)</f>
        <v>0.0264705882352941</v>
      </c>
      <c r="M1079" s="6">
        <f>I1079*10000*SUM(税费参数!$B$9:$B$10)/税费参数!$B$11</f>
        <v>191.25</v>
      </c>
    </row>
    <row r="1080" ht="21" customHeight="1" spans="1:13">
      <c r="A1080" s="5" t="s">
        <v>9</v>
      </c>
      <c r="B1080" s="6" t="s">
        <v>89</v>
      </c>
      <c r="C1080" s="6" t="s">
        <v>157</v>
      </c>
      <c r="D1080" s="6" t="s">
        <v>155</v>
      </c>
      <c r="E1080" s="6" t="s">
        <v>811</v>
      </c>
      <c r="F1080" s="6" t="s">
        <v>1827</v>
      </c>
      <c r="G1080" s="6">
        <v>60.83</v>
      </c>
      <c r="H1080" s="6">
        <v>60.83</v>
      </c>
      <c r="I1080" s="6">
        <v>102</v>
      </c>
      <c r="J1080" s="6">
        <v>2800</v>
      </c>
      <c r="K1080" s="7">
        <f>(J1080-M1080)*税费参数!$B$12/(I1080*10000*(1+SUM(税费参数!$B$6:$B$8)))</f>
        <v>0.0247709253192803</v>
      </c>
      <c r="L1080" s="7">
        <f>J1080*税费参数!$B$12/(I1080*10000)</f>
        <v>0.0274509803921569</v>
      </c>
      <c r="M1080" s="6">
        <f>I1080*10000*SUM(税费参数!$B$9:$B$10)/税费参数!$B$11</f>
        <v>191.25</v>
      </c>
    </row>
    <row r="1081" ht="21" customHeight="1" spans="1:13">
      <c r="A1081" s="5" t="s">
        <v>9</v>
      </c>
      <c r="B1081" s="6" t="s">
        <v>89</v>
      </c>
      <c r="C1081" s="6" t="s">
        <v>157</v>
      </c>
      <c r="D1081" s="6" t="s">
        <v>155</v>
      </c>
      <c r="E1081" s="6" t="s">
        <v>811</v>
      </c>
      <c r="F1081" s="6" t="s">
        <v>1828</v>
      </c>
      <c r="G1081" s="6">
        <v>60.83</v>
      </c>
      <c r="H1081" s="6">
        <v>64.14</v>
      </c>
      <c r="I1081" s="6">
        <v>102</v>
      </c>
      <c r="J1081" s="6">
        <v>3000</v>
      </c>
      <c r="K1081" s="7">
        <f>(J1081-M1081)*税费参数!$B$12/(I1081*10000*(1+SUM(税费参数!$B$6:$B$8)))</f>
        <v>0.0266699900299103</v>
      </c>
      <c r="L1081" s="7">
        <f>J1081*税费参数!$B$12/(I1081*10000)</f>
        <v>0.0294117647058824</v>
      </c>
      <c r="M1081" s="6">
        <f>I1081*10000*SUM(税费参数!$B$9:$B$10)/税费参数!$B$11</f>
        <v>191.25</v>
      </c>
    </row>
    <row r="1082" ht="21" customHeight="1" spans="1:13">
      <c r="A1082" s="5" t="s">
        <v>9</v>
      </c>
      <c r="B1082" s="6" t="s">
        <v>89</v>
      </c>
      <c r="C1082" s="6" t="s">
        <v>157</v>
      </c>
      <c r="D1082" s="6" t="s">
        <v>155</v>
      </c>
      <c r="E1082" s="6" t="s">
        <v>811</v>
      </c>
      <c r="F1082" s="6" t="s">
        <v>1829</v>
      </c>
      <c r="G1082" s="6">
        <v>60.83</v>
      </c>
      <c r="H1082" s="6">
        <v>65.61</v>
      </c>
      <c r="I1082" s="6">
        <v>102</v>
      </c>
      <c r="J1082" s="6">
        <v>3000</v>
      </c>
      <c r="K1082" s="7">
        <f>(J1082-M1082)*税费参数!$B$12/(I1082*10000*(1+SUM(税费参数!$B$6:$B$8)))</f>
        <v>0.0266699900299103</v>
      </c>
      <c r="L1082" s="7">
        <f>J1082*税费参数!$B$12/(I1082*10000)</f>
        <v>0.0294117647058824</v>
      </c>
      <c r="M1082" s="6">
        <f>I1082*10000*SUM(税费参数!$B$9:$B$10)/税费参数!$B$11</f>
        <v>191.25</v>
      </c>
    </row>
    <row r="1083" ht="21" customHeight="1" spans="1:13">
      <c r="A1083" s="5" t="s">
        <v>9</v>
      </c>
      <c r="B1083" s="6" t="s">
        <v>89</v>
      </c>
      <c r="C1083" s="6" t="s">
        <v>157</v>
      </c>
      <c r="D1083" s="6" t="s">
        <v>155</v>
      </c>
      <c r="E1083" s="6" t="s">
        <v>805</v>
      </c>
      <c r="F1083" s="6" t="s">
        <v>1830</v>
      </c>
      <c r="G1083" s="6">
        <v>70.16</v>
      </c>
      <c r="H1083" s="6">
        <v>75</v>
      </c>
      <c r="I1083" s="6">
        <v>115</v>
      </c>
      <c r="J1083" s="6">
        <v>2300</v>
      </c>
      <c r="K1083" s="7">
        <f>(J1083-M1083)*税费参数!$B$12/(I1083*10000*(1+SUM(税费参数!$B$6:$B$8)))</f>
        <v>0.0175544794188862</v>
      </c>
      <c r="L1083" s="7">
        <f>J1083*税费参数!$B$12/(I1083*10000)</f>
        <v>0.02</v>
      </c>
      <c r="M1083" s="6">
        <f>I1083*10000*SUM(税费参数!$B$9:$B$10)/税费参数!$B$11</f>
        <v>215.625</v>
      </c>
    </row>
    <row r="1084" ht="21" customHeight="1" spans="1:13">
      <c r="A1084" s="5" t="s">
        <v>9</v>
      </c>
      <c r="B1084" s="6" t="s">
        <v>89</v>
      </c>
      <c r="C1084" s="6" t="s">
        <v>157</v>
      </c>
      <c r="D1084" s="6" t="s">
        <v>155</v>
      </c>
      <c r="E1084" s="6" t="s">
        <v>805</v>
      </c>
      <c r="F1084" s="6" t="s">
        <v>1834</v>
      </c>
      <c r="G1084" s="6">
        <v>70.16</v>
      </c>
      <c r="H1084" s="6">
        <v>76.8</v>
      </c>
      <c r="I1084" s="6">
        <v>115</v>
      </c>
      <c r="J1084" s="6">
        <v>2900</v>
      </c>
      <c r="K1084" s="7">
        <f>(J1084-M1084)*税费参数!$B$12/(I1084*10000*(1+SUM(税费参数!$B$6:$B$8)))</f>
        <v>0.02260764290978</v>
      </c>
      <c r="L1084" s="7">
        <f>J1084*税费参数!$B$12/(I1084*10000)</f>
        <v>0.0252173913043478</v>
      </c>
      <c r="M1084" s="6">
        <f>I1084*10000*SUM(税费参数!$B$9:$B$10)/税费参数!$B$11</f>
        <v>215.625</v>
      </c>
    </row>
    <row r="1085" ht="21" customHeight="1" spans="1:13">
      <c r="A1085" s="5" t="s">
        <v>9</v>
      </c>
      <c r="B1085" s="6" t="s">
        <v>89</v>
      </c>
      <c r="C1085" s="6" t="s">
        <v>157</v>
      </c>
      <c r="D1085" s="6" t="s">
        <v>155</v>
      </c>
      <c r="E1085" s="6" t="s">
        <v>805</v>
      </c>
      <c r="F1085" s="6" t="s">
        <v>1819</v>
      </c>
      <c r="G1085" s="6">
        <v>70.16</v>
      </c>
      <c r="H1085" s="6">
        <v>60.83</v>
      </c>
      <c r="I1085" s="6">
        <v>115</v>
      </c>
      <c r="J1085" s="6">
        <v>2400</v>
      </c>
      <c r="K1085" s="7">
        <f>(J1085-M1085)*税费参数!$B$12/(I1085*10000*(1+SUM(税费参数!$B$6:$B$8)))</f>
        <v>0.0183966733340352</v>
      </c>
      <c r="L1085" s="7">
        <f>J1085*税费参数!$B$12/(I1085*10000)</f>
        <v>0.0208695652173913</v>
      </c>
      <c r="M1085" s="6">
        <f>I1085*10000*SUM(税费参数!$B$9:$B$10)/税费参数!$B$11</f>
        <v>215.625</v>
      </c>
    </row>
    <row r="1086" ht="21" customHeight="1" spans="1:13">
      <c r="A1086" s="5" t="s">
        <v>9</v>
      </c>
      <c r="B1086" s="6" t="s">
        <v>89</v>
      </c>
      <c r="C1086" s="6" t="s">
        <v>157</v>
      </c>
      <c r="D1086" s="6" t="s">
        <v>155</v>
      </c>
      <c r="E1086" s="6" t="s">
        <v>805</v>
      </c>
      <c r="F1086" s="6" t="s">
        <v>1820</v>
      </c>
      <c r="G1086" s="6">
        <v>70.16</v>
      </c>
      <c r="H1086" s="6">
        <v>68.49</v>
      </c>
      <c r="I1086" s="6">
        <v>115</v>
      </c>
      <c r="J1086" s="6">
        <v>3000</v>
      </c>
      <c r="K1086" s="7">
        <f>(J1086-M1086)*税费参数!$B$12/(I1086*10000*(1+SUM(税费参数!$B$6:$B$8)))</f>
        <v>0.0234498368249289</v>
      </c>
      <c r="L1086" s="7">
        <f>J1086*税费参数!$B$12/(I1086*10000)</f>
        <v>0.0260869565217391</v>
      </c>
      <c r="M1086" s="6">
        <f>I1086*10000*SUM(税费参数!$B$9:$B$10)/税费参数!$B$11</f>
        <v>215.625</v>
      </c>
    </row>
    <row r="1087" ht="21" customHeight="1" spans="1:13">
      <c r="A1087" s="5" t="s">
        <v>9</v>
      </c>
      <c r="B1087" s="6" t="s">
        <v>89</v>
      </c>
      <c r="C1087" s="6" t="s">
        <v>157</v>
      </c>
      <c r="D1087" s="6" t="s">
        <v>155</v>
      </c>
      <c r="E1087" s="6" t="s">
        <v>805</v>
      </c>
      <c r="F1087" s="6" t="s">
        <v>1821</v>
      </c>
      <c r="G1087" s="6">
        <v>70.16</v>
      </c>
      <c r="H1087" s="6">
        <v>63.94</v>
      </c>
      <c r="I1087" s="6">
        <v>115</v>
      </c>
      <c r="J1087" s="6">
        <v>2500</v>
      </c>
      <c r="K1087" s="7">
        <f>(J1087-M1087)*税费参数!$B$12/(I1087*10000*(1+SUM(税费参数!$B$6:$B$8)))</f>
        <v>0.0192388672491841</v>
      </c>
      <c r="L1087" s="7">
        <f>J1087*税费参数!$B$12/(I1087*10000)</f>
        <v>0.0217391304347826</v>
      </c>
      <c r="M1087" s="6">
        <f>I1087*10000*SUM(税费参数!$B$9:$B$10)/税费参数!$B$11</f>
        <v>215.625</v>
      </c>
    </row>
    <row r="1088" ht="21" customHeight="1" spans="1:13">
      <c r="A1088" s="5" t="s">
        <v>9</v>
      </c>
      <c r="B1088" s="6" t="s">
        <v>89</v>
      </c>
      <c r="C1088" s="6" t="s">
        <v>157</v>
      </c>
      <c r="D1088" s="6" t="s">
        <v>155</v>
      </c>
      <c r="E1088" s="6" t="s">
        <v>805</v>
      </c>
      <c r="F1088" s="6" t="s">
        <v>1822</v>
      </c>
      <c r="G1088" s="6">
        <v>70.16</v>
      </c>
      <c r="H1088" s="6">
        <v>70.16</v>
      </c>
      <c r="I1088" s="6">
        <v>115</v>
      </c>
      <c r="J1088" s="6">
        <v>2700</v>
      </c>
      <c r="K1088" s="7">
        <f>(J1088-M1088)*税费参数!$B$12/(I1088*10000*(1+SUM(税费参数!$B$6:$B$8)))</f>
        <v>0.0209232550794821</v>
      </c>
      <c r="L1088" s="7">
        <f>J1088*税费参数!$B$12/(I1088*10000)</f>
        <v>0.0234782608695652</v>
      </c>
      <c r="M1088" s="6">
        <f>I1088*10000*SUM(税费参数!$B$9:$B$10)/税费参数!$B$11</f>
        <v>215.625</v>
      </c>
    </row>
    <row r="1089" ht="21" customHeight="1" spans="1:13">
      <c r="A1089" s="5" t="s">
        <v>9</v>
      </c>
      <c r="B1089" s="6" t="s">
        <v>89</v>
      </c>
      <c r="C1089" s="6" t="s">
        <v>157</v>
      </c>
      <c r="D1089" s="6" t="s">
        <v>155</v>
      </c>
      <c r="E1089" s="6" t="s">
        <v>805</v>
      </c>
      <c r="F1089" s="6" t="s">
        <v>1823</v>
      </c>
      <c r="G1089" s="6">
        <v>70.16</v>
      </c>
      <c r="H1089" s="6">
        <v>68.51</v>
      </c>
      <c r="I1089" s="6">
        <v>115</v>
      </c>
      <c r="J1089" s="6">
        <v>2695</v>
      </c>
      <c r="K1089" s="7">
        <f>(J1089-M1089)*税费参数!$B$12/(I1089*10000*(1+SUM(税费参数!$B$6:$B$8)))</f>
        <v>0.0208811453837246</v>
      </c>
      <c r="L1089" s="7">
        <f>J1089*税费参数!$B$12/(I1089*10000)</f>
        <v>0.0234347826086957</v>
      </c>
      <c r="M1089" s="6">
        <f>I1089*10000*SUM(税费参数!$B$9:$B$10)/税费参数!$B$11</f>
        <v>215.625</v>
      </c>
    </row>
    <row r="1090" ht="21" customHeight="1" spans="1:13">
      <c r="A1090" s="5" t="s">
        <v>9</v>
      </c>
      <c r="B1090" s="6" t="s">
        <v>89</v>
      </c>
      <c r="C1090" s="6" t="s">
        <v>157</v>
      </c>
      <c r="D1090" s="6" t="s">
        <v>155</v>
      </c>
      <c r="E1090" s="6" t="s">
        <v>805</v>
      </c>
      <c r="F1090" s="6" t="s">
        <v>1831</v>
      </c>
      <c r="G1090" s="6">
        <v>70.16</v>
      </c>
      <c r="H1090" s="6">
        <v>71.89</v>
      </c>
      <c r="I1090" s="6">
        <v>115</v>
      </c>
      <c r="J1090" s="6">
        <v>3100</v>
      </c>
      <c r="K1090" s="7">
        <f>(J1090-M1090)*税费参数!$B$12/(I1090*10000*(1+SUM(税费参数!$B$6:$B$8)))</f>
        <v>0.0242920307400779</v>
      </c>
      <c r="L1090" s="7">
        <f>J1090*税费参数!$B$12/(I1090*10000)</f>
        <v>0.0269565217391304</v>
      </c>
      <c r="M1090" s="6">
        <f>I1090*10000*SUM(税费参数!$B$9:$B$10)/税费参数!$B$11</f>
        <v>215.625</v>
      </c>
    </row>
    <row r="1091" ht="21" customHeight="1" spans="1:13">
      <c r="A1091" s="5" t="s">
        <v>9</v>
      </c>
      <c r="B1091" s="6" t="s">
        <v>89</v>
      </c>
      <c r="C1091" s="6" t="s">
        <v>157</v>
      </c>
      <c r="D1091" s="6" t="s">
        <v>155</v>
      </c>
      <c r="E1091" s="6" t="s">
        <v>805</v>
      </c>
      <c r="F1091" s="6" t="s">
        <v>1824</v>
      </c>
      <c r="G1091" s="6">
        <v>70.16</v>
      </c>
      <c r="H1091" s="6">
        <v>66.4</v>
      </c>
      <c r="I1091" s="6">
        <v>115</v>
      </c>
      <c r="J1091" s="6">
        <v>3000</v>
      </c>
      <c r="K1091" s="7">
        <f>(J1091-M1091)*税费参数!$B$12/(I1091*10000*(1+SUM(税费参数!$B$6:$B$8)))</f>
        <v>0.0234498368249289</v>
      </c>
      <c r="L1091" s="7">
        <f>J1091*税费参数!$B$12/(I1091*10000)</f>
        <v>0.0260869565217391</v>
      </c>
      <c r="M1091" s="6">
        <f>I1091*10000*SUM(税费参数!$B$9:$B$10)/税费参数!$B$11</f>
        <v>215.625</v>
      </c>
    </row>
    <row r="1092" ht="21" customHeight="1" spans="1:13">
      <c r="A1092" s="5" t="s">
        <v>9</v>
      </c>
      <c r="B1092" s="6" t="s">
        <v>89</v>
      </c>
      <c r="C1092" s="6" t="s">
        <v>157</v>
      </c>
      <c r="D1092" s="6" t="s">
        <v>155</v>
      </c>
      <c r="E1092" s="6" t="s">
        <v>805</v>
      </c>
      <c r="F1092" s="6" t="s">
        <v>1825</v>
      </c>
      <c r="G1092" s="6">
        <v>70.16</v>
      </c>
      <c r="H1092" s="6">
        <v>60.83</v>
      </c>
      <c r="I1092" s="6">
        <v>115</v>
      </c>
      <c r="J1092" s="6">
        <v>2700</v>
      </c>
      <c r="K1092" s="7">
        <f>(J1092-M1092)*税费参数!$B$12/(I1092*10000*(1+SUM(税费参数!$B$6:$B$8)))</f>
        <v>0.0209232550794821</v>
      </c>
      <c r="L1092" s="7">
        <f>J1092*税费参数!$B$12/(I1092*10000)</f>
        <v>0.0234782608695652</v>
      </c>
      <c r="M1092" s="6">
        <f>I1092*10000*SUM(税费参数!$B$9:$B$10)/税费参数!$B$11</f>
        <v>215.625</v>
      </c>
    </row>
    <row r="1093" ht="21" customHeight="1" spans="1:13">
      <c r="A1093" s="5" t="s">
        <v>9</v>
      </c>
      <c r="B1093" s="6" t="s">
        <v>89</v>
      </c>
      <c r="C1093" s="6" t="s">
        <v>157</v>
      </c>
      <c r="D1093" s="6" t="s">
        <v>155</v>
      </c>
      <c r="E1093" s="6" t="s">
        <v>805</v>
      </c>
      <c r="F1093" s="6" t="s">
        <v>1826</v>
      </c>
      <c r="G1093" s="6">
        <v>70.16</v>
      </c>
      <c r="H1093" s="6">
        <v>67.46</v>
      </c>
      <c r="I1093" s="6">
        <v>115</v>
      </c>
      <c r="J1093" s="6">
        <v>2700</v>
      </c>
      <c r="K1093" s="7">
        <f>(J1093-M1093)*税费参数!$B$12/(I1093*10000*(1+SUM(税费参数!$B$6:$B$8)))</f>
        <v>0.0209232550794821</v>
      </c>
      <c r="L1093" s="7">
        <f>J1093*税费参数!$B$12/(I1093*10000)</f>
        <v>0.0234782608695652</v>
      </c>
      <c r="M1093" s="6">
        <f>I1093*10000*SUM(税费参数!$B$9:$B$10)/税费参数!$B$11</f>
        <v>215.625</v>
      </c>
    </row>
    <row r="1094" ht="21" customHeight="1" spans="1:13">
      <c r="A1094" s="5" t="s">
        <v>9</v>
      </c>
      <c r="B1094" s="6" t="s">
        <v>89</v>
      </c>
      <c r="C1094" s="6" t="s">
        <v>157</v>
      </c>
      <c r="D1094" s="6" t="s">
        <v>155</v>
      </c>
      <c r="E1094" s="6" t="s">
        <v>805</v>
      </c>
      <c r="F1094" s="6" t="s">
        <v>1832</v>
      </c>
      <c r="G1094" s="6">
        <v>70.16</v>
      </c>
      <c r="H1094" s="6">
        <v>75.83</v>
      </c>
      <c r="I1094" s="6">
        <v>115</v>
      </c>
      <c r="J1094" s="6">
        <v>2800</v>
      </c>
      <c r="K1094" s="7">
        <f>(J1094-M1094)*税费参数!$B$12/(I1094*10000*(1+SUM(税费参数!$B$6:$B$8)))</f>
        <v>0.021765448994631</v>
      </c>
      <c r="L1094" s="7">
        <f>J1094*税费参数!$B$12/(I1094*10000)</f>
        <v>0.0243478260869565</v>
      </c>
      <c r="M1094" s="6">
        <f>I1094*10000*SUM(税费参数!$B$9:$B$10)/税费参数!$B$11</f>
        <v>215.625</v>
      </c>
    </row>
    <row r="1095" ht="21" customHeight="1" spans="1:13">
      <c r="A1095" s="5" t="s">
        <v>9</v>
      </c>
      <c r="B1095" s="6" t="s">
        <v>89</v>
      </c>
      <c r="C1095" s="6" t="s">
        <v>157</v>
      </c>
      <c r="D1095" s="6" t="s">
        <v>155</v>
      </c>
      <c r="E1095" s="6" t="s">
        <v>805</v>
      </c>
      <c r="F1095" s="6" t="s">
        <v>1827</v>
      </c>
      <c r="G1095" s="6">
        <v>70.16</v>
      </c>
      <c r="H1095" s="6">
        <v>60.83</v>
      </c>
      <c r="I1095" s="6">
        <v>115</v>
      </c>
      <c r="J1095" s="6">
        <v>2800</v>
      </c>
      <c r="K1095" s="7">
        <f>(J1095-M1095)*税费参数!$B$12/(I1095*10000*(1+SUM(税费参数!$B$6:$B$8)))</f>
        <v>0.021765448994631</v>
      </c>
      <c r="L1095" s="7">
        <f>J1095*税费参数!$B$12/(I1095*10000)</f>
        <v>0.0243478260869565</v>
      </c>
      <c r="M1095" s="6">
        <f>I1095*10000*SUM(税费参数!$B$9:$B$10)/税费参数!$B$11</f>
        <v>215.625</v>
      </c>
    </row>
    <row r="1096" ht="21" customHeight="1" spans="1:13">
      <c r="A1096" s="5" t="s">
        <v>9</v>
      </c>
      <c r="B1096" s="6" t="s">
        <v>89</v>
      </c>
      <c r="C1096" s="6" t="s">
        <v>157</v>
      </c>
      <c r="D1096" s="6" t="s">
        <v>155</v>
      </c>
      <c r="E1096" s="6" t="s">
        <v>805</v>
      </c>
      <c r="F1096" s="6" t="s">
        <v>1828</v>
      </c>
      <c r="G1096" s="6">
        <v>70.16</v>
      </c>
      <c r="H1096" s="6">
        <v>64.14</v>
      </c>
      <c r="I1096" s="6">
        <v>115</v>
      </c>
      <c r="J1096" s="6">
        <v>3000</v>
      </c>
      <c r="K1096" s="7">
        <f>(J1096-M1096)*税费参数!$B$12/(I1096*10000*(1+SUM(税费参数!$B$6:$B$8)))</f>
        <v>0.0234498368249289</v>
      </c>
      <c r="L1096" s="7">
        <f>J1096*税费参数!$B$12/(I1096*10000)</f>
        <v>0.0260869565217391</v>
      </c>
      <c r="M1096" s="6">
        <f>I1096*10000*SUM(税费参数!$B$9:$B$10)/税费参数!$B$11</f>
        <v>215.625</v>
      </c>
    </row>
    <row r="1097" ht="21" customHeight="1" spans="1:13">
      <c r="A1097" s="5" t="s">
        <v>9</v>
      </c>
      <c r="B1097" s="6" t="s">
        <v>89</v>
      </c>
      <c r="C1097" s="6" t="s">
        <v>157</v>
      </c>
      <c r="D1097" s="6" t="s">
        <v>155</v>
      </c>
      <c r="E1097" s="6" t="s">
        <v>805</v>
      </c>
      <c r="F1097" s="6" t="s">
        <v>1829</v>
      </c>
      <c r="G1097" s="6">
        <v>70.16</v>
      </c>
      <c r="H1097" s="6">
        <v>65.61</v>
      </c>
      <c r="I1097" s="6">
        <v>115</v>
      </c>
      <c r="J1097" s="6">
        <v>3000</v>
      </c>
      <c r="K1097" s="7">
        <f>(J1097-M1097)*税费参数!$B$12/(I1097*10000*(1+SUM(税费参数!$B$6:$B$8)))</f>
        <v>0.0234498368249289</v>
      </c>
      <c r="L1097" s="7">
        <f>J1097*税费参数!$B$12/(I1097*10000)</f>
        <v>0.0260869565217391</v>
      </c>
      <c r="M1097" s="6">
        <f>I1097*10000*SUM(税费参数!$B$9:$B$10)/税费参数!$B$11</f>
        <v>215.625</v>
      </c>
    </row>
    <row r="1098" ht="21" customHeight="1" spans="1:13">
      <c r="A1098" s="5" t="s">
        <v>9</v>
      </c>
      <c r="B1098" s="6" t="s">
        <v>89</v>
      </c>
      <c r="C1098" s="6" t="s">
        <v>157</v>
      </c>
      <c r="D1098" s="6" t="s">
        <v>155</v>
      </c>
      <c r="E1098" s="6" t="s">
        <v>805</v>
      </c>
      <c r="F1098" s="6" t="s">
        <v>1833</v>
      </c>
      <c r="G1098" s="6">
        <v>70.16</v>
      </c>
      <c r="H1098" s="6">
        <v>75.79</v>
      </c>
      <c r="I1098" s="6">
        <v>115</v>
      </c>
      <c r="J1098" s="6">
        <v>3500</v>
      </c>
      <c r="K1098" s="7">
        <f>(J1098-M1098)*税费参数!$B$12/(I1098*10000*(1+SUM(税费参数!$B$6:$B$8)))</f>
        <v>0.0276608064006738</v>
      </c>
      <c r="L1098" s="7">
        <f>J1098*税费参数!$B$12/(I1098*10000)</f>
        <v>0.0304347826086957</v>
      </c>
      <c r="M1098" s="6">
        <f>I1098*10000*SUM(税费参数!$B$9:$B$10)/税费参数!$B$11</f>
        <v>215.625</v>
      </c>
    </row>
    <row r="1099" ht="21" customHeight="1" spans="1:13">
      <c r="A1099" s="5" t="s">
        <v>9</v>
      </c>
      <c r="B1099" s="6" t="s">
        <v>84</v>
      </c>
      <c r="C1099" s="6" t="s">
        <v>152</v>
      </c>
      <c r="D1099" s="6" t="s">
        <v>153</v>
      </c>
      <c r="E1099" s="6" t="s">
        <v>821</v>
      </c>
      <c r="F1099" s="6" t="s">
        <v>1835</v>
      </c>
      <c r="G1099" s="6">
        <v>42.11</v>
      </c>
      <c r="H1099" s="6">
        <v>41.89</v>
      </c>
      <c r="I1099" s="6">
        <v>75</v>
      </c>
      <c r="J1099" s="6">
        <v>2100</v>
      </c>
      <c r="K1099" s="7">
        <f>(J1099-M1099)*税费参数!$B$12/(I1099*10000*(1+SUM(税费参数!$B$6:$B$8)))</f>
        <v>0.0253026634382567</v>
      </c>
      <c r="L1099" s="7">
        <f>J1099*税费参数!$B$12/(I1099*10000)</f>
        <v>0.028</v>
      </c>
      <c r="M1099" s="6">
        <f>I1099*10000*SUM(税费参数!$B$9:$B$10)/税费参数!$B$11</f>
        <v>140.625</v>
      </c>
    </row>
    <row r="1100" ht="21" customHeight="1" spans="1:13">
      <c r="A1100" s="5" t="s">
        <v>9</v>
      </c>
      <c r="B1100" s="6" t="s">
        <v>85</v>
      </c>
      <c r="C1100" s="6" t="s">
        <v>152</v>
      </c>
      <c r="D1100" s="6" t="s">
        <v>153</v>
      </c>
      <c r="E1100" s="6" t="s">
        <v>835</v>
      </c>
      <c r="F1100" s="6" t="s">
        <v>1836</v>
      </c>
      <c r="G1100" s="6">
        <v>50.13</v>
      </c>
      <c r="H1100" s="6">
        <v>49.3</v>
      </c>
      <c r="I1100" s="6">
        <v>78</v>
      </c>
      <c r="J1100" s="6">
        <v>2890</v>
      </c>
      <c r="K1100" s="7">
        <f>(J1100-M1100)*税费参数!$B$12/(I1100*10000*(1+SUM(税费参数!$B$6:$B$8)))</f>
        <v>0.0340690383063264</v>
      </c>
      <c r="L1100" s="7">
        <f>J1100*税费参数!$B$12/(I1100*10000)</f>
        <v>0.0370512820512821</v>
      </c>
      <c r="M1100" s="6">
        <f>I1100*10000*SUM(税费参数!$B$9:$B$10)/税费参数!$B$11</f>
        <v>146.25</v>
      </c>
    </row>
    <row r="1101" ht="21" customHeight="1" spans="1:13">
      <c r="A1101" s="5" t="s">
        <v>9</v>
      </c>
      <c r="B1101" s="6" t="s">
        <v>85</v>
      </c>
      <c r="C1101" s="6" t="s">
        <v>152</v>
      </c>
      <c r="D1101" s="6" t="s">
        <v>153</v>
      </c>
      <c r="E1101" s="6" t="s">
        <v>835</v>
      </c>
      <c r="F1101" s="6" t="s">
        <v>1837</v>
      </c>
      <c r="G1101" s="6">
        <v>50.13</v>
      </c>
      <c r="H1101" s="6">
        <v>51.89</v>
      </c>
      <c r="I1101" s="6">
        <v>78</v>
      </c>
      <c r="J1101" s="6">
        <v>2100</v>
      </c>
      <c r="K1101" s="7">
        <f>(J1101-M1101)*税费参数!$B$12/(I1101*10000*(1+SUM(税费参数!$B$6:$B$8)))</f>
        <v>0.0242596386664183</v>
      </c>
      <c r="L1101" s="7">
        <f>J1101*税费参数!$B$12/(I1101*10000)</f>
        <v>0.0269230769230769</v>
      </c>
      <c r="M1101" s="6">
        <f>I1101*10000*SUM(税费参数!$B$9:$B$10)/税费参数!$B$11</f>
        <v>146.25</v>
      </c>
    </row>
    <row r="1102" ht="21" customHeight="1" spans="1:13">
      <c r="A1102" s="5" t="s">
        <v>9</v>
      </c>
      <c r="B1102" s="6" t="s">
        <v>85</v>
      </c>
      <c r="C1102" s="6" t="s">
        <v>152</v>
      </c>
      <c r="D1102" s="6" t="s">
        <v>153</v>
      </c>
      <c r="E1102" s="6" t="s">
        <v>835</v>
      </c>
      <c r="F1102" s="6" t="s">
        <v>1838</v>
      </c>
      <c r="G1102" s="6">
        <v>50.13</v>
      </c>
      <c r="H1102" s="6">
        <v>50.13</v>
      </c>
      <c r="I1102" s="6">
        <v>78</v>
      </c>
      <c r="J1102" s="6">
        <v>2700</v>
      </c>
      <c r="K1102" s="7">
        <f>(J1102-M1102)*税费参数!$B$12/(I1102*10000*(1+SUM(税费参数!$B$6:$B$8)))</f>
        <v>0.0317098156081207</v>
      </c>
      <c r="L1102" s="7">
        <f>J1102*税费参数!$B$12/(I1102*10000)</f>
        <v>0.0346153846153846</v>
      </c>
      <c r="M1102" s="6">
        <f>I1102*10000*SUM(税费参数!$B$9:$B$10)/税费参数!$B$11</f>
        <v>146.25</v>
      </c>
    </row>
    <row r="1103" ht="21" customHeight="1" spans="1:13">
      <c r="A1103" s="5" t="s">
        <v>9</v>
      </c>
      <c r="B1103" s="6" t="s">
        <v>85</v>
      </c>
      <c r="C1103" s="6" t="s">
        <v>152</v>
      </c>
      <c r="D1103" s="6" t="s">
        <v>153</v>
      </c>
      <c r="E1103" s="6" t="s">
        <v>837</v>
      </c>
      <c r="F1103" s="6" t="s">
        <v>1836</v>
      </c>
      <c r="G1103" s="6">
        <v>50.13</v>
      </c>
      <c r="H1103" s="6">
        <v>49.3</v>
      </c>
      <c r="I1103" s="6">
        <v>74.7</v>
      </c>
      <c r="J1103" s="6">
        <v>2890</v>
      </c>
      <c r="K1103" s="7">
        <f>(J1103-M1103)*税费参数!$B$12/(I1103*10000*(1+SUM(税费参数!$B$6:$B$8)))</f>
        <v>0.0356543202673487</v>
      </c>
      <c r="L1103" s="7">
        <f>J1103*税费参数!$B$12/(I1103*10000)</f>
        <v>0.0386880856760375</v>
      </c>
      <c r="M1103" s="6">
        <f>I1103*10000*SUM(税费参数!$B$9:$B$10)/税费参数!$B$11</f>
        <v>140.0625</v>
      </c>
    </row>
    <row r="1104" ht="21" customHeight="1" spans="1:13">
      <c r="A1104" s="5" t="s">
        <v>9</v>
      </c>
      <c r="B1104" s="6" t="s">
        <v>85</v>
      </c>
      <c r="C1104" s="6" t="s">
        <v>152</v>
      </c>
      <c r="D1104" s="6" t="s">
        <v>153</v>
      </c>
      <c r="E1104" s="6" t="s">
        <v>837</v>
      </c>
      <c r="F1104" s="6" t="s">
        <v>1837</v>
      </c>
      <c r="G1104" s="6">
        <v>50.13</v>
      </c>
      <c r="H1104" s="6">
        <v>51.89</v>
      </c>
      <c r="I1104" s="6">
        <v>74.7</v>
      </c>
      <c r="J1104" s="6">
        <v>2100</v>
      </c>
      <c r="K1104" s="7">
        <f>(J1104-M1104)*税费参数!$B$12/(I1104*10000*(1+SUM(税费参数!$B$6:$B$8)))</f>
        <v>0.0254115736553964</v>
      </c>
      <c r="L1104" s="7">
        <f>J1104*税费参数!$B$12/(I1104*10000)</f>
        <v>0.0281124497991968</v>
      </c>
      <c r="M1104" s="6">
        <f>I1104*10000*SUM(税费参数!$B$9:$B$10)/税费参数!$B$11</f>
        <v>140.0625</v>
      </c>
    </row>
    <row r="1105" ht="21" customHeight="1" spans="1:13">
      <c r="A1105" s="5" t="s">
        <v>9</v>
      </c>
      <c r="B1105" s="6" t="s">
        <v>85</v>
      </c>
      <c r="C1105" s="6" t="s">
        <v>152</v>
      </c>
      <c r="D1105" s="6" t="s">
        <v>153</v>
      </c>
      <c r="E1105" s="6" t="s">
        <v>837</v>
      </c>
      <c r="F1105" s="6" t="s">
        <v>1838</v>
      </c>
      <c r="G1105" s="6">
        <v>50.13</v>
      </c>
      <c r="H1105" s="6">
        <v>50.13</v>
      </c>
      <c r="I1105" s="6">
        <v>74.7</v>
      </c>
      <c r="J1105" s="6">
        <v>2700</v>
      </c>
      <c r="K1105" s="7">
        <f>(J1105-M1105)*税费参数!$B$12/(I1105*10000*(1+SUM(税费参数!$B$6:$B$8)))</f>
        <v>0.0331908748796639</v>
      </c>
      <c r="L1105" s="7">
        <f>J1105*税费参数!$B$12/(I1105*10000)</f>
        <v>0.036144578313253</v>
      </c>
      <c r="M1105" s="6">
        <f>I1105*10000*SUM(税费参数!$B$9:$B$10)/税费参数!$B$11</f>
        <v>140.0625</v>
      </c>
    </row>
    <row r="1106" ht="21" customHeight="1" spans="1:13">
      <c r="A1106" s="5" t="s">
        <v>9</v>
      </c>
      <c r="B1106" s="6" t="s">
        <v>85</v>
      </c>
      <c r="C1106" s="6" t="s">
        <v>152</v>
      </c>
      <c r="D1106" s="6" t="s">
        <v>153</v>
      </c>
      <c r="E1106" s="6" t="s">
        <v>833</v>
      </c>
      <c r="F1106" s="6" t="s">
        <v>1836</v>
      </c>
      <c r="G1106" s="6">
        <v>47.26</v>
      </c>
      <c r="H1106" s="6">
        <v>49.3</v>
      </c>
      <c r="I1106" s="6">
        <v>96</v>
      </c>
      <c r="J1106" s="6">
        <v>2890</v>
      </c>
      <c r="K1106" s="7">
        <f>(J1106-M1106)*税费参数!$B$12/(I1106*10000*(1+SUM(税费参数!$B$6:$B$8)))</f>
        <v>0.0273405972558515</v>
      </c>
      <c r="L1106" s="7">
        <f>J1106*税费参数!$B$12/(I1106*10000)</f>
        <v>0.0301041666666667</v>
      </c>
      <c r="M1106" s="6">
        <f>I1106*10000*SUM(税费参数!$B$9:$B$10)/税费参数!$B$11</f>
        <v>180</v>
      </c>
    </row>
    <row r="1107" ht="21" customHeight="1" spans="1:13">
      <c r="A1107" s="5" t="s">
        <v>9</v>
      </c>
      <c r="B1107" s="6" t="s">
        <v>85</v>
      </c>
      <c r="C1107" s="6" t="s">
        <v>152</v>
      </c>
      <c r="D1107" s="6" t="s">
        <v>153</v>
      </c>
      <c r="E1107" s="6" t="s">
        <v>833</v>
      </c>
      <c r="F1107" s="6" t="s">
        <v>1837</v>
      </c>
      <c r="G1107" s="6">
        <v>47.26</v>
      </c>
      <c r="H1107" s="6">
        <v>51.89</v>
      </c>
      <c r="I1107" s="6">
        <v>96</v>
      </c>
      <c r="J1107" s="6">
        <v>2100</v>
      </c>
      <c r="K1107" s="7">
        <f>(J1107-M1107)*税费参数!$B$12/(I1107*10000*(1+SUM(税费参数!$B$6:$B$8)))</f>
        <v>0.0193704600484262</v>
      </c>
      <c r="L1107" s="7">
        <f>J1107*税费参数!$B$12/(I1107*10000)</f>
        <v>0.021875</v>
      </c>
      <c r="M1107" s="6">
        <f>I1107*10000*SUM(税费参数!$B$9:$B$10)/税费参数!$B$11</f>
        <v>180</v>
      </c>
    </row>
    <row r="1108" ht="21" customHeight="1" spans="1:13">
      <c r="A1108" s="5" t="s">
        <v>9</v>
      </c>
      <c r="B1108" s="6" t="s">
        <v>85</v>
      </c>
      <c r="C1108" s="6" t="s">
        <v>152</v>
      </c>
      <c r="D1108" s="6" t="s">
        <v>153</v>
      </c>
      <c r="E1108" s="6" t="s">
        <v>833</v>
      </c>
      <c r="F1108" s="6" t="s">
        <v>1838</v>
      </c>
      <c r="G1108" s="6">
        <v>47.26</v>
      </c>
      <c r="H1108" s="6">
        <v>50.13</v>
      </c>
      <c r="I1108" s="6">
        <v>96</v>
      </c>
      <c r="J1108" s="6">
        <v>2700</v>
      </c>
      <c r="K1108" s="7">
        <f>(J1108-M1108)*税费参数!$B$12/(I1108*10000*(1+SUM(税费参数!$B$6:$B$8)))</f>
        <v>0.0254237288135593</v>
      </c>
      <c r="L1108" s="7">
        <f>J1108*税费参数!$B$12/(I1108*10000)</f>
        <v>0.028125</v>
      </c>
      <c r="M1108" s="6">
        <f>I1108*10000*SUM(税费参数!$B$9:$B$10)/税费参数!$B$11</f>
        <v>180</v>
      </c>
    </row>
    <row r="1109" ht="21" customHeight="1" spans="1:13">
      <c r="A1109" s="5" t="s">
        <v>9</v>
      </c>
      <c r="B1109" s="6" t="s">
        <v>85</v>
      </c>
      <c r="C1109" s="6" t="s">
        <v>157</v>
      </c>
      <c r="D1109" s="6" t="s">
        <v>155</v>
      </c>
      <c r="E1109" s="6" t="s">
        <v>839</v>
      </c>
      <c r="F1109" s="6" t="s">
        <v>1839</v>
      </c>
      <c r="G1109" s="6">
        <v>60.87</v>
      </c>
      <c r="H1109" s="6">
        <v>64.59</v>
      </c>
      <c r="I1109" s="6">
        <v>102</v>
      </c>
      <c r="J1109" s="6">
        <v>3000</v>
      </c>
      <c r="K1109" s="7">
        <f>(J1109-M1109)*税费参数!$B$12/(I1109*10000*(1+SUM(税费参数!$B$6:$B$8)))</f>
        <v>0.0266699900299103</v>
      </c>
      <c r="L1109" s="7">
        <f>J1109*税费参数!$B$12/(I1109*10000)</f>
        <v>0.0294117647058824</v>
      </c>
      <c r="M1109" s="6">
        <f>I1109*10000*SUM(税费参数!$B$9:$B$10)/税费参数!$B$11</f>
        <v>191.25</v>
      </c>
    </row>
    <row r="1110" ht="21" customHeight="1" spans="1:13">
      <c r="A1110" s="5" t="s">
        <v>9</v>
      </c>
      <c r="B1110" s="6" t="s">
        <v>85</v>
      </c>
      <c r="C1110" s="6" t="s">
        <v>157</v>
      </c>
      <c r="D1110" s="6" t="s">
        <v>155</v>
      </c>
      <c r="E1110" s="6" t="s">
        <v>839</v>
      </c>
      <c r="F1110" s="6" t="s">
        <v>1840</v>
      </c>
      <c r="G1110" s="6">
        <v>60.87</v>
      </c>
      <c r="H1110" s="6">
        <v>66.87</v>
      </c>
      <c r="I1110" s="6">
        <v>102</v>
      </c>
      <c r="J1110" s="6">
        <v>2700</v>
      </c>
      <c r="K1110" s="7">
        <f>(J1110-M1110)*税费参数!$B$12/(I1110*10000*(1+SUM(税费参数!$B$6:$B$8)))</f>
        <v>0.0238213929639652</v>
      </c>
      <c r="L1110" s="7">
        <f>J1110*税费参数!$B$12/(I1110*10000)</f>
        <v>0.0264705882352941</v>
      </c>
      <c r="M1110" s="6">
        <f>I1110*10000*SUM(税费参数!$B$9:$B$10)/税费参数!$B$11</f>
        <v>191.25</v>
      </c>
    </row>
    <row r="1111" ht="21" customHeight="1" spans="1:13">
      <c r="A1111" s="5" t="s">
        <v>9</v>
      </c>
      <c r="B1111" s="6" t="s">
        <v>85</v>
      </c>
      <c r="C1111" s="6" t="s">
        <v>157</v>
      </c>
      <c r="D1111" s="6" t="s">
        <v>155</v>
      </c>
      <c r="E1111" s="6" t="s">
        <v>839</v>
      </c>
      <c r="F1111" s="6" t="s">
        <v>1841</v>
      </c>
      <c r="G1111" s="6">
        <v>60.87</v>
      </c>
      <c r="H1111" s="6">
        <v>68.66</v>
      </c>
      <c r="I1111" s="6">
        <v>102</v>
      </c>
      <c r="J1111" s="6">
        <v>3800</v>
      </c>
      <c r="K1111" s="7">
        <f>(J1111-M1111)*税费参数!$B$12/(I1111*10000*(1+SUM(税费参数!$B$6:$B$8)))</f>
        <v>0.0342662488724303</v>
      </c>
      <c r="L1111" s="7">
        <f>J1111*税费参数!$B$12/(I1111*10000)</f>
        <v>0.0372549019607843</v>
      </c>
      <c r="M1111" s="6">
        <f>I1111*10000*SUM(税费参数!$B$9:$B$10)/税费参数!$B$11</f>
        <v>191.25</v>
      </c>
    </row>
    <row r="1112" ht="21" customHeight="1" spans="1:13">
      <c r="A1112" s="5" t="s">
        <v>9</v>
      </c>
      <c r="B1112" s="6" t="s">
        <v>85</v>
      </c>
      <c r="C1112" s="6" t="s">
        <v>157</v>
      </c>
      <c r="D1112" s="6" t="s">
        <v>155</v>
      </c>
      <c r="E1112" s="6" t="s">
        <v>839</v>
      </c>
      <c r="F1112" s="6" t="s">
        <v>1842</v>
      </c>
      <c r="G1112" s="6">
        <v>60.87</v>
      </c>
      <c r="H1112" s="6">
        <v>64.59</v>
      </c>
      <c r="I1112" s="6">
        <v>102</v>
      </c>
      <c r="J1112" s="6">
        <v>2900</v>
      </c>
      <c r="K1112" s="7">
        <f>(J1112-M1112)*税费参数!$B$12/(I1112*10000*(1+SUM(税费参数!$B$6:$B$8)))</f>
        <v>0.0257204576745953</v>
      </c>
      <c r="L1112" s="7">
        <f>J1112*税费参数!$B$12/(I1112*10000)</f>
        <v>0.0284313725490196</v>
      </c>
      <c r="M1112" s="6">
        <f>I1112*10000*SUM(税费参数!$B$9:$B$10)/税费参数!$B$11</f>
        <v>191.25</v>
      </c>
    </row>
    <row r="1113" ht="21" customHeight="1" spans="1:13">
      <c r="A1113" s="5" t="s">
        <v>9</v>
      </c>
      <c r="B1113" s="6" t="s">
        <v>85</v>
      </c>
      <c r="C1113" s="6" t="s">
        <v>157</v>
      </c>
      <c r="D1113" s="6" t="s">
        <v>155</v>
      </c>
      <c r="E1113" s="6" t="s">
        <v>839</v>
      </c>
      <c r="F1113" s="6" t="s">
        <v>1843</v>
      </c>
      <c r="G1113" s="6">
        <v>60.87</v>
      </c>
      <c r="H1113" s="6">
        <v>69.14</v>
      </c>
      <c r="I1113" s="6">
        <v>102</v>
      </c>
      <c r="J1113" s="6">
        <v>3200</v>
      </c>
      <c r="K1113" s="7">
        <f>(J1113-M1113)*税费参数!$B$12/(I1113*10000*(1+SUM(税费参数!$B$6:$B$8)))</f>
        <v>0.0285690547405403</v>
      </c>
      <c r="L1113" s="7">
        <f>J1113*税费参数!$B$12/(I1113*10000)</f>
        <v>0.0313725490196078</v>
      </c>
      <c r="M1113" s="6">
        <f>I1113*10000*SUM(税费参数!$B$9:$B$10)/税费参数!$B$11</f>
        <v>191.25</v>
      </c>
    </row>
    <row r="1114" ht="21" customHeight="1" spans="1:13">
      <c r="A1114" s="5" t="s">
        <v>9</v>
      </c>
      <c r="B1114" s="6" t="s">
        <v>85</v>
      </c>
      <c r="C1114" s="6" t="s">
        <v>157</v>
      </c>
      <c r="D1114" s="6" t="s">
        <v>155</v>
      </c>
      <c r="E1114" s="6" t="s">
        <v>839</v>
      </c>
      <c r="F1114" s="6" t="s">
        <v>1844</v>
      </c>
      <c r="G1114" s="6">
        <v>60.87</v>
      </c>
      <c r="H1114" s="6">
        <v>60.15</v>
      </c>
      <c r="I1114" s="6">
        <v>102</v>
      </c>
      <c r="J1114" s="6">
        <v>3000</v>
      </c>
      <c r="K1114" s="7">
        <f>(J1114-M1114)*税费参数!$B$12/(I1114*10000*(1+SUM(税费参数!$B$6:$B$8)))</f>
        <v>0.0266699900299103</v>
      </c>
      <c r="L1114" s="7">
        <f>J1114*税费参数!$B$12/(I1114*10000)</f>
        <v>0.0294117647058824</v>
      </c>
      <c r="M1114" s="6">
        <f>I1114*10000*SUM(税费参数!$B$9:$B$10)/税费参数!$B$11</f>
        <v>191.25</v>
      </c>
    </row>
    <row r="1115" ht="21" customHeight="1" spans="1:13">
      <c r="A1115" s="5" t="s">
        <v>9</v>
      </c>
      <c r="B1115" s="6" t="s">
        <v>85</v>
      </c>
      <c r="C1115" s="6" t="s">
        <v>157</v>
      </c>
      <c r="D1115" s="6" t="s">
        <v>155</v>
      </c>
      <c r="E1115" s="6" t="s">
        <v>843</v>
      </c>
      <c r="F1115" s="6" t="s">
        <v>1839</v>
      </c>
      <c r="G1115" s="6">
        <v>65.43</v>
      </c>
      <c r="H1115" s="6">
        <v>64.59</v>
      </c>
      <c r="I1115" s="6">
        <v>120</v>
      </c>
      <c r="J1115" s="6">
        <v>3000</v>
      </c>
      <c r="K1115" s="7">
        <f>(J1115-M1115)*税费参数!$B$12/(I1115*10000*(1+SUM(税费参数!$B$6:$B$8)))</f>
        <v>0.0223970944309927</v>
      </c>
      <c r="L1115" s="7">
        <f>J1115*税费参数!$B$12/(I1115*10000)</f>
        <v>0.025</v>
      </c>
      <c r="M1115" s="6">
        <f>I1115*10000*SUM(税费参数!$B$9:$B$10)/税费参数!$B$11</f>
        <v>225</v>
      </c>
    </row>
    <row r="1116" ht="21" customHeight="1" spans="1:13">
      <c r="A1116" s="5" t="s">
        <v>9</v>
      </c>
      <c r="B1116" s="6" t="s">
        <v>85</v>
      </c>
      <c r="C1116" s="6" t="s">
        <v>157</v>
      </c>
      <c r="D1116" s="6" t="s">
        <v>155</v>
      </c>
      <c r="E1116" s="6" t="s">
        <v>843</v>
      </c>
      <c r="F1116" s="6" t="s">
        <v>1840</v>
      </c>
      <c r="G1116" s="6">
        <v>65.43</v>
      </c>
      <c r="H1116" s="6">
        <v>66.87</v>
      </c>
      <c r="I1116" s="6">
        <v>120</v>
      </c>
      <c r="J1116" s="6">
        <v>2700</v>
      </c>
      <c r="K1116" s="7">
        <f>(J1116-M1116)*税费参数!$B$12/(I1116*10000*(1+SUM(税费参数!$B$6:$B$8)))</f>
        <v>0.0199757869249395</v>
      </c>
      <c r="L1116" s="7">
        <f>J1116*税费参数!$B$12/(I1116*10000)</f>
        <v>0.0225</v>
      </c>
      <c r="M1116" s="6">
        <f>I1116*10000*SUM(税费参数!$B$9:$B$10)/税费参数!$B$11</f>
        <v>225</v>
      </c>
    </row>
    <row r="1117" ht="21" customHeight="1" spans="1:13">
      <c r="A1117" s="5" t="s">
        <v>9</v>
      </c>
      <c r="B1117" s="6" t="s">
        <v>85</v>
      </c>
      <c r="C1117" s="6" t="s">
        <v>157</v>
      </c>
      <c r="D1117" s="6" t="s">
        <v>155</v>
      </c>
      <c r="E1117" s="6" t="s">
        <v>843</v>
      </c>
      <c r="F1117" s="6" t="s">
        <v>1841</v>
      </c>
      <c r="G1117" s="6">
        <v>65.43</v>
      </c>
      <c r="H1117" s="6">
        <v>68.66</v>
      </c>
      <c r="I1117" s="6">
        <v>120</v>
      </c>
      <c r="J1117" s="6">
        <v>3800</v>
      </c>
      <c r="K1117" s="7">
        <f>(J1117-M1117)*税费参数!$B$12/(I1117*10000*(1+SUM(税费参数!$B$6:$B$8)))</f>
        <v>0.0288539144471348</v>
      </c>
      <c r="L1117" s="7">
        <f>J1117*税费参数!$B$12/(I1117*10000)</f>
        <v>0.0316666666666667</v>
      </c>
      <c r="M1117" s="6">
        <f>I1117*10000*SUM(税费参数!$B$9:$B$10)/税费参数!$B$11</f>
        <v>225</v>
      </c>
    </row>
    <row r="1118" ht="21" customHeight="1" spans="1:13">
      <c r="A1118" s="5" t="s">
        <v>9</v>
      </c>
      <c r="B1118" s="6" t="s">
        <v>85</v>
      </c>
      <c r="C1118" s="6" t="s">
        <v>157</v>
      </c>
      <c r="D1118" s="6" t="s">
        <v>155</v>
      </c>
      <c r="E1118" s="6" t="s">
        <v>843</v>
      </c>
      <c r="F1118" s="6" t="s">
        <v>1842</v>
      </c>
      <c r="G1118" s="6">
        <v>65.43</v>
      </c>
      <c r="H1118" s="6">
        <v>64.59</v>
      </c>
      <c r="I1118" s="6">
        <v>120</v>
      </c>
      <c r="J1118" s="6">
        <v>2900</v>
      </c>
      <c r="K1118" s="7">
        <f>(J1118-M1118)*税费参数!$B$12/(I1118*10000*(1+SUM(税费参数!$B$6:$B$8)))</f>
        <v>0.021589991928975</v>
      </c>
      <c r="L1118" s="7">
        <f>J1118*税费参数!$B$12/(I1118*10000)</f>
        <v>0.0241666666666667</v>
      </c>
      <c r="M1118" s="6">
        <f>I1118*10000*SUM(税费参数!$B$9:$B$10)/税费参数!$B$11</f>
        <v>225</v>
      </c>
    </row>
    <row r="1119" ht="21" customHeight="1" spans="1:13">
      <c r="A1119" s="5" t="s">
        <v>9</v>
      </c>
      <c r="B1119" s="6" t="s">
        <v>85</v>
      </c>
      <c r="C1119" s="6" t="s">
        <v>157</v>
      </c>
      <c r="D1119" s="6" t="s">
        <v>155</v>
      </c>
      <c r="E1119" s="6" t="s">
        <v>843</v>
      </c>
      <c r="F1119" s="6" t="s">
        <v>1845</v>
      </c>
      <c r="G1119" s="6">
        <v>65.43</v>
      </c>
      <c r="H1119" s="6">
        <v>73</v>
      </c>
      <c r="I1119" s="6">
        <v>120</v>
      </c>
      <c r="J1119" s="6">
        <v>3100</v>
      </c>
      <c r="K1119" s="7">
        <f>(J1119-M1119)*税费参数!$B$12/(I1119*10000*(1+SUM(税费参数!$B$6:$B$8)))</f>
        <v>0.0232041969330105</v>
      </c>
      <c r="L1119" s="7">
        <f>J1119*税费参数!$B$12/(I1119*10000)</f>
        <v>0.0258333333333333</v>
      </c>
      <c r="M1119" s="6">
        <f>I1119*10000*SUM(税费参数!$B$9:$B$10)/税费参数!$B$11</f>
        <v>225</v>
      </c>
    </row>
    <row r="1120" ht="21" customHeight="1" spans="1:13">
      <c r="A1120" s="5" t="s">
        <v>9</v>
      </c>
      <c r="B1120" s="6" t="s">
        <v>85</v>
      </c>
      <c r="C1120" s="6" t="s">
        <v>157</v>
      </c>
      <c r="D1120" s="6" t="s">
        <v>155</v>
      </c>
      <c r="E1120" s="6" t="s">
        <v>843</v>
      </c>
      <c r="F1120" s="6" t="s">
        <v>1846</v>
      </c>
      <c r="G1120" s="6">
        <v>65.43</v>
      </c>
      <c r="H1120" s="6">
        <v>73</v>
      </c>
      <c r="I1120" s="6">
        <v>120</v>
      </c>
      <c r="J1120" s="6">
        <v>3500</v>
      </c>
      <c r="K1120" s="7">
        <f>(J1120-M1120)*税费参数!$B$12/(I1120*10000*(1+SUM(税费参数!$B$6:$B$8)))</f>
        <v>0.0264326069410815</v>
      </c>
      <c r="L1120" s="7">
        <f>J1120*税费参数!$B$12/(I1120*10000)</f>
        <v>0.0291666666666667</v>
      </c>
      <c r="M1120" s="6">
        <f>I1120*10000*SUM(税费参数!$B$9:$B$10)/税费参数!$B$11</f>
        <v>225</v>
      </c>
    </row>
    <row r="1121" ht="21" customHeight="1" spans="1:13">
      <c r="A1121" s="5" t="s">
        <v>9</v>
      </c>
      <c r="B1121" s="6" t="s">
        <v>85</v>
      </c>
      <c r="C1121" s="6" t="s">
        <v>157</v>
      </c>
      <c r="D1121" s="6" t="s">
        <v>155</v>
      </c>
      <c r="E1121" s="6" t="s">
        <v>843</v>
      </c>
      <c r="F1121" s="6" t="s">
        <v>1843</v>
      </c>
      <c r="G1121" s="6">
        <v>65.43</v>
      </c>
      <c r="H1121" s="6">
        <v>69.14</v>
      </c>
      <c r="I1121" s="6">
        <v>120</v>
      </c>
      <c r="J1121" s="6">
        <v>3200</v>
      </c>
      <c r="K1121" s="7">
        <f>(J1121-M1121)*税费参数!$B$12/(I1121*10000*(1+SUM(税费参数!$B$6:$B$8)))</f>
        <v>0.0240112994350282</v>
      </c>
      <c r="L1121" s="7">
        <f>J1121*税费参数!$B$12/(I1121*10000)</f>
        <v>0.0266666666666667</v>
      </c>
      <c r="M1121" s="6">
        <f>I1121*10000*SUM(税费参数!$B$9:$B$10)/税费参数!$B$11</f>
        <v>225</v>
      </c>
    </row>
    <row r="1122" ht="21" customHeight="1" spans="1:13">
      <c r="A1122" s="5" t="s">
        <v>9</v>
      </c>
      <c r="B1122" s="6" t="s">
        <v>85</v>
      </c>
      <c r="C1122" s="6" t="s">
        <v>157</v>
      </c>
      <c r="D1122" s="6" t="s">
        <v>155</v>
      </c>
      <c r="E1122" s="6" t="s">
        <v>843</v>
      </c>
      <c r="F1122" s="6" t="s">
        <v>1844</v>
      </c>
      <c r="G1122" s="6">
        <v>65.43</v>
      </c>
      <c r="H1122" s="6">
        <v>60.15</v>
      </c>
      <c r="I1122" s="6">
        <v>120</v>
      </c>
      <c r="J1122" s="6">
        <v>3000</v>
      </c>
      <c r="K1122" s="7">
        <f>(J1122-M1122)*税费参数!$B$12/(I1122*10000*(1+SUM(税费参数!$B$6:$B$8)))</f>
        <v>0.0223970944309927</v>
      </c>
      <c r="L1122" s="7">
        <f>J1122*税费参数!$B$12/(I1122*10000)</f>
        <v>0.025</v>
      </c>
      <c r="M1122" s="6">
        <f>I1122*10000*SUM(税费参数!$B$9:$B$10)/税费参数!$B$11</f>
        <v>225</v>
      </c>
    </row>
    <row r="1123" ht="21" customHeight="1" spans="1:13">
      <c r="A1123" s="5" t="s">
        <v>9</v>
      </c>
      <c r="B1123" s="6" t="s">
        <v>85</v>
      </c>
      <c r="C1123" s="6" t="s">
        <v>157</v>
      </c>
      <c r="D1123" s="6" t="s">
        <v>155</v>
      </c>
      <c r="E1123" s="6" t="s">
        <v>845</v>
      </c>
      <c r="F1123" s="6" t="s">
        <v>1839</v>
      </c>
      <c r="G1123" s="6">
        <v>60.15</v>
      </c>
      <c r="H1123" s="6">
        <v>64.59</v>
      </c>
      <c r="I1123" s="6">
        <v>105</v>
      </c>
      <c r="J1123" s="6">
        <v>3000</v>
      </c>
      <c r="K1123" s="7">
        <f>(J1123-M1123)*税费参数!$B$12/(I1123*10000*(1+SUM(税费参数!$B$6:$B$8)))</f>
        <v>0.025856105153926</v>
      </c>
      <c r="L1123" s="7">
        <f>J1123*税费参数!$B$12/(I1123*10000)</f>
        <v>0.0285714285714286</v>
      </c>
      <c r="M1123" s="6">
        <f>I1123*10000*SUM(税费参数!$B$9:$B$10)/税费参数!$B$11</f>
        <v>196.875</v>
      </c>
    </row>
    <row r="1124" ht="21" customHeight="1" spans="1:13">
      <c r="A1124" s="5" t="s">
        <v>9</v>
      </c>
      <c r="B1124" s="6" t="s">
        <v>85</v>
      </c>
      <c r="C1124" s="6" t="s">
        <v>157</v>
      </c>
      <c r="D1124" s="6" t="s">
        <v>155</v>
      </c>
      <c r="E1124" s="6" t="s">
        <v>845</v>
      </c>
      <c r="F1124" s="6" t="s">
        <v>1840</v>
      </c>
      <c r="G1124" s="6">
        <v>60.15</v>
      </c>
      <c r="H1124" s="6">
        <v>66.87</v>
      </c>
      <c r="I1124" s="6">
        <v>105</v>
      </c>
      <c r="J1124" s="6">
        <v>2700</v>
      </c>
      <c r="K1124" s="7">
        <f>(J1124-M1124)*税费参数!$B$12/(I1124*10000*(1+SUM(税费参数!$B$6:$B$8)))</f>
        <v>0.0230888965755794</v>
      </c>
      <c r="L1124" s="7">
        <f>J1124*税费参数!$B$12/(I1124*10000)</f>
        <v>0.0257142857142857</v>
      </c>
      <c r="M1124" s="6">
        <f>I1124*10000*SUM(税费参数!$B$9:$B$10)/税费参数!$B$11</f>
        <v>196.875</v>
      </c>
    </row>
    <row r="1125" ht="21" customHeight="1" spans="1:13">
      <c r="A1125" s="5" t="s">
        <v>9</v>
      </c>
      <c r="B1125" s="6" t="s">
        <v>85</v>
      </c>
      <c r="C1125" s="6" t="s">
        <v>157</v>
      </c>
      <c r="D1125" s="6" t="s">
        <v>155</v>
      </c>
      <c r="E1125" s="6" t="s">
        <v>845</v>
      </c>
      <c r="F1125" s="6" t="s">
        <v>1841</v>
      </c>
      <c r="G1125" s="6">
        <v>60.15</v>
      </c>
      <c r="H1125" s="6">
        <v>68.66</v>
      </c>
      <c r="I1125" s="6">
        <v>105</v>
      </c>
      <c r="J1125" s="6">
        <v>3800</v>
      </c>
      <c r="K1125" s="7">
        <f>(J1125-M1125)*税费参数!$B$12/(I1125*10000*(1+SUM(税费参数!$B$6:$B$8)))</f>
        <v>0.0332353280295169</v>
      </c>
      <c r="L1125" s="7">
        <f>J1125*税费参数!$B$12/(I1125*10000)</f>
        <v>0.0361904761904762</v>
      </c>
      <c r="M1125" s="6">
        <f>I1125*10000*SUM(税费参数!$B$9:$B$10)/税费参数!$B$11</f>
        <v>196.875</v>
      </c>
    </row>
    <row r="1126" ht="21" customHeight="1" spans="1:13">
      <c r="A1126" s="5" t="s">
        <v>9</v>
      </c>
      <c r="B1126" s="6" t="s">
        <v>85</v>
      </c>
      <c r="C1126" s="6" t="s">
        <v>157</v>
      </c>
      <c r="D1126" s="6" t="s">
        <v>155</v>
      </c>
      <c r="E1126" s="6" t="s">
        <v>845</v>
      </c>
      <c r="F1126" s="6" t="s">
        <v>1842</v>
      </c>
      <c r="G1126" s="6">
        <v>60.15</v>
      </c>
      <c r="H1126" s="6">
        <v>64.59</v>
      </c>
      <c r="I1126" s="6">
        <v>105</v>
      </c>
      <c r="J1126" s="6">
        <v>2900</v>
      </c>
      <c r="K1126" s="7">
        <f>(J1126-M1126)*税费参数!$B$12/(I1126*10000*(1+SUM(税费参数!$B$6:$B$8)))</f>
        <v>0.0249337022944771</v>
      </c>
      <c r="L1126" s="7">
        <f>J1126*税费参数!$B$12/(I1126*10000)</f>
        <v>0.0276190476190476</v>
      </c>
      <c r="M1126" s="6">
        <f>I1126*10000*SUM(税费参数!$B$9:$B$10)/税费参数!$B$11</f>
        <v>196.875</v>
      </c>
    </row>
    <row r="1127" ht="21" customHeight="1" spans="1:13">
      <c r="A1127" s="5" t="s">
        <v>9</v>
      </c>
      <c r="B1127" s="6" t="s">
        <v>85</v>
      </c>
      <c r="C1127" s="6" t="s">
        <v>157</v>
      </c>
      <c r="D1127" s="6" t="s">
        <v>155</v>
      </c>
      <c r="E1127" s="6" t="s">
        <v>845</v>
      </c>
      <c r="F1127" s="6" t="s">
        <v>1843</v>
      </c>
      <c r="G1127" s="6">
        <v>60.15</v>
      </c>
      <c r="H1127" s="6">
        <v>69.14</v>
      </c>
      <c r="I1127" s="6">
        <v>105</v>
      </c>
      <c r="J1127" s="6">
        <v>3200</v>
      </c>
      <c r="K1127" s="7">
        <f>(J1127-M1127)*税费参数!$B$12/(I1127*10000*(1+SUM(税费参数!$B$6:$B$8)))</f>
        <v>0.0277009108728237</v>
      </c>
      <c r="L1127" s="7">
        <f>J1127*税费参数!$B$12/(I1127*10000)</f>
        <v>0.0304761904761905</v>
      </c>
      <c r="M1127" s="6">
        <f>I1127*10000*SUM(税费参数!$B$9:$B$10)/税费参数!$B$11</f>
        <v>196.875</v>
      </c>
    </row>
    <row r="1128" ht="21" customHeight="1" spans="1:13">
      <c r="A1128" s="5" t="s">
        <v>9</v>
      </c>
      <c r="B1128" s="6" t="s">
        <v>85</v>
      </c>
      <c r="C1128" s="6" t="s">
        <v>157</v>
      </c>
      <c r="D1128" s="6" t="s">
        <v>155</v>
      </c>
      <c r="E1128" s="6" t="s">
        <v>845</v>
      </c>
      <c r="F1128" s="6" t="s">
        <v>1844</v>
      </c>
      <c r="G1128" s="6">
        <v>60.15</v>
      </c>
      <c r="H1128" s="6">
        <v>60.15</v>
      </c>
      <c r="I1128" s="6">
        <v>105</v>
      </c>
      <c r="J1128" s="6">
        <v>3000</v>
      </c>
      <c r="K1128" s="7">
        <f>(J1128-M1128)*税费参数!$B$12/(I1128*10000*(1+SUM(税费参数!$B$6:$B$8)))</f>
        <v>0.025856105153926</v>
      </c>
      <c r="L1128" s="7">
        <f>J1128*税费参数!$B$12/(I1128*10000)</f>
        <v>0.0285714285714286</v>
      </c>
      <c r="M1128" s="6">
        <f>I1128*10000*SUM(税费参数!$B$9:$B$10)/税费参数!$B$11</f>
        <v>196.875</v>
      </c>
    </row>
    <row r="1129" ht="21" customHeight="1" spans="1:13">
      <c r="A1129" s="5" t="s">
        <v>9</v>
      </c>
      <c r="B1129" s="6" t="s">
        <v>85</v>
      </c>
      <c r="C1129" s="6" t="s">
        <v>157</v>
      </c>
      <c r="D1129" s="6" t="s">
        <v>155</v>
      </c>
      <c r="E1129" s="6" t="s">
        <v>841</v>
      </c>
      <c r="F1129" s="6" t="s">
        <v>1839</v>
      </c>
      <c r="G1129" s="6">
        <v>60.15</v>
      </c>
      <c r="H1129" s="6">
        <v>64.59</v>
      </c>
      <c r="I1129" s="6">
        <v>116</v>
      </c>
      <c r="J1129" s="6">
        <v>3000</v>
      </c>
      <c r="K1129" s="7">
        <f>(J1129-M1129)*税费参数!$B$12/(I1129*10000*(1+SUM(税费参数!$B$6:$B$8)))</f>
        <v>0.0232320280537697</v>
      </c>
      <c r="L1129" s="7">
        <f>J1129*税费参数!$B$12/(I1129*10000)</f>
        <v>0.0258620689655172</v>
      </c>
      <c r="M1129" s="6">
        <f>I1129*10000*SUM(税费参数!$B$9:$B$10)/税费参数!$B$11</f>
        <v>217.5</v>
      </c>
    </row>
    <row r="1130" ht="21" customHeight="1" spans="1:13">
      <c r="A1130" s="5" t="s">
        <v>9</v>
      </c>
      <c r="B1130" s="6" t="s">
        <v>85</v>
      </c>
      <c r="C1130" s="6" t="s">
        <v>157</v>
      </c>
      <c r="D1130" s="6" t="s">
        <v>155</v>
      </c>
      <c r="E1130" s="6" t="s">
        <v>841</v>
      </c>
      <c r="F1130" s="6" t="s">
        <v>1840</v>
      </c>
      <c r="G1130" s="6">
        <v>60.15</v>
      </c>
      <c r="H1130" s="6">
        <v>66.87</v>
      </c>
      <c r="I1130" s="6">
        <v>116</v>
      </c>
      <c r="J1130" s="6">
        <v>2700</v>
      </c>
      <c r="K1130" s="7">
        <f>(J1130-M1130)*税费参数!$B$12/(I1130*10000*(1+SUM(税费参数!$B$6:$B$8)))</f>
        <v>0.0207272271854388</v>
      </c>
      <c r="L1130" s="7">
        <f>J1130*税费参数!$B$12/(I1130*10000)</f>
        <v>0.0232758620689655</v>
      </c>
      <c r="M1130" s="6">
        <f>I1130*10000*SUM(税费参数!$B$9:$B$10)/税费参数!$B$11</f>
        <v>217.5</v>
      </c>
    </row>
    <row r="1131" ht="21" customHeight="1" spans="1:13">
      <c r="A1131" s="5" t="s">
        <v>9</v>
      </c>
      <c r="B1131" s="6" t="s">
        <v>85</v>
      </c>
      <c r="C1131" s="6" t="s">
        <v>157</v>
      </c>
      <c r="D1131" s="6" t="s">
        <v>155</v>
      </c>
      <c r="E1131" s="6" t="s">
        <v>841</v>
      </c>
      <c r="F1131" s="6" t="s">
        <v>1841</v>
      </c>
      <c r="G1131" s="6">
        <v>60.15</v>
      </c>
      <c r="H1131" s="6">
        <v>68.66</v>
      </c>
      <c r="I1131" s="6">
        <v>116</v>
      </c>
      <c r="J1131" s="6">
        <v>3800</v>
      </c>
      <c r="K1131" s="7">
        <f>(J1131-M1131)*税费参数!$B$12/(I1131*10000*(1+SUM(税费参数!$B$6:$B$8)))</f>
        <v>0.0299114970359856</v>
      </c>
      <c r="L1131" s="7">
        <f>J1131*税费参数!$B$12/(I1131*10000)</f>
        <v>0.0327586206896552</v>
      </c>
      <c r="M1131" s="6">
        <f>I1131*10000*SUM(税费参数!$B$9:$B$10)/税费参数!$B$11</f>
        <v>217.5</v>
      </c>
    </row>
    <row r="1132" ht="21" customHeight="1" spans="1:13">
      <c r="A1132" s="5" t="s">
        <v>9</v>
      </c>
      <c r="B1132" s="6" t="s">
        <v>85</v>
      </c>
      <c r="C1132" s="6" t="s">
        <v>157</v>
      </c>
      <c r="D1132" s="6" t="s">
        <v>155</v>
      </c>
      <c r="E1132" s="6" t="s">
        <v>841</v>
      </c>
      <c r="F1132" s="6" t="s">
        <v>1842</v>
      </c>
      <c r="G1132" s="6">
        <v>60.15</v>
      </c>
      <c r="H1132" s="6">
        <v>64.59</v>
      </c>
      <c r="I1132" s="6">
        <v>116</v>
      </c>
      <c r="J1132" s="6">
        <v>2900</v>
      </c>
      <c r="K1132" s="7">
        <f>(J1132-M1132)*税费参数!$B$12/(I1132*10000*(1+SUM(税费参数!$B$6:$B$8)))</f>
        <v>0.0223970944309927</v>
      </c>
      <c r="L1132" s="7">
        <f>J1132*税费参数!$B$12/(I1132*10000)</f>
        <v>0.025</v>
      </c>
      <c r="M1132" s="6">
        <f>I1132*10000*SUM(税费参数!$B$9:$B$10)/税费参数!$B$11</f>
        <v>217.5</v>
      </c>
    </row>
    <row r="1133" ht="21" customHeight="1" spans="1:13">
      <c r="A1133" s="5" t="s">
        <v>9</v>
      </c>
      <c r="B1133" s="6" t="s">
        <v>85</v>
      </c>
      <c r="C1133" s="6" t="s">
        <v>157</v>
      </c>
      <c r="D1133" s="6" t="s">
        <v>155</v>
      </c>
      <c r="E1133" s="6" t="s">
        <v>841</v>
      </c>
      <c r="F1133" s="6" t="s">
        <v>1843</v>
      </c>
      <c r="G1133" s="6">
        <v>60.15</v>
      </c>
      <c r="H1133" s="6">
        <v>69.14</v>
      </c>
      <c r="I1133" s="6">
        <v>116</v>
      </c>
      <c r="J1133" s="6">
        <v>3200</v>
      </c>
      <c r="K1133" s="7">
        <f>(J1133-M1133)*税费参数!$B$12/(I1133*10000*(1+SUM(税费参数!$B$6:$B$8)))</f>
        <v>0.0249018952993237</v>
      </c>
      <c r="L1133" s="7">
        <f>J1133*税费参数!$B$12/(I1133*10000)</f>
        <v>0.0275862068965517</v>
      </c>
      <c r="M1133" s="6">
        <f>I1133*10000*SUM(税费参数!$B$9:$B$10)/税费参数!$B$11</f>
        <v>217.5</v>
      </c>
    </row>
    <row r="1134" ht="21" customHeight="1" spans="1:13">
      <c r="A1134" s="5" t="s">
        <v>9</v>
      </c>
      <c r="B1134" s="6" t="s">
        <v>85</v>
      </c>
      <c r="C1134" s="6" t="s">
        <v>157</v>
      </c>
      <c r="D1134" s="6" t="s">
        <v>155</v>
      </c>
      <c r="E1134" s="6" t="s">
        <v>841</v>
      </c>
      <c r="F1134" s="6" t="s">
        <v>1844</v>
      </c>
      <c r="G1134" s="6">
        <v>60.15</v>
      </c>
      <c r="H1134" s="6">
        <v>60.15</v>
      </c>
      <c r="I1134" s="6">
        <v>116</v>
      </c>
      <c r="J1134" s="6">
        <v>3000</v>
      </c>
      <c r="K1134" s="7">
        <f>(J1134-M1134)*税费参数!$B$12/(I1134*10000*(1+SUM(税费参数!$B$6:$B$8)))</f>
        <v>0.0232320280537697</v>
      </c>
      <c r="L1134" s="7">
        <f>J1134*税费参数!$B$12/(I1134*10000)</f>
        <v>0.0258620689655172</v>
      </c>
      <c r="M1134" s="6">
        <f>I1134*10000*SUM(税费参数!$B$9:$B$10)/税费参数!$B$11</f>
        <v>217.5</v>
      </c>
    </row>
    <row r="1135" ht="21" customHeight="1" spans="1:13">
      <c r="A1135" s="5" t="s">
        <v>9</v>
      </c>
      <c r="B1135" s="6" t="s">
        <v>85</v>
      </c>
      <c r="C1135" s="6" t="s">
        <v>157</v>
      </c>
      <c r="D1135" s="6" t="s">
        <v>155</v>
      </c>
      <c r="E1135" s="6" t="s">
        <v>847</v>
      </c>
      <c r="F1135" s="6" t="s">
        <v>1839</v>
      </c>
      <c r="G1135" s="6">
        <v>64.59</v>
      </c>
      <c r="H1135" s="6">
        <v>64.59</v>
      </c>
      <c r="I1135" s="6">
        <v>115</v>
      </c>
      <c r="J1135" s="6">
        <v>3000</v>
      </c>
      <c r="K1135" s="7">
        <f>(J1135-M1135)*税费参数!$B$12/(I1135*10000*(1+SUM(税费参数!$B$6:$B$8)))</f>
        <v>0.0234498368249289</v>
      </c>
      <c r="L1135" s="7">
        <f>J1135*税费参数!$B$12/(I1135*10000)</f>
        <v>0.0260869565217391</v>
      </c>
      <c r="M1135" s="6">
        <f>I1135*10000*SUM(税费参数!$B$9:$B$10)/税费参数!$B$11</f>
        <v>215.625</v>
      </c>
    </row>
    <row r="1136" ht="21" customHeight="1" spans="1:13">
      <c r="A1136" s="5" t="s">
        <v>9</v>
      </c>
      <c r="B1136" s="6" t="s">
        <v>85</v>
      </c>
      <c r="C1136" s="6" t="s">
        <v>157</v>
      </c>
      <c r="D1136" s="6" t="s">
        <v>155</v>
      </c>
      <c r="E1136" s="6" t="s">
        <v>847</v>
      </c>
      <c r="F1136" s="6" t="s">
        <v>1840</v>
      </c>
      <c r="G1136" s="6">
        <v>64.59</v>
      </c>
      <c r="H1136" s="6">
        <v>66.87</v>
      </c>
      <c r="I1136" s="6">
        <v>115</v>
      </c>
      <c r="J1136" s="6">
        <v>2700</v>
      </c>
      <c r="K1136" s="7">
        <f>(J1136-M1136)*税费参数!$B$12/(I1136*10000*(1+SUM(税费参数!$B$6:$B$8)))</f>
        <v>0.0209232550794821</v>
      </c>
      <c r="L1136" s="7">
        <f>J1136*税费参数!$B$12/(I1136*10000)</f>
        <v>0.0234782608695652</v>
      </c>
      <c r="M1136" s="6">
        <f>I1136*10000*SUM(税费参数!$B$9:$B$10)/税费参数!$B$11</f>
        <v>215.625</v>
      </c>
    </row>
    <row r="1137" ht="21" customHeight="1" spans="1:13">
      <c r="A1137" s="5" t="s">
        <v>9</v>
      </c>
      <c r="B1137" s="6" t="s">
        <v>85</v>
      </c>
      <c r="C1137" s="6" t="s">
        <v>157</v>
      </c>
      <c r="D1137" s="6" t="s">
        <v>155</v>
      </c>
      <c r="E1137" s="6" t="s">
        <v>847</v>
      </c>
      <c r="F1137" s="6" t="s">
        <v>1841</v>
      </c>
      <c r="G1137" s="6">
        <v>64.59</v>
      </c>
      <c r="H1137" s="6">
        <v>68.66</v>
      </c>
      <c r="I1137" s="6">
        <v>115</v>
      </c>
      <c r="J1137" s="6">
        <v>3800</v>
      </c>
      <c r="K1137" s="7">
        <f>(J1137-M1137)*税费参数!$B$12/(I1137*10000*(1+SUM(税费参数!$B$6:$B$8)))</f>
        <v>0.0301873881461206</v>
      </c>
      <c r="L1137" s="7">
        <f>J1137*税费参数!$B$12/(I1137*10000)</f>
        <v>0.0330434782608696</v>
      </c>
      <c r="M1137" s="6">
        <f>I1137*10000*SUM(税费参数!$B$9:$B$10)/税费参数!$B$11</f>
        <v>215.625</v>
      </c>
    </row>
    <row r="1138" ht="21" customHeight="1" spans="1:13">
      <c r="A1138" s="5" t="s">
        <v>9</v>
      </c>
      <c r="B1138" s="6" t="s">
        <v>85</v>
      </c>
      <c r="C1138" s="6" t="s">
        <v>157</v>
      </c>
      <c r="D1138" s="6" t="s">
        <v>155</v>
      </c>
      <c r="E1138" s="6" t="s">
        <v>847</v>
      </c>
      <c r="F1138" s="6" t="s">
        <v>1842</v>
      </c>
      <c r="G1138" s="6">
        <v>64.59</v>
      </c>
      <c r="H1138" s="6">
        <v>64.59</v>
      </c>
      <c r="I1138" s="6">
        <v>115</v>
      </c>
      <c r="J1138" s="6">
        <v>2900</v>
      </c>
      <c r="K1138" s="7">
        <f>(J1138-M1138)*税费参数!$B$12/(I1138*10000*(1+SUM(税费参数!$B$6:$B$8)))</f>
        <v>0.02260764290978</v>
      </c>
      <c r="L1138" s="7">
        <f>J1138*税费参数!$B$12/(I1138*10000)</f>
        <v>0.0252173913043478</v>
      </c>
      <c r="M1138" s="6">
        <f>I1138*10000*SUM(税费参数!$B$9:$B$10)/税费参数!$B$11</f>
        <v>215.625</v>
      </c>
    </row>
    <row r="1139" ht="21" customHeight="1" spans="1:13">
      <c r="A1139" s="5" t="s">
        <v>9</v>
      </c>
      <c r="B1139" s="6" t="s">
        <v>85</v>
      </c>
      <c r="C1139" s="6" t="s">
        <v>157</v>
      </c>
      <c r="D1139" s="6" t="s">
        <v>155</v>
      </c>
      <c r="E1139" s="6" t="s">
        <v>847</v>
      </c>
      <c r="F1139" s="6" t="s">
        <v>1845</v>
      </c>
      <c r="G1139" s="6">
        <v>64.59</v>
      </c>
      <c r="H1139" s="6">
        <v>73</v>
      </c>
      <c r="I1139" s="6">
        <v>115</v>
      </c>
      <c r="J1139" s="6">
        <v>3100</v>
      </c>
      <c r="K1139" s="7">
        <f>(J1139-M1139)*税费参数!$B$12/(I1139*10000*(1+SUM(税费参数!$B$6:$B$8)))</f>
        <v>0.0242920307400779</v>
      </c>
      <c r="L1139" s="7">
        <f>J1139*税费参数!$B$12/(I1139*10000)</f>
        <v>0.0269565217391304</v>
      </c>
      <c r="M1139" s="6">
        <f>I1139*10000*SUM(税费参数!$B$9:$B$10)/税费参数!$B$11</f>
        <v>215.625</v>
      </c>
    </row>
    <row r="1140" ht="21" customHeight="1" spans="1:13">
      <c r="A1140" s="5" t="s">
        <v>9</v>
      </c>
      <c r="B1140" s="6" t="s">
        <v>85</v>
      </c>
      <c r="C1140" s="6" t="s">
        <v>157</v>
      </c>
      <c r="D1140" s="6" t="s">
        <v>155</v>
      </c>
      <c r="E1140" s="6" t="s">
        <v>847</v>
      </c>
      <c r="F1140" s="6" t="s">
        <v>1846</v>
      </c>
      <c r="G1140" s="6">
        <v>64.59</v>
      </c>
      <c r="H1140" s="6">
        <v>73</v>
      </c>
      <c r="I1140" s="6">
        <v>115</v>
      </c>
      <c r="J1140" s="6">
        <v>3500</v>
      </c>
      <c r="K1140" s="7">
        <f>(J1140-M1140)*税费参数!$B$12/(I1140*10000*(1+SUM(税费参数!$B$6:$B$8)))</f>
        <v>0.0276608064006738</v>
      </c>
      <c r="L1140" s="7">
        <f>J1140*税费参数!$B$12/(I1140*10000)</f>
        <v>0.0304347826086957</v>
      </c>
      <c r="M1140" s="6">
        <f>I1140*10000*SUM(税费参数!$B$9:$B$10)/税费参数!$B$11</f>
        <v>215.625</v>
      </c>
    </row>
    <row r="1141" ht="21" customHeight="1" spans="1:13">
      <c r="A1141" s="5" t="s">
        <v>9</v>
      </c>
      <c r="B1141" s="6" t="s">
        <v>85</v>
      </c>
      <c r="C1141" s="6" t="s">
        <v>157</v>
      </c>
      <c r="D1141" s="6" t="s">
        <v>155</v>
      </c>
      <c r="E1141" s="6" t="s">
        <v>847</v>
      </c>
      <c r="F1141" s="6" t="s">
        <v>1843</v>
      </c>
      <c r="G1141" s="6">
        <v>64.59</v>
      </c>
      <c r="H1141" s="6">
        <v>69.14</v>
      </c>
      <c r="I1141" s="6">
        <v>115</v>
      </c>
      <c r="J1141" s="6">
        <v>3200</v>
      </c>
      <c r="K1141" s="7">
        <f>(J1141-M1141)*税费参数!$B$12/(I1141*10000*(1+SUM(税费参数!$B$6:$B$8)))</f>
        <v>0.0251342246552269</v>
      </c>
      <c r="L1141" s="7">
        <f>J1141*税费参数!$B$12/(I1141*10000)</f>
        <v>0.0278260869565217</v>
      </c>
      <c r="M1141" s="6">
        <f>I1141*10000*SUM(税费参数!$B$9:$B$10)/税费参数!$B$11</f>
        <v>215.625</v>
      </c>
    </row>
    <row r="1142" ht="21" customHeight="1" spans="1:13">
      <c r="A1142" s="5" t="s">
        <v>9</v>
      </c>
      <c r="B1142" s="6" t="s">
        <v>85</v>
      </c>
      <c r="C1142" s="6" t="s">
        <v>157</v>
      </c>
      <c r="D1142" s="6" t="s">
        <v>155</v>
      </c>
      <c r="E1142" s="6" t="s">
        <v>847</v>
      </c>
      <c r="F1142" s="6" t="s">
        <v>1844</v>
      </c>
      <c r="G1142" s="6">
        <v>64.59</v>
      </c>
      <c r="H1142" s="6">
        <v>60.15</v>
      </c>
      <c r="I1142" s="6">
        <v>115</v>
      </c>
      <c r="J1142" s="6">
        <v>3000</v>
      </c>
      <c r="K1142" s="7">
        <f>(J1142-M1142)*税费参数!$B$12/(I1142*10000*(1+SUM(税费参数!$B$6:$B$8)))</f>
        <v>0.0234498368249289</v>
      </c>
      <c r="L1142" s="7">
        <f>J1142*税费参数!$B$12/(I1142*10000)</f>
        <v>0.0260869565217391</v>
      </c>
      <c r="M1142" s="6">
        <f>I1142*10000*SUM(税费参数!$B$9:$B$10)/税费参数!$B$11</f>
        <v>215.625</v>
      </c>
    </row>
    <row r="1143" ht="21" customHeight="1" spans="1:13">
      <c r="A1143" s="5" t="s">
        <v>9</v>
      </c>
      <c r="B1143" s="6" t="s">
        <v>85</v>
      </c>
      <c r="C1143" s="6" t="s">
        <v>157</v>
      </c>
      <c r="D1143" s="6" t="s">
        <v>155</v>
      </c>
      <c r="E1143" s="6" t="s">
        <v>851</v>
      </c>
      <c r="F1143" s="6" t="s">
        <v>1839</v>
      </c>
      <c r="G1143" s="6">
        <v>64.59</v>
      </c>
      <c r="H1143" s="6">
        <v>64.59</v>
      </c>
      <c r="I1143" s="6">
        <v>110</v>
      </c>
      <c r="J1143" s="6">
        <v>3000</v>
      </c>
      <c r="K1143" s="7">
        <f>(J1143-M1143)*税费参数!$B$12/(I1143*10000*(1+SUM(税费参数!$B$6:$B$8)))</f>
        <v>0.0245982830728593</v>
      </c>
      <c r="L1143" s="7">
        <f>J1143*税费参数!$B$12/(I1143*10000)</f>
        <v>0.0272727272727273</v>
      </c>
      <c r="M1143" s="6">
        <f>I1143*10000*SUM(税费参数!$B$9:$B$10)/税费参数!$B$11</f>
        <v>206.25</v>
      </c>
    </row>
    <row r="1144" ht="21" customHeight="1" spans="1:13">
      <c r="A1144" s="5" t="s">
        <v>9</v>
      </c>
      <c r="B1144" s="6" t="s">
        <v>85</v>
      </c>
      <c r="C1144" s="6" t="s">
        <v>157</v>
      </c>
      <c r="D1144" s="6" t="s">
        <v>155</v>
      </c>
      <c r="E1144" s="6" t="s">
        <v>851</v>
      </c>
      <c r="F1144" s="6" t="s">
        <v>1840</v>
      </c>
      <c r="G1144" s="6">
        <v>64.59</v>
      </c>
      <c r="H1144" s="6">
        <v>66.87</v>
      </c>
      <c r="I1144" s="6">
        <v>110</v>
      </c>
      <c r="J1144" s="6">
        <v>2700</v>
      </c>
      <c r="K1144" s="7">
        <f>(J1144-M1144)*税费参数!$B$12/(I1144*10000*(1+SUM(税费参数!$B$6:$B$8)))</f>
        <v>0.0219568567026194</v>
      </c>
      <c r="L1144" s="7">
        <f>J1144*税费参数!$B$12/(I1144*10000)</f>
        <v>0.0245454545454545</v>
      </c>
      <c r="M1144" s="6">
        <f>I1144*10000*SUM(税费参数!$B$9:$B$10)/税费参数!$B$11</f>
        <v>206.25</v>
      </c>
    </row>
    <row r="1145" ht="21" customHeight="1" spans="1:13">
      <c r="A1145" s="5" t="s">
        <v>9</v>
      </c>
      <c r="B1145" s="6" t="s">
        <v>85</v>
      </c>
      <c r="C1145" s="6" t="s">
        <v>157</v>
      </c>
      <c r="D1145" s="6" t="s">
        <v>155</v>
      </c>
      <c r="E1145" s="6" t="s">
        <v>851</v>
      </c>
      <c r="F1145" s="6" t="s">
        <v>1841</v>
      </c>
      <c r="G1145" s="6">
        <v>64.59</v>
      </c>
      <c r="H1145" s="6">
        <v>68.66</v>
      </c>
      <c r="I1145" s="6">
        <v>110</v>
      </c>
      <c r="J1145" s="6">
        <v>3800</v>
      </c>
      <c r="K1145" s="7">
        <f>(J1145-M1145)*税费参数!$B$12/(I1145*10000*(1+SUM(税费参数!$B$6:$B$8)))</f>
        <v>0.0316420867268325</v>
      </c>
      <c r="L1145" s="7">
        <f>J1145*税费参数!$B$12/(I1145*10000)</f>
        <v>0.0345454545454545</v>
      </c>
      <c r="M1145" s="6">
        <f>I1145*10000*SUM(税费参数!$B$9:$B$10)/税费参数!$B$11</f>
        <v>206.25</v>
      </c>
    </row>
    <row r="1146" ht="21" customHeight="1" spans="1:13">
      <c r="A1146" s="5" t="s">
        <v>9</v>
      </c>
      <c r="B1146" s="6" t="s">
        <v>85</v>
      </c>
      <c r="C1146" s="6" t="s">
        <v>157</v>
      </c>
      <c r="D1146" s="6" t="s">
        <v>155</v>
      </c>
      <c r="E1146" s="6" t="s">
        <v>851</v>
      </c>
      <c r="F1146" s="6" t="s">
        <v>1842</v>
      </c>
      <c r="G1146" s="6">
        <v>64.59</v>
      </c>
      <c r="H1146" s="6">
        <v>64.59</v>
      </c>
      <c r="I1146" s="6">
        <v>110</v>
      </c>
      <c r="J1146" s="6">
        <v>2900</v>
      </c>
      <c r="K1146" s="7">
        <f>(J1146-M1146)*税费参数!$B$12/(I1146*10000*(1+SUM(税费参数!$B$6:$B$8)))</f>
        <v>0.0237178076161127</v>
      </c>
      <c r="L1146" s="7">
        <f>J1146*税费参数!$B$12/(I1146*10000)</f>
        <v>0.0263636363636364</v>
      </c>
      <c r="M1146" s="6">
        <f>I1146*10000*SUM(税费参数!$B$9:$B$10)/税费参数!$B$11</f>
        <v>206.25</v>
      </c>
    </row>
    <row r="1147" ht="21" customHeight="1" spans="1:13">
      <c r="A1147" s="5" t="s">
        <v>9</v>
      </c>
      <c r="B1147" s="6" t="s">
        <v>85</v>
      </c>
      <c r="C1147" s="6" t="s">
        <v>157</v>
      </c>
      <c r="D1147" s="6" t="s">
        <v>155</v>
      </c>
      <c r="E1147" s="6" t="s">
        <v>851</v>
      </c>
      <c r="F1147" s="6" t="s">
        <v>1845</v>
      </c>
      <c r="G1147" s="6">
        <v>64.59</v>
      </c>
      <c r="H1147" s="6">
        <v>73</v>
      </c>
      <c r="I1147" s="6">
        <v>110</v>
      </c>
      <c r="J1147" s="6">
        <v>3100</v>
      </c>
      <c r="K1147" s="7">
        <f>(J1147-M1147)*税费参数!$B$12/(I1147*10000*(1+SUM(税费参数!$B$6:$B$8)))</f>
        <v>0.025478758529606</v>
      </c>
      <c r="L1147" s="7">
        <f>J1147*税费参数!$B$12/(I1147*10000)</f>
        <v>0.0281818181818182</v>
      </c>
      <c r="M1147" s="6">
        <f>I1147*10000*SUM(税费参数!$B$9:$B$10)/税费参数!$B$11</f>
        <v>206.25</v>
      </c>
    </row>
    <row r="1148" ht="21" customHeight="1" spans="1:13">
      <c r="A1148" s="5" t="s">
        <v>9</v>
      </c>
      <c r="B1148" s="6" t="s">
        <v>85</v>
      </c>
      <c r="C1148" s="6" t="s">
        <v>157</v>
      </c>
      <c r="D1148" s="6" t="s">
        <v>155</v>
      </c>
      <c r="E1148" s="6" t="s">
        <v>851</v>
      </c>
      <c r="F1148" s="6" t="s">
        <v>1846</v>
      </c>
      <c r="G1148" s="6">
        <v>64.59</v>
      </c>
      <c r="H1148" s="6">
        <v>73</v>
      </c>
      <c r="I1148" s="6">
        <v>110</v>
      </c>
      <c r="J1148" s="6">
        <v>3500</v>
      </c>
      <c r="K1148" s="7">
        <f>(J1148-M1148)*税费参数!$B$12/(I1148*10000*(1+SUM(税费参数!$B$6:$B$8)))</f>
        <v>0.0290006603565926</v>
      </c>
      <c r="L1148" s="7">
        <f>J1148*税费参数!$B$12/(I1148*10000)</f>
        <v>0.0318181818181818</v>
      </c>
      <c r="M1148" s="6">
        <f>I1148*10000*SUM(税费参数!$B$9:$B$10)/税费参数!$B$11</f>
        <v>206.25</v>
      </c>
    </row>
    <row r="1149" ht="21" customHeight="1" spans="1:13">
      <c r="A1149" s="5" t="s">
        <v>9</v>
      </c>
      <c r="B1149" s="6" t="s">
        <v>85</v>
      </c>
      <c r="C1149" s="6" t="s">
        <v>157</v>
      </c>
      <c r="D1149" s="6" t="s">
        <v>155</v>
      </c>
      <c r="E1149" s="6" t="s">
        <v>851</v>
      </c>
      <c r="F1149" s="6" t="s">
        <v>1843</v>
      </c>
      <c r="G1149" s="6">
        <v>64.59</v>
      </c>
      <c r="H1149" s="6">
        <v>69.14</v>
      </c>
      <c r="I1149" s="6">
        <v>110</v>
      </c>
      <c r="J1149" s="6">
        <v>3200</v>
      </c>
      <c r="K1149" s="7">
        <f>(J1149-M1149)*税费参数!$B$12/(I1149*10000*(1+SUM(税费参数!$B$6:$B$8)))</f>
        <v>0.0263592339863526</v>
      </c>
      <c r="L1149" s="7">
        <f>J1149*税费参数!$B$12/(I1149*10000)</f>
        <v>0.0290909090909091</v>
      </c>
      <c r="M1149" s="6">
        <f>I1149*10000*SUM(税费参数!$B$9:$B$10)/税费参数!$B$11</f>
        <v>206.25</v>
      </c>
    </row>
    <row r="1150" ht="21" customHeight="1" spans="1:13">
      <c r="A1150" s="5" t="s">
        <v>9</v>
      </c>
      <c r="B1150" s="6" t="s">
        <v>85</v>
      </c>
      <c r="C1150" s="6" t="s">
        <v>157</v>
      </c>
      <c r="D1150" s="6" t="s">
        <v>155</v>
      </c>
      <c r="E1150" s="6" t="s">
        <v>851</v>
      </c>
      <c r="F1150" s="6" t="s">
        <v>1844</v>
      </c>
      <c r="G1150" s="6">
        <v>64.59</v>
      </c>
      <c r="H1150" s="6">
        <v>60.15</v>
      </c>
      <c r="I1150" s="6">
        <v>110</v>
      </c>
      <c r="J1150" s="6">
        <v>3000</v>
      </c>
      <c r="K1150" s="7">
        <f>(J1150-M1150)*税费参数!$B$12/(I1150*10000*(1+SUM(税费参数!$B$6:$B$8)))</f>
        <v>0.0245982830728593</v>
      </c>
      <c r="L1150" s="7">
        <f>J1150*税费参数!$B$12/(I1150*10000)</f>
        <v>0.0272727272727273</v>
      </c>
      <c r="M1150" s="6">
        <f>I1150*10000*SUM(税费参数!$B$9:$B$10)/税费参数!$B$11</f>
        <v>206.25</v>
      </c>
    </row>
    <row r="1151" ht="21" customHeight="1" spans="1:13">
      <c r="A1151" s="5" t="s">
        <v>9</v>
      </c>
      <c r="B1151" s="6" t="s">
        <v>85</v>
      </c>
      <c r="C1151" s="6" t="s">
        <v>157</v>
      </c>
      <c r="D1151" s="6" t="s">
        <v>155</v>
      </c>
      <c r="E1151" s="6" t="s">
        <v>849</v>
      </c>
      <c r="F1151" s="6" t="s">
        <v>1839</v>
      </c>
      <c r="G1151" s="6">
        <v>68.66</v>
      </c>
      <c r="H1151" s="6">
        <v>64.59</v>
      </c>
      <c r="I1151" s="6">
        <v>120</v>
      </c>
      <c r="J1151" s="6">
        <v>3000</v>
      </c>
      <c r="K1151" s="7">
        <f>(J1151-M1151)*税费参数!$B$12/(I1151*10000*(1+SUM(税费参数!$B$6:$B$8)))</f>
        <v>0.0223970944309927</v>
      </c>
      <c r="L1151" s="7">
        <f>J1151*税费参数!$B$12/(I1151*10000)</f>
        <v>0.025</v>
      </c>
      <c r="M1151" s="6">
        <f>I1151*10000*SUM(税费参数!$B$9:$B$10)/税费参数!$B$11</f>
        <v>225</v>
      </c>
    </row>
    <row r="1152" ht="21" customHeight="1" spans="1:13">
      <c r="A1152" s="5" t="s">
        <v>9</v>
      </c>
      <c r="B1152" s="6" t="s">
        <v>85</v>
      </c>
      <c r="C1152" s="6" t="s">
        <v>157</v>
      </c>
      <c r="D1152" s="6" t="s">
        <v>155</v>
      </c>
      <c r="E1152" s="6" t="s">
        <v>849</v>
      </c>
      <c r="F1152" s="6" t="s">
        <v>1840</v>
      </c>
      <c r="G1152" s="6">
        <v>68.66</v>
      </c>
      <c r="H1152" s="6">
        <v>66.87</v>
      </c>
      <c r="I1152" s="6">
        <v>120</v>
      </c>
      <c r="J1152" s="6">
        <v>2700</v>
      </c>
      <c r="K1152" s="7">
        <f>(J1152-M1152)*税费参数!$B$12/(I1152*10000*(1+SUM(税费参数!$B$6:$B$8)))</f>
        <v>0.0199757869249395</v>
      </c>
      <c r="L1152" s="7">
        <f>J1152*税费参数!$B$12/(I1152*10000)</f>
        <v>0.0225</v>
      </c>
      <c r="M1152" s="6">
        <f>I1152*10000*SUM(税费参数!$B$9:$B$10)/税费参数!$B$11</f>
        <v>225</v>
      </c>
    </row>
    <row r="1153" ht="21" customHeight="1" spans="1:13">
      <c r="A1153" s="5" t="s">
        <v>9</v>
      </c>
      <c r="B1153" s="6" t="s">
        <v>85</v>
      </c>
      <c r="C1153" s="6" t="s">
        <v>157</v>
      </c>
      <c r="D1153" s="6" t="s">
        <v>155</v>
      </c>
      <c r="E1153" s="6" t="s">
        <v>849</v>
      </c>
      <c r="F1153" s="6" t="s">
        <v>1841</v>
      </c>
      <c r="G1153" s="6">
        <v>68.66</v>
      </c>
      <c r="H1153" s="6">
        <v>68.66</v>
      </c>
      <c r="I1153" s="6">
        <v>120</v>
      </c>
      <c r="J1153" s="6">
        <v>3800</v>
      </c>
      <c r="K1153" s="7">
        <f>(J1153-M1153)*税费参数!$B$12/(I1153*10000*(1+SUM(税费参数!$B$6:$B$8)))</f>
        <v>0.0288539144471348</v>
      </c>
      <c r="L1153" s="7">
        <f>J1153*税费参数!$B$12/(I1153*10000)</f>
        <v>0.0316666666666667</v>
      </c>
      <c r="M1153" s="6">
        <f>I1153*10000*SUM(税费参数!$B$9:$B$10)/税费参数!$B$11</f>
        <v>225</v>
      </c>
    </row>
    <row r="1154" ht="21" customHeight="1" spans="1:13">
      <c r="A1154" s="5" t="s">
        <v>9</v>
      </c>
      <c r="B1154" s="6" t="s">
        <v>85</v>
      </c>
      <c r="C1154" s="6" t="s">
        <v>157</v>
      </c>
      <c r="D1154" s="6" t="s">
        <v>155</v>
      </c>
      <c r="E1154" s="6" t="s">
        <v>849</v>
      </c>
      <c r="F1154" s="6" t="s">
        <v>1842</v>
      </c>
      <c r="G1154" s="6">
        <v>68.66</v>
      </c>
      <c r="H1154" s="6">
        <v>64.59</v>
      </c>
      <c r="I1154" s="6">
        <v>120</v>
      </c>
      <c r="J1154" s="6">
        <v>2900</v>
      </c>
      <c r="K1154" s="7">
        <f>(J1154-M1154)*税费参数!$B$12/(I1154*10000*(1+SUM(税费参数!$B$6:$B$8)))</f>
        <v>0.021589991928975</v>
      </c>
      <c r="L1154" s="7">
        <f>J1154*税费参数!$B$12/(I1154*10000)</f>
        <v>0.0241666666666667</v>
      </c>
      <c r="M1154" s="6">
        <f>I1154*10000*SUM(税费参数!$B$9:$B$10)/税费参数!$B$11</f>
        <v>225</v>
      </c>
    </row>
    <row r="1155" ht="21" customHeight="1" spans="1:13">
      <c r="A1155" s="5" t="s">
        <v>9</v>
      </c>
      <c r="B1155" s="6" t="s">
        <v>85</v>
      </c>
      <c r="C1155" s="6" t="s">
        <v>157</v>
      </c>
      <c r="D1155" s="6" t="s">
        <v>155</v>
      </c>
      <c r="E1155" s="6" t="s">
        <v>849</v>
      </c>
      <c r="F1155" s="6" t="s">
        <v>1845</v>
      </c>
      <c r="G1155" s="6">
        <v>68.66</v>
      </c>
      <c r="H1155" s="6">
        <v>73</v>
      </c>
      <c r="I1155" s="6">
        <v>120</v>
      </c>
      <c r="J1155" s="6">
        <v>3100</v>
      </c>
      <c r="K1155" s="7">
        <f>(J1155-M1155)*税费参数!$B$12/(I1155*10000*(1+SUM(税费参数!$B$6:$B$8)))</f>
        <v>0.0232041969330105</v>
      </c>
      <c r="L1155" s="7">
        <f>J1155*税费参数!$B$12/(I1155*10000)</f>
        <v>0.0258333333333333</v>
      </c>
      <c r="M1155" s="6">
        <f>I1155*10000*SUM(税费参数!$B$9:$B$10)/税费参数!$B$11</f>
        <v>225</v>
      </c>
    </row>
    <row r="1156" ht="21" customHeight="1" spans="1:13">
      <c r="A1156" s="5" t="s">
        <v>9</v>
      </c>
      <c r="B1156" s="6" t="s">
        <v>85</v>
      </c>
      <c r="C1156" s="6" t="s">
        <v>157</v>
      </c>
      <c r="D1156" s="6" t="s">
        <v>155</v>
      </c>
      <c r="E1156" s="6" t="s">
        <v>849</v>
      </c>
      <c r="F1156" s="6" t="s">
        <v>1846</v>
      </c>
      <c r="G1156" s="6">
        <v>68.66</v>
      </c>
      <c r="H1156" s="6">
        <v>73</v>
      </c>
      <c r="I1156" s="6">
        <v>120</v>
      </c>
      <c r="J1156" s="6">
        <v>3500</v>
      </c>
      <c r="K1156" s="7">
        <f>(J1156-M1156)*税费参数!$B$12/(I1156*10000*(1+SUM(税费参数!$B$6:$B$8)))</f>
        <v>0.0264326069410815</v>
      </c>
      <c r="L1156" s="7">
        <f>J1156*税费参数!$B$12/(I1156*10000)</f>
        <v>0.0291666666666667</v>
      </c>
      <c r="M1156" s="6">
        <f>I1156*10000*SUM(税费参数!$B$9:$B$10)/税费参数!$B$11</f>
        <v>225</v>
      </c>
    </row>
    <row r="1157" ht="21" customHeight="1" spans="1:13">
      <c r="A1157" s="5" t="s">
        <v>9</v>
      </c>
      <c r="B1157" s="6" t="s">
        <v>85</v>
      </c>
      <c r="C1157" s="6" t="s">
        <v>157</v>
      </c>
      <c r="D1157" s="6" t="s">
        <v>155</v>
      </c>
      <c r="E1157" s="6" t="s">
        <v>849</v>
      </c>
      <c r="F1157" s="6" t="s">
        <v>1843</v>
      </c>
      <c r="G1157" s="6">
        <v>68.66</v>
      </c>
      <c r="H1157" s="6">
        <v>69.14</v>
      </c>
      <c r="I1157" s="6">
        <v>120</v>
      </c>
      <c r="J1157" s="6">
        <v>3200</v>
      </c>
      <c r="K1157" s="7">
        <f>(J1157-M1157)*税费参数!$B$12/(I1157*10000*(1+SUM(税费参数!$B$6:$B$8)))</f>
        <v>0.0240112994350282</v>
      </c>
      <c r="L1157" s="7">
        <f>J1157*税费参数!$B$12/(I1157*10000)</f>
        <v>0.0266666666666667</v>
      </c>
      <c r="M1157" s="6">
        <f>I1157*10000*SUM(税费参数!$B$9:$B$10)/税费参数!$B$11</f>
        <v>225</v>
      </c>
    </row>
    <row r="1158" ht="21" customHeight="1" spans="1:13">
      <c r="A1158" s="5" t="s">
        <v>9</v>
      </c>
      <c r="B1158" s="6" t="s">
        <v>85</v>
      </c>
      <c r="C1158" s="6" t="s">
        <v>157</v>
      </c>
      <c r="D1158" s="6" t="s">
        <v>155</v>
      </c>
      <c r="E1158" s="6" t="s">
        <v>849</v>
      </c>
      <c r="F1158" s="6" t="s">
        <v>1844</v>
      </c>
      <c r="G1158" s="6">
        <v>68.66</v>
      </c>
      <c r="H1158" s="6">
        <v>60.15</v>
      </c>
      <c r="I1158" s="6">
        <v>120</v>
      </c>
      <c r="J1158" s="6">
        <v>3000</v>
      </c>
      <c r="K1158" s="7">
        <f>(J1158-M1158)*税费参数!$B$12/(I1158*10000*(1+SUM(税费参数!$B$6:$B$8)))</f>
        <v>0.0223970944309927</v>
      </c>
      <c r="L1158" s="7">
        <f>J1158*税费参数!$B$12/(I1158*10000)</f>
        <v>0.025</v>
      </c>
      <c r="M1158" s="6">
        <f>I1158*10000*SUM(税费参数!$B$9:$B$10)/税费参数!$B$11</f>
        <v>225</v>
      </c>
    </row>
    <row r="1159" ht="21" customHeight="1" spans="1:13">
      <c r="A1159" s="5" t="s">
        <v>9</v>
      </c>
      <c r="B1159" s="6" t="s">
        <v>87</v>
      </c>
      <c r="C1159" s="6" t="s">
        <v>152</v>
      </c>
      <c r="D1159" s="6" t="s">
        <v>153</v>
      </c>
      <c r="E1159" s="6" t="s">
        <v>853</v>
      </c>
      <c r="F1159" s="6" t="s">
        <v>1847</v>
      </c>
      <c r="G1159" s="6">
        <v>43.7</v>
      </c>
      <c r="H1159" s="6">
        <v>47</v>
      </c>
      <c r="I1159" s="6">
        <v>76</v>
      </c>
      <c r="J1159" s="6">
        <v>2100</v>
      </c>
      <c r="K1159" s="7">
        <f>(J1159-M1159)*税费参数!$B$12/(I1159*10000*(1+SUM(税费参数!$B$6:$B$8)))</f>
        <v>0.0249458391742067</v>
      </c>
      <c r="L1159" s="7">
        <f>J1159*税费参数!$B$12/(I1159*10000)</f>
        <v>0.0276315789473684</v>
      </c>
      <c r="M1159" s="6">
        <f>I1159*10000*SUM(税费参数!$B$9:$B$10)/税费参数!$B$11</f>
        <v>142.5</v>
      </c>
    </row>
    <row r="1160" ht="21" customHeight="1" spans="1:13">
      <c r="A1160" s="5" t="s">
        <v>9</v>
      </c>
      <c r="B1160" s="6" t="s">
        <v>87</v>
      </c>
      <c r="C1160" s="6" t="s">
        <v>152</v>
      </c>
      <c r="D1160" s="6" t="s">
        <v>153</v>
      </c>
      <c r="E1160" s="6" t="s">
        <v>853</v>
      </c>
      <c r="F1160" s="6" t="s">
        <v>1848</v>
      </c>
      <c r="G1160" s="6">
        <v>43.7</v>
      </c>
      <c r="H1160" s="6">
        <v>43.9</v>
      </c>
      <c r="I1160" s="6">
        <v>76</v>
      </c>
      <c r="J1160" s="6">
        <v>2200</v>
      </c>
      <c r="K1160" s="7">
        <f>(J1160-M1160)*税费参数!$B$12/(I1160*10000*(1+SUM(税费参数!$B$6:$B$8)))</f>
        <v>0.0262202115458137</v>
      </c>
      <c r="L1160" s="7">
        <f>J1160*税费参数!$B$12/(I1160*10000)</f>
        <v>0.0289473684210526</v>
      </c>
      <c r="M1160" s="6">
        <f>I1160*10000*SUM(税费参数!$B$9:$B$10)/税费参数!$B$11</f>
        <v>142.5</v>
      </c>
    </row>
    <row r="1161" ht="21" customHeight="1" spans="1:13">
      <c r="A1161" s="5" t="s">
        <v>9</v>
      </c>
      <c r="B1161" s="6" t="s">
        <v>87</v>
      </c>
      <c r="C1161" s="6" t="s">
        <v>152</v>
      </c>
      <c r="D1161" s="6" t="s">
        <v>153</v>
      </c>
      <c r="E1161" s="6" t="s">
        <v>853</v>
      </c>
      <c r="F1161" s="6" t="s">
        <v>1849</v>
      </c>
      <c r="G1161" s="6">
        <v>43.7</v>
      </c>
      <c r="H1161" s="6">
        <v>45.5</v>
      </c>
      <c r="I1161" s="6">
        <v>76</v>
      </c>
      <c r="J1161" s="6">
        <v>1700</v>
      </c>
      <c r="K1161" s="7">
        <f>(J1161-M1161)*税费参数!$B$12/(I1161*10000*(1+SUM(税费参数!$B$6:$B$8)))</f>
        <v>0.0198483496877788</v>
      </c>
      <c r="L1161" s="7">
        <f>J1161*税费参数!$B$12/(I1161*10000)</f>
        <v>0.0223684210526316</v>
      </c>
      <c r="M1161" s="6">
        <f>I1161*10000*SUM(税费参数!$B$9:$B$10)/税费参数!$B$11</f>
        <v>142.5</v>
      </c>
    </row>
    <row r="1162" ht="21" customHeight="1" spans="1:13">
      <c r="A1162" s="5" t="s">
        <v>9</v>
      </c>
      <c r="B1162" s="6" t="s">
        <v>87</v>
      </c>
      <c r="C1162" s="6" t="s">
        <v>152</v>
      </c>
      <c r="D1162" s="6" t="s">
        <v>153</v>
      </c>
      <c r="E1162" s="6" t="s">
        <v>853</v>
      </c>
      <c r="F1162" s="6" t="s">
        <v>1850</v>
      </c>
      <c r="G1162" s="6">
        <v>43.7</v>
      </c>
      <c r="H1162" s="6">
        <v>45</v>
      </c>
      <c r="I1162" s="6">
        <v>76</v>
      </c>
      <c r="J1162" s="6">
        <v>2300</v>
      </c>
      <c r="K1162" s="7">
        <f>(J1162-M1162)*税费参数!$B$12/(I1162*10000*(1+SUM(税费参数!$B$6:$B$8)))</f>
        <v>0.0274945839174207</v>
      </c>
      <c r="L1162" s="7">
        <f>J1162*税费参数!$B$12/(I1162*10000)</f>
        <v>0.0302631578947368</v>
      </c>
      <c r="M1162" s="6">
        <f>I1162*10000*SUM(税费参数!$B$9:$B$10)/税费参数!$B$11</f>
        <v>142.5</v>
      </c>
    </row>
    <row r="1163" ht="21" customHeight="1" spans="1:13">
      <c r="A1163" s="5" t="s">
        <v>9</v>
      </c>
      <c r="B1163" s="6" t="s">
        <v>87</v>
      </c>
      <c r="C1163" s="6" t="s">
        <v>152</v>
      </c>
      <c r="D1163" s="6" t="s">
        <v>153</v>
      </c>
      <c r="E1163" s="6" t="s">
        <v>853</v>
      </c>
      <c r="F1163" s="6" t="s">
        <v>1851</v>
      </c>
      <c r="G1163" s="6">
        <v>43.7</v>
      </c>
      <c r="H1163" s="6">
        <v>45.69</v>
      </c>
      <c r="I1163" s="6">
        <v>76</v>
      </c>
      <c r="J1163" s="6">
        <v>2300</v>
      </c>
      <c r="K1163" s="7">
        <f>(J1163-M1163)*税费参数!$B$12/(I1163*10000*(1+SUM(税费参数!$B$6:$B$8)))</f>
        <v>0.0274945839174207</v>
      </c>
      <c r="L1163" s="7">
        <f>J1163*税费参数!$B$12/(I1163*10000)</f>
        <v>0.0302631578947368</v>
      </c>
      <c r="M1163" s="6">
        <f>I1163*10000*SUM(税费参数!$B$9:$B$10)/税费参数!$B$11</f>
        <v>142.5</v>
      </c>
    </row>
    <row r="1164" ht="21" customHeight="1" spans="1:13">
      <c r="A1164" s="5" t="s">
        <v>9</v>
      </c>
      <c r="B1164" s="6" t="s">
        <v>87</v>
      </c>
      <c r="C1164" s="6" t="s">
        <v>152</v>
      </c>
      <c r="D1164" s="6" t="s">
        <v>153</v>
      </c>
      <c r="E1164" s="6" t="s">
        <v>853</v>
      </c>
      <c r="F1164" s="6" t="s">
        <v>1852</v>
      </c>
      <c r="G1164" s="6">
        <v>43.7</v>
      </c>
      <c r="H1164" s="6">
        <v>43.7</v>
      </c>
      <c r="I1164" s="6">
        <v>76</v>
      </c>
      <c r="J1164" s="6">
        <v>2100</v>
      </c>
      <c r="K1164" s="7">
        <f>(J1164-M1164)*税费参数!$B$12/(I1164*10000*(1+SUM(税费参数!$B$6:$B$8)))</f>
        <v>0.0249458391742067</v>
      </c>
      <c r="L1164" s="7">
        <f>J1164*税费参数!$B$12/(I1164*10000)</f>
        <v>0.0276315789473684</v>
      </c>
      <c r="M1164" s="6">
        <f>I1164*10000*SUM(税费参数!$B$9:$B$10)/税费参数!$B$11</f>
        <v>142.5</v>
      </c>
    </row>
    <row r="1165" ht="21" customHeight="1" spans="1:13">
      <c r="A1165" s="5" t="s">
        <v>9</v>
      </c>
      <c r="B1165" s="6" t="s">
        <v>87</v>
      </c>
      <c r="C1165" s="6" t="s">
        <v>152</v>
      </c>
      <c r="D1165" s="6" t="s">
        <v>153</v>
      </c>
      <c r="E1165" s="6" t="s">
        <v>853</v>
      </c>
      <c r="F1165" s="6" t="s">
        <v>1853</v>
      </c>
      <c r="G1165" s="6">
        <v>43.7</v>
      </c>
      <c r="H1165" s="6">
        <v>45.17</v>
      </c>
      <c r="I1165" s="6">
        <v>76</v>
      </c>
      <c r="J1165" s="6">
        <v>2800</v>
      </c>
      <c r="K1165" s="7">
        <f>(J1165-M1165)*税费参数!$B$12/(I1165*10000*(1+SUM(税费参数!$B$6:$B$8)))</f>
        <v>0.0338664457754556</v>
      </c>
      <c r="L1165" s="7">
        <f>J1165*税费参数!$B$12/(I1165*10000)</f>
        <v>0.0368421052631579</v>
      </c>
      <c r="M1165" s="6">
        <f>I1165*10000*SUM(税费参数!$B$9:$B$10)/税费参数!$B$11</f>
        <v>142.5</v>
      </c>
    </row>
    <row r="1166" ht="21" customHeight="1" spans="1:13">
      <c r="A1166" s="5" t="s">
        <v>9</v>
      </c>
      <c r="B1166" s="6" t="s">
        <v>87</v>
      </c>
      <c r="C1166" s="6" t="s">
        <v>152</v>
      </c>
      <c r="D1166" s="6" t="s">
        <v>153</v>
      </c>
      <c r="E1166" s="6" t="s">
        <v>853</v>
      </c>
      <c r="F1166" s="6" t="s">
        <v>1854</v>
      </c>
      <c r="G1166" s="6">
        <v>43.7</v>
      </c>
      <c r="H1166" s="6">
        <v>47.11</v>
      </c>
      <c r="I1166" s="6">
        <v>76</v>
      </c>
      <c r="J1166" s="6">
        <v>2300</v>
      </c>
      <c r="K1166" s="7">
        <f>(J1166-M1166)*税费参数!$B$12/(I1166*10000*(1+SUM(税费参数!$B$6:$B$8)))</f>
        <v>0.0274945839174207</v>
      </c>
      <c r="L1166" s="7">
        <f>J1166*税费参数!$B$12/(I1166*10000)</f>
        <v>0.0302631578947368</v>
      </c>
      <c r="M1166" s="6">
        <f>I1166*10000*SUM(税费参数!$B$9:$B$10)/税费参数!$B$11</f>
        <v>142.5</v>
      </c>
    </row>
    <row r="1167" ht="21" customHeight="1" spans="1:13">
      <c r="A1167" s="5" t="s">
        <v>9</v>
      </c>
      <c r="B1167" s="6" t="s">
        <v>87</v>
      </c>
      <c r="C1167" s="6" t="s">
        <v>152</v>
      </c>
      <c r="D1167" s="6" t="s">
        <v>153</v>
      </c>
      <c r="E1167" s="6" t="s">
        <v>853</v>
      </c>
      <c r="F1167" s="6" t="s">
        <v>1855</v>
      </c>
      <c r="G1167" s="6">
        <v>43.7</v>
      </c>
      <c r="H1167" s="6">
        <v>45.65</v>
      </c>
      <c r="I1167" s="6">
        <v>76</v>
      </c>
      <c r="J1167" s="6">
        <v>2300</v>
      </c>
      <c r="K1167" s="7">
        <f>(J1167-M1167)*税费参数!$B$12/(I1167*10000*(1+SUM(税费参数!$B$6:$B$8)))</f>
        <v>0.0274945839174207</v>
      </c>
      <c r="L1167" s="7">
        <f>J1167*税费参数!$B$12/(I1167*10000)</f>
        <v>0.0302631578947368</v>
      </c>
      <c r="M1167" s="6">
        <f>I1167*10000*SUM(税费参数!$B$9:$B$10)/税费参数!$B$11</f>
        <v>142.5</v>
      </c>
    </row>
    <row r="1168" ht="21" customHeight="1" spans="1:13">
      <c r="A1168" s="5" t="s">
        <v>9</v>
      </c>
      <c r="B1168" s="6" t="s">
        <v>87</v>
      </c>
      <c r="C1168" s="6" t="s">
        <v>157</v>
      </c>
      <c r="D1168" s="6" t="s">
        <v>155</v>
      </c>
      <c r="E1168" s="6" t="s">
        <v>855</v>
      </c>
      <c r="F1168" s="6" t="s">
        <v>1856</v>
      </c>
      <c r="G1168" s="6">
        <v>66.57</v>
      </c>
      <c r="H1168" s="6">
        <v>65</v>
      </c>
      <c r="I1168" s="6">
        <v>118</v>
      </c>
      <c r="J1168" s="6">
        <v>2600</v>
      </c>
      <c r="K1168" s="7">
        <f>(J1168-M1168)*税费参数!$B$12/(I1168*10000*(1+SUM(税费参数!$B$6:$B$8)))</f>
        <v>0.0195243567119465</v>
      </c>
      <c r="L1168" s="7">
        <f>J1168*税费参数!$B$12/(I1168*10000)</f>
        <v>0.0220338983050847</v>
      </c>
      <c r="M1168" s="6">
        <f>I1168*10000*SUM(税费参数!$B$9:$B$10)/税费参数!$B$11</f>
        <v>221.25</v>
      </c>
    </row>
    <row r="1169" ht="21" customHeight="1" spans="1:13">
      <c r="A1169" s="5" t="s">
        <v>9</v>
      </c>
      <c r="B1169" s="6" t="s">
        <v>87</v>
      </c>
      <c r="C1169" s="6" t="s">
        <v>157</v>
      </c>
      <c r="D1169" s="6" t="s">
        <v>155</v>
      </c>
      <c r="E1169" s="6" t="s">
        <v>855</v>
      </c>
      <c r="F1169" s="6" t="s">
        <v>1857</v>
      </c>
      <c r="G1169" s="6">
        <v>66.57</v>
      </c>
      <c r="H1169" s="6">
        <v>70.69</v>
      </c>
      <c r="I1169" s="6">
        <v>118</v>
      </c>
      <c r="J1169" s="6">
        <v>4320</v>
      </c>
      <c r="K1169" s="7">
        <f>(J1169-M1169)*税费参数!$B$12/(I1169*10000*(1+SUM(税费参数!$B$6:$B$8)))</f>
        <v>0.0336418106455452</v>
      </c>
      <c r="L1169" s="7">
        <f>J1169*税费参数!$B$12/(I1169*10000)</f>
        <v>0.0366101694915254</v>
      </c>
      <c r="M1169" s="6">
        <f>I1169*10000*SUM(税费参数!$B$9:$B$10)/税费参数!$B$11</f>
        <v>221.25</v>
      </c>
    </row>
    <row r="1170" ht="21" customHeight="1" spans="1:13">
      <c r="A1170" s="5" t="s">
        <v>9</v>
      </c>
      <c r="B1170" s="6" t="s">
        <v>87</v>
      </c>
      <c r="C1170" s="6" t="s">
        <v>157</v>
      </c>
      <c r="D1170" s="6" t="s">
        <v>155</v>
      </c>
      <c r="E1170" s="6" t="s">
        <v>855</v>
      </c>
      <c r="F1170" s="6" t="s">
        <v>1858</v>
      </c>
      <c r="G1170" s="6">
        <v>66.57</v>
      </c>
      <c r="H1170" s="6">
        <v>66.57</v>
      </c>
      <c r="I1170" s="6">
        <v>118</v>
      </c>
      <c r="J1170" s="6">
        <v>2400</v>
      </c>
      <c r="K1170" s="7">
        <f>(J1170-M1170)*税费参数!$B$12/(I1170*10000*(1+SUM(税费参数!$B$6:$B$8)))</f>
        <v>0.0178827923010629</v>
      </c>
      <c r="L1170" s="7">
        <f>J1170*税费参数!$B$12/(I1170*10000)</f>
        <v>0.0203389830508475</v>
      </c>
      <c r="M1170" s="6">
        <f>I1170*10000*SUM(税费参数!$B$9:$B$10)/税费参数!$B$11</f>
        <v>221.25</v>
      </c>
    </row>
    <row r="1171" ht="21" customHeight="1" spans="1:13">
      <c r="A1171" s="5" t="s">
        <v>9</v>
      </c>
      <c r="B1171" s="6" t="s">
        <v>87</v>
      </c>
      <c r="C1171" s="6" t="s">
        <v>157</v>
      </c>
      <c r="D1171" s="6" t="s">
        <v>155</v>
      </c>
      <c r="E1171" s="6" t="s">
        <v>855</v>
      </c>
      <c r="F1171" s="6" t="s">
        <v>1859</v>
      </c>
      <c r="G1171" s="6">
        <v>66.57</v>
      </c>
      <c r="H1171" s="6">
        <v>70.65</v>
      </c>
      <c r="I1171" s="6">
        <v>118</v>
      </c>
      <c r="J1171" s="6">
        <v>3000</v>
      </c>
      <c r="K1171" s="7">
        <f>(J1171-M1171)*税费参数!$B$12/(I1171*10000*(1+SUM(税费参数!$B$6:$B$8)))</f>
        <v>0.0228074855337136</v>
      </c>
      <c r="L1171" s="7">
        <f>J1171*税费参数!$B$12/(I1171*10000)</f>
        <v>0.0254237288135593</v>
      </c>
      <c r="M1171" s="6">
        <f>I1171*10000*SUM(税费参数!$B$9:$B$10)/税费参数!$B$11</f>
        <v>221.25</v>
      </c>
    </row>
    <row r="1172" ht="21" customHeight="1" spans="1:13">
      <c r="A1172" s="5" t="s">
        <v>9</v>
      </c>
      <c r="B1172" s="6" t="s">
        <v>87</v>
      </c>
      <c r="C1172" s="6" t="s">
        <v>157</v>
      </c>
      <c r="D1172" s="6" t="s">
        <v>155</v>
      </c>
      <c r="E1172" s="6" t="s">
        <v>855</v>
      </c>
      <c r="F1172" s="6" t="s">
        <v>1860</v>
      </c>
      <c r="G1172" s="6">
        <v>66.57</v>
      </c>
      <c r="H1172" s="6">
        <v>67.16</v>
      </c>
      <c r="I1172" s="6">
        <v>118</v>
      </c>
      <c r="J1172" s="6">
        <v>3000</v>
      </c>
      <c r="K1172" s="7">
        <f>(J1172-M1172)*税费参数!$B$12/(I1172*10000*(1+SUM(税费参数!$B$6:$B$8)))</f>
        <v>0.0228074855337136</v>
      </c>
      <c r="L1172" s="7">
        <f>J1172*税费参数!$B$12/(I1172*10000)</f>
        <v>0.0254237288135593</v>
      </c>
      <c r="M1172" s="6">
        <f>I1172*10000*SUM(税费参数!$B$9:$B$10)/税费参数!$B$11</f>
        <v>221.25</v>
      </c>
    </row>
    <row r="1173" ht="21" customHeight="1" spans="1:13">
      <c r="A1173" s="5" t="s">
        <v>9</v>
      </c>
      <c r="B1173" s="6" t="s">
        <v>87</v>
      </c>
      <c r="C1173" s="6" t="s">
        <v>157</v>
      </c>
      <c r="D1173" s="6" t="s">
        <v>155</v>
      </c>
      <c r="E1173" s="6" t="s">
        <v>859</v>
      </c>
      <c r="F1173" s="6" t="s">
        <v>1856</v>
      </c>
      <c r="G1173" s="6">
        <v>66.57</v>
      </c>
      <c r="H1173" s="6">
        <v>65</v>
      </c>
      <c r="I1173" s="6">
        <v>106</v>
      </c>
      <c r="J1173" s="6">
        <v>2600</v>
      </c>
      <c r="K1173" s="7">
        <f>(J1173-M1173)*税费参数!$B$12/(I1173*10000*(1+SUM(税费参数!$B$6:$B$8)))</f>
        <v>0.0219402439581525</v>
      </c>
      <c r="L1173" s="7">
        <f>J1173*税费参数!$B$12/(I1173*10000)</f>
        <v>0.0245283018867925</v>
      </c>
      <c r="M1173" s="6">
        <f>I1173*10000*SUM(税费参数!$B$9:$B$10)/税费参数!$B$11</f>
        <v>198.75</v>
      </c>
    </row>
    <row r="1174" ht="21" customHeight="1" spans="1:13">
      <c r="A1174" s="5" t="s">
        <v>9</v>
      </c>
      <c r="B1174" s="6" t="s">
        <v>87</v>
      </c>
      <c r="C1174" s="6" t="s">
        <v>157</v>
      </c>
      <c r="D1174" s="6" t="s">
        <v>155</v>
      </c>
      <c r="E1174" s="6" t="s">
        <v>859</v>
      </c>
      <c r="F1174" s="6" t="s">
        <v>1857</v>
      </c>
      <c r="G1174" s="6">
        <v>66.57</v>
      </c>
      <c r="H1174" s="6">
        <v>70.69</v>
      </c>
      <c r="I1174" s="6">
        <v>106</v>
      </c>
      <c r="J1174" s="6">
        <v>4320</v>
      </c>
      <c r="K1174" s="7">
        <f>(J1174-M1174)*税费参数!$B$12/(I1174*10000*(1+SUM(税费参数!$B$6:$B$8)))</f>
        <v>0.0376559002238567</v>
      </c>
      <c r="L1174" s="7">
        <f>J1174*税费参数!$B$12/(I1174*10000)</f>
        <v>0.0407547169811321</v>
      </c>
      <c r="M1174" s="6">
        <f>I1174*10000*SUM(税费参数!$B$9:$B$10)/税费参数!$B$11</f>
        <v>198.75</v>
      </c>
    </row>
    <row r="1175" ht="21" customHeight="1" spans="1:13">
      <c r="A1175" s="5" t="s">
        <v>9</v>
      </c>
      <c r="B1175" s="6" t="s">
        <v>87</v>
      </c>
      <c r="C1175" s="6" t="s">
        <v>157</v>
      </c>
      <c r="D1175" s="6" t="s">
        <v>155</v>
      </c>
      <c r="E1175" s="6" t="s">
        <v>859</v>
      </c>
      <c r="F1175" s="6" t="s">
        <v>1858</v>
      </c>
      <c r="G1175" s="6">
        <v>66.57</v>
      </c>
      <c r="H1175" s="6">
        <v>66.57</v>
      </c>
      <c r="I1175" s="6">
        <v>106</v>
      </c>
      <c r="J1175" s="6">
        <v>2400</v>
      </c>
      <c r="K1175" s="7">
        <f>(J1175-M1175)*税费参数!$B$12/(I1175*10000*(1+SUM(税费参数!$B$6:$B$8)))</f>
        <v>0.0201128420667915</v>
      </c>
      <c r="L1175" s="7">
        <f>J1175*税费参数!$B$12/(I1175*10000)</f>
        <v>0.0226415094339623</v>
      </c>
      <c r="M1175" s="6">
        <f>I1175*10000*SUM(税费参数!$B$9:$B$10)/税费参数!$B$11</f>
        <v>198.75</v>
      </c>
    </row>
    <row r="1176" ht="21" customHeight="1" spans="1:13">
      <c r="A1176" s="5" t="s">
        <v>9</v>
      </c>
      <c r="B1176" s="6" t="s">
        <v>87</v>
      </c>
      <c r="C1176" s="6" t="s">
        <v>157</v>
      </c>
      <c r="D1176" s="6" t="s">
        <v>155</v>
      </c>
      <c r="E1176" s="6" t="s">
        <v>859</v>
      </c>
      <c r="F1176" s="6" t="s">
        <v>1859</v>
      </c>
      <c r="G1176" s="6">
        <v>66.57</v>
      </c>
      <c r="H1176" s="6">
        <v>70.65</v>
      </c>
      <c r="I1176" s="6">
        <v>106</v>
      </c>
      <c r="J1176" s="6">
        <v>3000</v>
      </c>
      <c r="K1176" s="7">
        <f>(J1176-M1176)*税费参数!$B$12/(I1176*10000*(1+SUM(税费参数!$B$6:$B$8)))</f>
        <v>0.0255950477408744</v>
      </c>
      <c r="L1176" s="7">
        <f>J1176*税费参数!$B$12/(I1176*10000)</f>
        <v>0.0283018867924528</v>
      </c>
      <c r="M1176" s="6">
        <f>I1176*10000*SUM(税费参数!$B$9:$B$10)/税费参数!$B$11</f>
        <v>198.75</v>
      </c>
    </row>
    <row r="1177" ht="21" customHeight="1" spans="1:13">
      <c r="A1177" s="5" t="s">
        <v>9</v>
      </c>
      <c r="B1177" s="6" t="s">
        <v>87</v>
      </c>
      <c r="C1177" s="6" t="s">
        <v>157</v>
      </c>
      <c r="D1177" s="6" t="s">
        <v>155</v>
      </c>
      <c r="E1177" s="6" t="s">
        <v>859</v>
      </c>
      <c r="F1177" s="6" t="s">
        <v>1860</v>
      </c>
      <c r="G1177" s="6">
        <v>66.57</v>
      </c>
      <c r="H1177" s="6">
        <v>67.16</v>
      </c>
      <c r="I1177" s="6">
        <v>106</v>
      </c>
      <c r="J1177" s="6">
        <v>3000</v>
      </c>
      <c r="K1177" s="7">
        <f>(J1177-M1177)*税费参数!$B$12/(I1177*10000*(1+SUM(税费参数!$B$6:$B$8)))</f>
        <v>0.0255950477408744</v>
      </c>
      <c r="L1177" s="7">
        <f>J1177*税费参数!$B$12/(I1177*10000)</f>
        <v>0.0283018867924528</v>
      </c>
      <c r="M1177" s="6">
        <f>I1177*10000*SUM(税费参数!$B$9:$B$10)/税费参数!$B$11</f>
        <v>198.75</v>
      </c>
    </row>
    <row r="1178" ht="21" customHeight="1" spans="1:13">
      <c r="A1178" s="5" t="s">
        <v>9</v>
      </c>
      <c r="B1178" s="6" t="s">
        <v>87</v>
      </c>
      <c r="C1178" s="6" t="s">
        <v>157</v>
      </c>
      <c r="D1178" s="6" t="s">
        <v>155</v>
      </c>
      <c r="E1178" s="6" t="s">
        <v>857</v>
      </c>
      <c r="F1178" s="6" t="s">
        <v>1856</v>
      </c>
      <c r="G1178" s="6">
        <v>74.64</v>
      </c>
      <c r="H1178" s="6">
        <v>65</v>
      </c>
      <c r="I1178" s="6">
        <v>118</v>
      </c>
      <c r="J1178" s="6">
        <v>2600</v>
      </c>
      <c r="K1178" s="7">
        <f>(J1178-M1178)*税费参数!$B$12/(I1178*10000*(1+SUM(税费参数!$B$6:$B$8)))</f>
        <v>0.0195243567119465</v>
      </c>
      <c r="L1178" s="7">
        <f>J1178*税费参数!$B$12/(I1178*10000)</f>
        <v>0.0220338983050847</v>
      </c>
      <c r="M1178" s="6">
        <f>I1178*10000*SUM(税费参数!$B$9:$B$10)/税费参数!$B$11</f>
        <v>221.25</v>
      </c>
    </row>
    <row r="1179" ht="21" customHeight="1" spans="1:13">
      <c r="A1179" s="5" t="s">
        <v>9</v>
      </c>
      <c r="B1179" s="6" t="s">
        <v>87</v>
      </c>
      <c r="C1179" s="6" t="s">
        <v>157</v>
      </c>
      <c r="D1179" s="6" t="s">
        <v>155</v>
      </c>
      <c r="E1179" s="6" t="s">
        <v>857</v>
      </c>
      <c r="F1179" s="6" t="s">
        <v>1857</v>
      </c>
      <c r="G1179" s="6">
        <v>74.64</v>
      </c>
      <c r="H1179" s="6">
        <v>70.69</v>
      </c>
      <c r="I1179" s="6">
        <v>118</v>
      </c>
      <c r="J1179" s="6">
        <v>4320</v>
      </c>
      <c r="K1179" s="7">
        <f>(J1179-M1179)*税费参数!$B$12/(I1179*10000*(1+SUM(税费参数!$B$6:$B$8)))</f>
        <v>0.0336418106455452</v>
      </c>
      <c r="L1179" s="7">
        <f>J1179*税费参数!$B$12/(I1179*10000)</f>
        <v>0.0366101694915254</v>
      </c>
      <c r="M1179" s="6">
        <f>I1179*10000*SUM(税费参数!$B$9:$B$10)/税费参数!$B$11</f>
        <v>221.25</v>
      </c>
    </row>
    <row r="1180" ht="21" customHeight="1" spans="1:13">
      <c r="A1180" s="5" t="s">
        <v>9</v>
      </c>
      <c r="B1180" s="6" t="s">
        <v>87</v>
      </c>
      <c r="C1180" s="6" t="s">
        <v>157</v>
      </c>
      <c r="D1180" s="6" t="s">
        <v>155</v>
      </c>
      <c r="E1180" s="6" t="s">
        <v>857</v>
      </c>
      <c r="F1180" s="6" t="s">
        <v>1858</v>
      </c>
      <c r="G1180" s="6">
        <v>74.64</v>
      </c>
      <c r="H1180" s="6">
        <v>66.57</v>
      </c>
      <c r="I1180" s="6">
        <v>118</v>
      </c>
      <c r="J1180" s="6">
        <v>2400</v>
      </c>
      <c r="K1180" s="7">
        <f>(J1180-M1180)*税费参数!$B$12/(I1180*10000*(1+SUM(税费参数!$B$6:$B$8)))</f>
        <v>0.0178827923010629</v>
      </c>
      <c r="L1180" s="7">
        <f>J1180*税费参数!$B$12/(I1180*10000)</f>
        <v>0.0203389830508475</v>
      </c>
      <c r="M1180" s="6">
        <f>I1180*10000*SUM(税费参数!$B$9:$B$10)/税费参数!$B$11</f>
        <v>221.25</v>
      </c>
    </row>
    <row r="1181" ht="21" customHeight="1" spans="1:13">
      <c r="A1181" s="5" t="s">
        <v>9</v>
      </c>
      <c r="B1181" s="6" t="s">
        <v>87</v>
      </c>
      <c r="C1181" s="6" t="s">
        <v>157</v>
      </c>
      <c r="D1181" s="6" t="s">
        <v>155</v>
      </c>
      <c r="E1181" s="6" t="s">
        <v>857</v>
      </c>
      <c r="F1181" s="6" t="s">
        <v>1859</v>
      </c>
      <c r="G1181" s="6">
        <v>74.64</v>
      </c>
      <c r="H1181" s="6">
        <v>70.65</v>
      </c>
      <c r="I1181" s="6">
        <v>118</v>
      </c>
      <c r="J1181" s="6">
        <v>3000</v>
      </c>
      <c r="K1181" s="7">
        <f>(J1181-M1181)*税费参数!$B$12/(I1181*10000*(1+SUM(税费参数!$B$6:$B$8)))</f>
        <v>0.0228074855337136</v>
      </c>
      <c r="L1181" s="7">
        <f>J1181*税费参数!$B$12/(I1181*10000)</f>
        <v>0.0254237288135593</v>
      </c>
      <c r="M1181" s="6">
        <f>I1181*10000*SUM(税费参数!$B$9:$B$10)/税费参数!$B$11</f>
        <v>221.25</v>
      </c>
    </row>
    <row r="1182" ht="21" customHeight="1" spans="1:13">
      <c r="A1182" s="5" t="s">
        <v>9</v>
      </c>
      <c r="B1182" s="6" t="s">
        <v>87</v>
      </c>
      <c r="C1182" s="6" t="s">
        <v>157</v>
      </c>
      <c r="D1182" s="6" t="s">
        <v>155</v>
      </c>
      <c r="E1182" s="6" t="s">
        <v>857</v>
      </c>
      <c r="F1182" s="6" t="s">
        <v>1860</v>
      </c>
      <c r="G1182" s="6">
        <v>74.64</v>
      </c>
      <c r="H1182" s="6">
        <v>67.16</v>
      </c>
      <c r="I1182" s="6">
        <v>118</v>
      </c>
      <c r="J1182" s="6">
        <v>3000</v>
      </c>
      <c r="K1182" s="7">
        <f>(J1182-M1182)*税费参数!$B$12/(I1182*10000*(1+SUM(税费参数!$B$6:$B$8)))</f>
        <v>0.0228074855337136</v>
      </c>
      <c r="L1182" s="7">
        <f>J1182*税费参数!$B$12/(I1182*10000)</f>
        <v>0.0254237288135593</v>
      </c>
      <c r="M1182" s="6">
        <f>I1182*10000*SUM(税费参数!$B$9:$B$10)/税费参数!$B$11</f>
        <v>221.25</v>
      </c>
    </row>
    <row r="1183" ht="21" customHeight="1" spans="1:13">
      <c r="A1183" s="5" t="s">
        <v>9</v>
      </c>
      <c r="B1183" s="6" t="s">
        <v>82</v>
      </c>
      <c r="C1183" s="6" t="s">
        <v>152</v>
      </c>
      <c r="D1183" s="6" t="s">
        <v>160</v>
      </c>
      <c r="E1183" s="6" t="s">
        <v>877</v>
      </c>
      <c r="F1183" s="6" t="s">
        <v>1861</v>
      </c>
      <c r="G1183" s="6">
        <v>43.58</v>
      </c>
      <c r="H1183" s="6">
        <v>44.18</v>
      </c>
      <c r="I1183" s="6">
        <v>68</v>
      </c>
      <c r="J1183" s="6">
        <v>2800</v>
      </c>
      <c r="K1183" s="7">
        <f>(J1183-M1183)*税费参数!$B$12/(I1183*10000*(1+SUM(税费参数!$B$6:$B$8)))</f>
        <v>0.0380643782936904</v>
      </c>
      <c r="L1183" s="7">
        <f>J1183*税费参数!$B$12/(I1183*10000)</f>
        <v>0.0411764705882353</v>
      </c>
      <c r="M1183" s="6">
        <f>I1183*10000*SUM(税费参数!$B$9:$B$10)/税费参数!$B$11</f>
        <v>127.5</v>
      </c>
    </row>
    <row r="1184" ht="21" customHeight="1" spans="1:13">
      <c r="A1184" s="5" t="s">
        <v>10</v>
      </c>
      <c r="B1184" s="6" t="s">
        <v>104</v>
      </c>
      <c r="C1184" s="6" t="s">
        <v>159</v>
      </c>
      <c r="D1184" s="6" t="s">
        <v>160</v>
      </c>
      <c r="E1184" s="6" t="s">
        <v>885</v>
      </c>
      <c r="F1184" s="6" t="s">
        <v>1862</v>
      </c>
      <c r="G1184" s="6">
        <v>36.57</v>
      </c>
      <c r="H1184" s="6">
        <v>32.36</v>
      </c>
      <c r="I1184" s="6">
        <v>48</v>
      </c>
      <c r="J1184" s="6">
        <v>1900</v>
      </c>
      <c r="K1184" s="7">
        <f>(J1184-M1184)*税费参数!$B$12/(I1184*10000*(1+SUM(税费参数!$B$6:$B$8)))</f>
        <v>0.0365213882163035</v>
      </c>
      <c r="L1184" s="7">
        <f>J1184*税费参数!$B$12/(I1184*10000)</f>
        <v>0.0395833333333333</v>
      </c>
      <c r="M1184" s="6">
        <f>I1184*10000*SUM(税费参数!$B$9:$B$10)/税费参数!$B$11</f>
        <v>90</v>
      </c>
    </row>
    <row r="1185" ht="21" customHeight="1" spans="1:13">
      <c r="A1185" s="5" t="s">
        <v>10</v>
      </c>
      <c r="B1185" s="6" t="s">
        <v>104</v>
      </c>
      <c r="C1185" s="6" t="s">
        <v>159</v>
      </c>
      <c r="D1185" s="6" t="s">
        <v>160</v>
      </c>
      <c r="E1185" s="6" t="s">
        <v>885</v>
      </c>
      <c r="F1185" s="6" t="s">
        <v>1863</v>
      </c>
      <c r="G1185" s="6">
        <v>36.57</v>
      </c>
      <c r="H1185" s="6">
        <v>32.53</v>
      </c>
      <c r="I1185" s="6">
        <v>48</v>
      </c>
      <c r="J1185" s="6">
        <v>1900</v>
      </c>
      <c r="K1185" s="7">
        <f>(J1185-M1185)*税费参数!$B$12/(I1185*10000*(1+SUM(税费参数!$B$6:$B$8)))</f>
        <v>0.0365213882163035</v>
      </c>
      <c r="L1185" s="7">
        <f>J1185*税费参数!$B$12/(I1185*10000)</f>
        <v>0.0395833333333333</v>
      </c>
      <c r="M1185" s="6">
        <f>I1185*10000*SUM(税费参数!$B$9:$B$10)/税费参数!$B$11</f>
        <v>90</v>
      </c>
    </row>
    <row r="1186" ht="21" customHeight="1" spans="1:13">
      <c r="A1186" s="5" t="s">
        <v>10</v>
      </c>
      <c r="B1186" s="6" t="s">
        <v>104</v>
      </c>
      <c r="C1186" s="6" t="s">
        <v>159</v>
      </c>
      <c r="D1186" s="6" t="s">
        <v>160</v>
      </c>
      <c r="E1186" s="6" t="s">
        <v>885</v>
      </c>
      <c r="F1186" s="6" t="s">
        <v>1864</v>
      </c>
      <c r="G1186" s="6">
        <v>36.57</v>
      </c>
      <c r="H1186" s="6">
        <v>32.38</v>
      </c>
      <c r="I1186" s="6">
        <v>48</v>
      </c>
      <c r="J1186" s="6">
        <v>1800</v>
      </c>
      <c r="K1186" s="7">
        <f>(J1186-M1186)*税费参数!$B$12/(I1186*10000*(1+SUM(税费参数!$B$6:$B$8)))</f>
        <v>0.0345036319612591</v>
      </c>
      <c r="L1186" s="7">
        <f>J1186*税费参数!$B$12/(I1186*10000)</f>
        <v>0.0375</v>
      </c>
      <c r="M1186" s="6">
        <f>I1186*10000*SUM(税费参数!$B$9:$B$10)/税费参数!$B$11</f>
        <v>90</v>
      </c>
    </row>
    <row r="1187" ht="21" customHeight="1" spans="1:13">
      <c r="A1187" s="5" t="s">
        <v>10</v>
      </c>
      <c r="B1187" s="6" t="s">
        <v>104</v>
      </c>
      <c r="C1187" s="6" t="s">
        <v>159</v>
      </c>
      <c r="D1187" s="6" t="s">
        <v>160</v>
      </c>
      <c r="E1187" s="6" t="s">
        <v>885</v>
      </c>
      <c r="F1187" s="6" t="s">
        <v>1865</v>
      </c>
      <c r="G1187" s="6">
        <v>36.57</v>
      </c>
      <c r="H1187" s="6">
        <v>36.57</v>
      </c>
      <c r="I1187" s="6">
        <v>48</v>
      </c>
      <c r="J1187" s="6">
        <v>1600</v>
      </c>
      <c r="K1187" s="7">
        <f>(J1187-M1187)*税费参数!$B$12/(I1187*10000*(1+SUM(税费参数!$B$6:$B$8)))</f>
        <v>0.0304681194511703</v>
      </c>
      <c r="L1187" s="7">
        <f>J1187*税费参数!$B$12/(I1187*10000)</f>
        <v>0.0333333333333333</v>
      </c>
      <c r="M1187" s="6">
        <f>I1187*10000*SUM(税费参数!$B$9:$B$10)/税费参数!$B$11</f>
        <v>90</v>
      </c>
    </row>
    <row r="1188" ht="21" customHeight="1" spans="1:13">
      <c r="A1188" s="5" t="s">
        <v>10</v>
      </c>
      <c r="B1188" s="6" t="s">
        <v>104</v>
      </c>
      <c r="C1188" s="6" t="s">
        <v>159</v>
      </c>
      <c r="D1188" s="6" t="s">
        <v>160</v>
      </c>
      <c r="E1188" s="6" t="s">
        <v>885</v>
      </c>
      <c r="F1188" s="6" t="s">
        <v>1866</v>
      </c>
      <c r="G1188" s="6">
        <v>36.57</v>
      </c>
      <c r="H1188" s="6">
        <v>36.15</v>
      </c>
      <c r="I1188" s="6">
        <v>48</v>
      </c>
      <c r="J1188" s="6">
        <v>1700</v>
      </c>
      <c r="K1188" s="7">
        <f>(J1188-M1188)*税费参数!$B$12/(I1188*10000*(1+SUM(税费参数!$B$6:$B$8)))</f>
        <v>0.0324858757062147</v>
      </c>
      <c r="L1188" s="7">
        <f>J1188*税费参数!$B$12/(I1188*10000)</f>
        <v>0.0354166666666667</v>
      </c>
      <c r="M1188" s="6">
        <f>I1188*10000*SUM(税费参数!$B$9:$B$10)/税费参数!$B$11</f>
        <v>90</v>
      </c>
    </row>
    <row r="1189" ht="21" customHeight="1" spans="1:13">
      <c r="A1189" s="5" t="s">
        <v>10</v>
      </c>
      <c r="B1189" s="6" t="s">
        <v>104</v>
      </c>
      <c r="C1189" s="6" t="s">
        <v>159</v>
      </c>
      <c r="D1189" s="6" t="s">
        <v>160</v>
      </c>
      <c r="E1189" s="6" t="s">
        <v>885</v>
      </c>
      <c r="F1189" s="6" t="s">
        <v>1867</v>
      </c>
      <c r="G1189" s="6">
        <v>36.57</v>
      </c>
      <c r="H1189" s="6">
        <v>36.57</v>
      </c>
      <c r="I1189" s="6">
        <v>48</v>
      </c>
      <c r="J1189" s="6">
        <v>1950</v>
      </c>
      <c r="K1189" s="7">
        <f>(J1189-M1189)*税费参数!$B$12/(I1189*10000*(1+SUM(税费参数!$B$6:$B$8)))</f>
        <v>0.0375302663438257</v>
      </c>
      <c r="L1189" s="7">
        <f>J1189*税费参数!$B$12/(I1189*10000)</f>
        <v>0.040625</v>
      </c>
      <c r="M1189" s="6">
        <f>I1189*10000*SUM(税费参数!$B$9:$B$10)/税费参数!$B$11</f>
        <v>90</v>
      </c>
    </row>
    <row r="1190" ht="21" customHeight="1" spans="1:13">
      <c r="A1190" s="5" t="s">
        <v>10</v>
      </c>
      <c r="B1190" s="6" t="s">
        <v>104</v>
      </c>
      <c r="C1190" s="6" t="s">
        <v>159</v>
      </c>
      <c r="D1190" s="6" t="s">
        <v>160</v>
      </c>
      <c r="E1190" s="6" t="s">
        <v>885</v>
      </c>
      <c r="F1190" s="6" t="s">
        <v>1868</v>
      </c>
      <c r="G1190" s="6">
        <v>36.57</v>
      </c>
      <c r="H1190" s="6">
        <v>36.31</v>
      </c>
      <c r="I1190" s="6">
        <v>48</v>
      </c>
      <c r="J1190" s="6">
        <v>1900</v>
      </c>
      <c r="K1190" s="7">
        <f>(J1190-M1190)*税费参数!$B$12/(I1190*10000*(1+SUM(税费参数!$B$6:$B$8)))</f>
        <v>0.0365213882163035</v>
      </c>
      <c r="L1190" s="7">
        <f>J1190*税费参数!$B$12/(I1190*10000)</f>
        <v>0.0395833333333333</v>
      </c>
      <c r="M1190" s="6">
        <f>I1190*10000*SUM(税费参数!$B$9:$B$10)/税费参数!$B$11</f>
        <v>90</v>
      </c>
    </row>
    <row r="1191" ht="21" customHeight="1" spans="1:13">
      <c r="A1191" s="5" t="s">
        <v>10</v>
      </c>
      <c r="B1191" s="6" t="s">
        <v>104</v>
      </c>
      <c r="C1191" s="6" t="s">
        <v>159</v>
      </c>
      <c r="D1191" s="6" t="s">
        <v>160</v>
      </c>
      <c r="E1191" s="6" t="s">
        <v>885</v>
      </c>
      <c r="F1191" s="6" t="s">
        <v>1869</v>
      </c>
      <c r="G1191" s="6">
        <v>36.57</v>
      </c>
      <c r="H1191" s="6">
        <v>32.53</v>
      </c>
      <c r="I1191" s="6">
        <v>48</v>
      </c>
      <c r="J1191" s="6">
        <v>1800</v>
      </c>
      <c r="K1191" s="7">
        <f>(J1191-M1191)*税费参数!$B$12/(I1191*10000*(1+SUM(税费参数!$B$6:$B$8)))</f>
        <v>0.0345036319612591</v>
      </c>
      <c r="L1191" s="7">
        <f>J1191*税费参数!$B$12/(I1191*10000)</f>
        <v>0.0375</v>
      </c>
      <c r="M1191" s="6">
        <f>I1191*10000*SUM(税费参数!$B$9:$B$10)/税费参数!$B$11</f>
        <v>90</v>
      </c>
    </row>
    <row r="1192" ht="21" customHeight="1" spans="1:13">
      <c r="A1192" s="5" t="s">
        <v>10</v>
      </c>
      <c r="B1192" s="6" t="s">
        <v>104</v>
      </c>
      <c r="C1192" s="6" t="s">
        <v>159</v>
      </c>
      <c r="D1192" s="6" t="s">
        <v>160</v>
      </c>
      <c r="E1192" s="6" t="s">
        <v>885</v>
      </c>
      <c r="F1192" s="6" t="s">
        <v>1870</v>
      </c>
      <c r="G1192" s="6">
        <v>36.57</v>
      </c>
      <c r="H1192" s="6">
        <v>36.57</v>
      </c>
      <c r="I1192" s="6">
        <v>48</v>
      </c>
      <c r="J1192" s="6">
        <v>1700</v>
      </c>
      <c r="K1192" s="7">
        <f>(J1192-M1192)*税费参数!$B$12/(I1192*10000*(1+SUM(税费参数!$B$6:$B$8)))</f>
        <v>0.0324858757062147</v>
      </c>
      <c r="L1192" s="7">
        <f>J1192*税费参数!$B$12/(I1192*10000)</f>
        <v>0.0354166666666667</v>
      </c>
      <c r="M1192" s="6">
        <f>I1192*10000*SUM(税费参数!$B$9:$B$10)/税费参数!$B$11</f>
        <v>90</v>
      </c>
    </row>
    <row r="1193" ht="21" customHeight="1" spans="1:13">
      <c r="A1193" s="5" t="s">
        <v>10</v>
      </c>
      <c r="B1193" s="6" t="s">
        <v>104</v>
      </c>
      <c r="C1193" s="6" t="s">
        <v>159</v>
      </c>
      <c r="D1193" s="6" t="s">
        <v>160</v>
      </c>
      <c r="E1193" s="6" t="s">
        <v>885</v>
      </c>
      <c r="F1193" s="6" t="s">
        <v>1871</v>
      </c>
      <c r="G1193" s="6">
        <v>36.57</v>
      </c>
      <c r="H1193" s="6">
        <v>36.57</v>
      </c>
      <c r="I1193" s="6">
        <v>48</v>
      </c>
      <c r="J1193" s="6">
        <v>2000</v>
      </c>
      <c r="K1193" s="7">
        <f>(J1193-M1193)*税费参数!$B$12/(I1193*10000*(1+SUM(税费参数!$B$6:$B$8)))</f>
        <v>0.0385391444713479</v>
      </c>
      <c r="L1193" s="7">
        <f>J1193*税费参数!$B$12/(I1193*10000)</f>
        <v>0.0416666666666667</v>
      </c>
      <c r="M1193" s="6">
        <f>I1193*10000*SUM(税费参数!$B$9:$B$10)/税费参数!$B$11</f>
        <v>90</v>
      </c>
    </row>
    <row r="1194" ht="21" customHeight="1" spans="1:13">
      <c r="A1194" s="5" t="s">
        <v>10</v>
      </c>
      <c r="B1194" s="6" t="s">
        <v>104</v>
      </c>
      <c r="C1194" s="6" t="s">
        <v>159</v>
      </c>
      <c r="D1194" s="6" t="s">
        <v>160</v>
      </c>
      <c r="E1194" s="6" t="s">
        <v>885</v>
      </c>
      <c r="F1194" s="6" t="s">
        <v>1872</v>
      </c>
      <c r="G1194" s="6">
        <v>36.57</v>
      </c>
      <c r="H1194" s="6">
        <v>35.35</v>
      </c>
      <c r="I1194" s="6">
        <v>48</v>
      </c>
      <c r="J1194" s="6">
        <v>1800</v>
      </c>
      <c r="K1194" s="7">
        <f>(J1194-M1194)*税费参数!$B$12/(I1194*10000*(1+SUM(税费参数!$B$6:$B$8)))</f>
        <v>0.0345036319612591</v>
      </c>
      <c r="L1194" s="7">
        <f>J1194*税费参数!$B$12/(I1194*10000)</f>
        <v>0.0375</v>
      </c>
      <c r="M1194" s="6">
        <f>I1194*10000*SUM(税费参数!$B$9:$B$10)/税费参数!$B$11</f>
        <v>90</v>
      </c>
    </row>
    <row r="1195" ht="21" customHeight="1" spans="1:13">
      <c r="A1195" s="5" t="s">
        <v>10</v>
      </c>
      <c r="B1195" s="6" t="s">
        <v>104</v>
      </c>
      <c r="C1195" s="6" t="s">
        <v>159</v>
      </c>
      <c r="D1195" s="6" t="s">
        <v>160</v>
      </c>
      <c r="E1195" s="6" t="s">
        <v>885</v>
      </c>
      <c r="F1195" s="6" t="s">
        <v>1873</v>
      </c>
      <c r="G1195" s="6">
        <v>36.57</v>
      </c>
      <c r="H1195" s="6">
        <v>32</v>
      </c>
      <c r="I1195" s="6">
        <v>48</v>
      </c>
      <c r="J1195" s="6">
        <v>1780</v>
      </c>
      <c r="K1195" s="7">
        <f>(J1195-M1195)*税费参数!$B$12/(I1195*10000*(1+SUM(税费参数!$B$6:$B$8)))</f>
        <v>0.0341000807102502</v>
      </c>
      <c r="L1195" s="7">
        <f>J1195*税费参数!$B$12/(I1195*10000)</f>
        <v>0.0370833333333333</v>
      </c>
      <c r="M1195" s="6">
        <f>I1195*10000*SUM(税费参数!$B$9:$B$10)/税费参数!$B$11</f>
        <v>90</v>
      </c>
    </row>
    <row r="1196" ht="21" customHeight="1" spans="1:13">
      <c r="A1196" s="5" t="s">
        <v>10</v>
      </c>
      <c r="B1196" s="6" t="s">
        <v>104</v>
      </c>
      <c r="C1196" s="6" t="s">
        <v>159</v>
      </c>
      <c r="D1196" s="6" t="s">
        <v>160</v>
      </c>
      <c r="E1196" s="6" t="s">
        <v>885</v>
      </c>
      <c r="F1196" s="6" t="s">
        <v>1874</v>
      </c>
      <c r="G1196" s="6">
        <v>36.57</v>
      </c>
      <c r="H1196" s="6">
        <v>32.53</v>
      </c>
      <c r="I1196" s="6">
        <v>48</v>
      </c>
      <c r="J1196" s="6">
        <v>1800</v>
      </c>
      <c r="K1196" s="7">
        <f>(J1196-M1196)*税费参数!$B$12/(I1196*10000*(1+SUM(税费参数!$B$6:$B$8)))</f>
        <v>0.0345036319612591</v>
      </c>
      <c r="L1196" s="7">
        <f>J1196*税费参数!$B$12/(I1196*10000)</f>
        <v>0.0375</v>
      </c>
      <c r="M1196" s="6">
        <f>I1196*10000*SUM(税费参数!$B$9:$B$10)/税费参数!$B$11</f>
        <v>90</v>
      </c>
    </row>
    <row r="1197" ht="21" customHeight="1" spans="1:13">
      <c r="A1197" s="5" t="s">
        <v>10</v>
      </c>
      <c r="B1197" s="6" t="s">
        <v>104</v>
      </c>
      <c r="C1197" s="6" t="s">
        <v>159</v>
      </c>
      <c r="D1197" s="6" t="s">
        <v>153</v>
      </c>
      <c r="E1197" s="6" t="s">
        <v>887</v>
      </c>
      <c r="F1197" s="6" t="s">
        <v>1875</v>
      </c>
      <c r="G1197" s="6">
        <v>36.59</v>
      </c>
      <c r="H1197" s="6">
        <v>32.36</v>
      </c>
      <c r="I1197" s="6">
        <v>52</v>
      </c>
      <c r="J1197" s="6">
        <v>1650</v>
      </c>
      <c r="K1197" s="7">
        <f>(J1197-M1197)*税费参数!$B$12/(I1197*10000*(1+SUM(税费参数!$B$6:$B$8)))</f>
        <v>0.0289159992549823</v>
      </c>
      <c r="L1197" s="7">
        <f>J1197*税费参数!$B$12/(I1197*10000)</f>
        <v>0.0317307692307692</v>
      </c>
      <c r="M1197" s="6">
        <f>I1197*10000*SUM(税费参数!$B$9:$B$10)/税费参数!$B$11</f>
        <v>97.5</v>
      </c>
    </row>
    <row r="1198" ht="21" customHeight="1" spans="1:13">
      <c r="A1198" s="5" t="s">
        <v>10</v>
      </c>
      <c r="B1198" s="6" t="s">
        <v>104</v>
      </c>
      <c r="C1198" s="6" t="s">
        <v>152</v>
      </c>
      <c r="D1198" s="6" t="s">
        <v>153</v>
      </c>
      <c r="E1198" s="6" t="s">
        <v>881</v>
      </c>
      <c r="F1198" s="6" t="s">
        <v>1876</v>
      </c>
      <c r="G1198" s="6">
        <v>53.96</v>
      </c>
      <c r="H1198" s="6">
        <v>53.3</v>
      </c>
      <c r="I1198" s="6">
        <v>75</v>
      </c>
      <c r="J1198" s="6">
        <v>2500</v>
      </c>
      <c r="K1198" s="7">
        <f>(J1198-M1198)*税费参数!$B$12/(I1198*10000*(1+SUM(税费参数!$B$6:$B$8)))</f>
        <v>0.0304681194511703</v>
      </c>
      <c r="L1198" s="7">
        <f>J1198*税费参数!$B$12/(I1198*10000)</f>
        <v>0.0333333333333333</v>
      </c>
      <c r="M1198" s="6">
        <f>I1198*10000*SUM(税费参数!$B$9:$B$10)/税费参数!$B$11</f>
        <v>140.625</v>
      </c>
    </row>
    <row r="1199" ht="21" customHeight="1" spans="1:13">
      <c r="A1199" s="5" t="s">
        <v>10</v>
      </c>
      <c r="B1199" s="6" t="s">
        <v>104</v>
      </c>
      <c r="C1199" s="6" t="s">
        <v>152</v>
      </c>
      <c r="D1199" s="6" t="s">
        <v>153</v>
      </c>
      <c r="E1199" s="6" t="s">
        <v>881</v>
      </c>
      <c r="F1199" s="6" t="s">
        <v>1877</v>
      </c>
      <c r="G1199" s="6">
        <v>53.96</v>
      </c>
      <c r="H1199" s="6">
        <v>53.69</v>
      </c>
      <c r="I1199" s="6">
        <v>75</v>
      </c>
      <c r="J1199" s="6">
        <v>2250</v>
      </c>
      <c r="K1199" s="7">
        <f>(J1199-M1199)*税费参数!$B$12/(I1199*10000*(1+SUM(税费参数!$B$6:$B$8)))</f>
        <v>0.0272397094430993</v>
      </c>
      <c r="L1199" s="7">
        <f>J1199*税费参数!$B$12/(I1199*10000)</f>
        <v>0.03</v>
      </c>
      <c r="M1199" s="6">
        <f>I1199*10000*SUM(税费参数!$B$9:$B$10)/税费参数!$B$11</f>
        <v>140.625</v>
      </c>
    </row>
    <row r="1200" ht="21" customHeight="1" spans="1:13">
      <c r="A1200" s="5" t="s">
        <v>10</v>
      </c>
      <c r="B1200" s="6" t="s">
        <v>104</v>
      </c>
      <c r="C1200" s="6" t="s">
        <v>152</v>
      </c>
      <c r="D1200" s="6" t="s">
        <v>153</v>
      </c>
      <c r="E1200" s="6" t="s">
        <v>881</v>
      </c>
      <c r="F1200" s="6" t="s">
        <v>1878</v>
      </c>
      <c r="G1200" s="6">
        <v>53.96</v>
      </c>
      <c r="H1200" s="6">
        <v>53.47</v>
      </c>
      <c r="I1200" s="6">
        <v>75</v>
      </c>
      <c r="J1200" s="6">
        <v>2200</v>
      </c>
      <c r="K1200" s="7">
        <f>(J1200-M1200)*税费参数!$B$12/(I1200*10000*(1+SUM(税费参数!$B$6:$B$8)))</f>
        <v>0.0265940274414851</v>
      </c>
      <c r="L1200" s="7">
        <f>J1200*税费参数!$B$12/(I1200*10000)</f>
        <v>0.0293333333333333</v>
      </c>
      <c r="M1200" s="6">
        <f>I1200*10000*SUM(税费参数!$B$9:$B$10)/税费参数!$B$11</f>
        <v>140.625</v>
      </c>
    </row>
    <row r="1201" ht="21" customHeight="1" spans="1:13">
      <c r="A1201" s="5" t="s">
        <v>10</v>
      </c>
      <c r="B1201" s="6" t="s">
        <v>104</v>
      </c>
      <c r="C1201" s="6" t="s">
        <v>152</v>
      </c>
      <c r="D1201" s="6" t="s">
        <v>153</v>
      </c>
      <c r="E1201" s="6" t="s">
        <v>881</v>
      </c>
      <c r="F1201" s="6" t="s">
        <v>1879</v>
      </c>
      <c r="G1201" s="6">
        <v>53.96</v>
      </c>
      <c r="H1201" s="6">
        <v>51.02</v>
      </c>
      <c r="I1201" s="6">
        <v>75</v>
      </c>
      <c r="J1201" s="6">
        <v>2500</v>
      </c>
      <c r="K1201" s="7">
        <f>(J1201-M1201)*税费参数!$B$12/(I1201*10000*(1+SUM(税费参数!$B$6:$B$8)))</f>
        <v>0.0304681194511703</v>
      </c>
      <c r="L1201" s="7">
        <f>J1201*税费参数!$B$12/(I1201*10000)</f>
        <v>0.0333333333333333</v>
      </c>
      <c r="M1201" s="6">
        <f>I1201*10000*SUM(税费参数!$B$9:$B$10)/税费参数!$B$11</f>
        <v>140.625</v>
      </c>
    </row>
    <row r="1202" ht="21" customHeight="1" spans="1:13">
      <c r="A1202" s="5" t="s">
        <v>10</v>
      </c>
      <c r="B1202" s="6" t="s">
        <v>104</v>
      </c>
      <c r="C1202" s="6" t="s">
        <v>152</v>
      </c>
      <c r="D1202" s="6" t="s">
        <v>153</v>
      </c>
      <c r="E1202" s="6" t="s">
        <v>881</v>
      </c>
      <c r="F1202" s="6" t="s">
        <v>1880</v>
      </c>
      <c r="G1202" s="6">
        <v>53.96</v>
      </c>
      <c r="H1202" s="6">
        <v>50.63</v>
      </c>
      <c r="I1202" s="6">
        <v>75</v>
      </c>
      <c r="J1202" s="6">
        <v>2800</v>
      </c>
      <c r="K1202" s="7">
        <f>(J1202-M1202)*税费参数!$B$12/(I1202*10000*(1+SUM(税费参数!$B$6:$B$8)))</f>
        <v>0.0343422114608555</v>
      </c>
      <c r="L1202" s="7">
        <f>J1202*税费参数!$B$12/(I1202*10000)</f>
        <v>0.0373333333333333</v>
      </c>
      <c r="M1202" s="6">
        <f>I1202*10000*SUM(税费参数!$B$9:$B$10)/税费参数!$B$11</f>
        <v>140.625</v>
      </c>
    </row>
    <row r="1203" ht="21" customHeight="1" spans="1:13">
      <c r="A1203" s="5" t="s">
        <v>10</v>
      </c>
      <c r="B1203" s="6" t="s">
        <v>104</v>
      </c>
      <c r="C1203" s="6" t="s">
        <v>152</v>
      </c>
      <c r="D1203" s="6" t="s">
        <v>153</v>
      </c>
      <c r="E1203" s="6" t="s">
        <v>883</v>
      </c>
      <c r="F1203" s="6" t="s">
        <v>1876</v>
      </c>
      <c r="G1203" s="6">
        <v>53.96</v>
      </c>
      <c r="H1203" s="6">
        <v>53.3</v>
      </c>
      <c r="I1203" s="6">
        <v>72</v>
      </c>
      <c r="J1203" s="6">
        <v>2500</v>
      </c>
      <c r="K1203" s="7">
        <f>(J1203-M1203)*税费参数!$B$12/(I1203*10000*(1+SUM(税费参数!$B$6:$B$8)))</f>
        <v>0.0318132902878666</v>
      </c>
      <c r="L1203" s="7">
        <f>J1203*税费参数!$B$12/(I1203*10000)</f>
        <v>0.0347222222222222</v>
      </c>
      <c r="M1203" s="6">
        <f>I1203*10000*SUM(税费参数!$B$9:$B$10)/税费参数!$B$11</f>
        <v>135</v>
      </c>
    </row>
    <row r="1204" ht="21" customHeight="1" spans="1:13">
      <c r="A1204" s="5" t="s">
        <v>10</v>
      </c>
      <c r="B1204" s="6" t="s">
        <v>104</v>
      </c>
      <c r="C1204" s="6" t="s">
        <v>152</v>
      </c>
      <c r="D1204" s="6" t="s">
        <v>153</v>
      </c>
      <c r="E1204" s="6" t="s">
        <v>883</v>
      </c>
      <c r="F1204" s="6" t="s">
        <v>1877</v>
      </c>
      <c r="G1204" s="6">
        <v>53.96</v>
      </c>
      <c r="H1204" s="6">
        <v>53.69</v>
      </c>
      <c r="I1204" s="6">
        <v>72</v>
      </c>
      <c r="J1204" s="6">
        <v>2250</v>
      </c>
      <c r="K1204" s="7">
        <f>(J1204-M1204)*税费参数!$B$12/(I1204*10000*(1+SUM(税费参数!$B$6:$B$8)))</f>
        <v>0.0284503631961259</v>
      </c>
      <c r="L1204" s="7">
        <f>J1204*税费参数!$B$12/(I1204*10000)</f>
        <v>0.03125</v>
      </c>
      <c r="M1204" s="6">
        <f>I1204*10000*SUM(税费参数!$B$9:$B$10)/税费参数!$B$11</f>
        <v>135</v>
      </c>
    </row>
    <row r="1205" ht="21" customHeight="1" spans="1:13">
      <c r="A1205" s="5" t="s">
        <v>10</v>
      </c>
      <c r="B1205" s="6" t="s">
        <v>104</v>
      </c>
      <c r="C1205" s="6" t="s">
        <v>152</v>
      </c>
      <c r="D1205" s="6" t="s">
        <v>153</v>
      </c>
      <c r="E1205" s="6" t="s">
        <v>883</v>
      </c>
      <c r="F1205" s="6" t="s">
        <v>1878</v>
      </c>
      <c r="G1205" s="6">
        <v>53.96</v>
      </c>
      <c r="H1205" s="6">
        <v>53.47</v>
      </c>
      <c r="I1205" s="6">
        <v>72</v>
      </c>
      <c r="J1205" s="6">
        <v>2200</v>
      </c>
      <c r="K1205" s="7">
        <f>(J1205-M1205)*税费参数!$B$12/(I1205*10000*(1+SUM(税费参数!$B$6:$B$8)))</f>
        <v>0.0277777777777778</v>
      </c>
      <c r="L1205" s="7">
        <f>J1205*税费参数!$B$12/(I1205*10000)</f>
        <v>0.0305555555555556</v>
      </c>
      <c r="M1205" s="6">
        <f>I1205*10000*SUM(税费参数!$B$9:$B$10)/税费参数!$B$11</f>
        <v>135</v>
      </c>
    </row>
    <row r="1206" ht="21" customHeight="1" spans="1:13">
      <c r="A1206" s="5" t="s">
        <v>10</v>
      </c>
      <c r="B1206" s="6" t="s">
        <v>104</v>
      </c>
      <c r="C1206" s="6" t="s">
        <v>152</v>
      </c>
      <c r="D1206" s="6" t="s">
        <v>153</v>
      </c>
      <c r="E1206" s="6" t="s">
        <v>883</v>
      </c>
      <c r="F1206" s="6" t="s">
        <v>1879</v>
      </c>
      <c r="G1206" s="6">
        <v>53.96</v>
      </c>
      <c r="H1206" s="6">
        <v>51.02</v>
      </c>
      <c r="I1206" s="6">
        <v>72</v>
      </c>
      <c r="J1206" s="6">
        <v>2500</v>
      </c>
      <c r="K1206" s="7">
        <f>(J1206-M1206)*税费参数!$B$12/(I1206*10000*(1+SUM(税费参数!$B$6:$B$8)))</f>
        <v>0.0318132902878666</v>
      </c>
      <c r="L1206" s="7">
        <f>J1206*税费参数!$B$12/(I1206*10000)</f>
        <v>0.0347222222222222</v>
      </c>
      <c r="M1206" s="6">
        <f>I1206*10000*SUM(税费参数!$B$9:$B$10)/税费参数!$B$11</f>
        <v>135</v>
      </c>
    </row>
    <row r="1207" ht="21" customHeight="1" spans="1:13">
      <c r="A1207" s="5" t="s">
        <v>10</v>
      </c>
      <c r="B1207" s="6" t="s">
        <v>104</v>
      </c>
      <c r="C1207" s="6" t="s">
        <v>152</v>
      </c>
      <c r="D1207" s="6" t="s">
        <v>153</v>
      </c>
      <c r="E1207" s="6" t="s">
        <v>883</v>
      </c>
      <c r="F1207" s="6" t="s">
        <v>1880</v>
      </c>
      <c r="G1207" s="6">
        <v>53.96</v>
      </c>
      <c r="H1207" s="6">
        <v>50.63</v>
      </c>
      <c r="I1207" s="6">
        <v>72</v>
      </c>
      <c r="J1207" s="6">
        <v>2800</v>
      </c>
      <c r="K1207" s="7">
        <f>(J1207-M1207)*税费参数!$B$12/(I1207*10000*(1+SUM(税费参数!$B$6:$B$8)))</f>
        <v>0.0358488027979553</v>
      </c>
      <c r="L1207" s="7">
        <f>J1207*税费参数!$B$12/(I1207*10000)</f>
        <v>0.0388888888888889</v>
      </c>
      <c r="M1207" s="6">
        <f>I1207*10000*SUM(税费参数!$B$9:$B$10)/税费参数!$B$11</f>
        <v>135</v>
      </c>
    </row>
    <row r="1208" ht="21" customHeight="1" spans="1:13">
      <c r="A1208" s="5" t="s">
        <v>10</v>
      </c>
      <c r="B1208" s="6" t="s">
        <v>102</v>
      </c>
      <c r="C1208" s="6" t="s">
        <v>152</v>
      </c>
      <c r="D1208" s="6" t="s">
        <v>160</v>
      </c>
      <c r="E1208" s="6" t="s">
        <v>889</v>
      </c>
      <c r="F1208" s="6" t="s">
        <v>1881</v>
      </c>
      <c r="G1208" s="6">
        <v>49.7</v>
      </c>
      <c r="H1208" s="6">
        <v>55.37</v>
      </c>
      <c r="I1208" s="6">
        <v>58</v>
      </c>
      <c r="J1208" s="6">
        <v>2250</v>
      </c>
      <c r="K1208" s="7">
        <f>(J1208-M1208)*税费参数!$B$12/(I1208*10000*(1+SUM(税费参数!$B$6:$B$8)))</f>
        <v>0.0357560323954246</v>
      </c>
      <c r="L1208" s="7">
        <f>J1208*税费参数!$B$12/(I1208*10000)</f>
        <v>0.0387931034482759</v>
      </c>
      <c r="M1208" s="6">
        <f>I1208*10000*SUM(税费参数!$B$9:$B$10)/税费参数!$B$11</f>
        <v>108.75</v>
      </c>
    </row>
    <row r="1209" ht="21" customHeight="1" spans="1:13">
      <c r="A1209" s="5" t="s">
        <v>10</v>
      </c>
      <c r="B1209" s="6" t="s">
        <v>102</v>
      </c>
      <c r="C1209" s="6" t="s">
        <v>152</v>
      </c>
      <c r="D1209" s="6" t="s">
        <v>153</v>
      </c>
      <c r="E1209" s="6" t="s">
        <v>891</v>
      </c>
      <c r="F1209" s="6" t="s">
        <v>1882</v>
      </c>
      <c r="G1209" s="6">
        <v>56.3</v>
      </c>
      <c r="H1209" s="6">
        <v>56</v>
      </c>
      <c r="I1209" s="6">
        <v>56</v>
      </c>
      <c r="J1209" s="6">
        <v>1700</v>
      </c>
      <c r="K1209" s="7">
        <f>(J1209-M1209)*税费参数!$B$12/(I1209*10000*(1+SUM(税费参数!$B$6:$B$8)))</f>
        <v>0.0275856105153926</v>
      </c>
      <c r="L1209" s="7">
        <f>J1209*税费参数!$B$12/(I1209*10000)</f>
        <v>0.0303571428571429</v>
      </c>
      <c r="M1209" s="6">
        <f>I1209*10000*SUM(税费参数!$B$9:$B$10)/税费参数!$B$11</f>
        <v>105</v>
      </c>
    </row>
    <row r="1210" ht="21" customHeight="1" spans="1:13">
      <c r="A1210" s="5" t="s">
        <v>10</v>
      </c>
      <c r="B1210" s="6" t="s">
        <v>101</v>
      </c>
      <c r="C1210" s="6" t="s">
        <v>166</v>
      </c>
      <c r="D1210" s="6" t="s">
        <v>153</v>
      </c>
      <c r="E1210" s="6" t="s">
        <v>901</v>
      </c>
      <c r="F1210" s="6" t="s">
        <v>1883</v>
      </c>
      <c r="G1210" s="6">
        <v>98.5</v>
      </c>
      <c r="H1210" s="6">
        <v>96.19</v>
      </c>
      <c r="I1210" s="6">
        <v>95</v>
      </c>
      <c r="J1210" s="6">
        <v>3500</v>
      </c>
      <c r="K1210" s="7">
        <f>(J1210-M1210)*税费参数!$B$12/(I1210*10000*(1+SUM(税费参数!$B$6:$B$8)))</f>
        <v>0.0338664457754556</v>
      </c>
      <c r="L1210" s="7">
        <f>J1210*税费参数!$B$12/(I1210*10000)</f>
        <v>0.0368421052631579</v>
      </c>
      <c r="M1210" s="6">
        <f>I1210*10000*SUM(税费参数!$B$9:$B$10)/税费参数!$B$11</f>
        <v>178.125</v>
      </c>
    </row>
    <row r="1211" ht="21" customHeight="1" spans="1:13">
      <c r="A1211" s="5" t="s">
        <v>10</v>
      </c>
      <c r="B1211" s="6" t="s">
        <v>106</v>
      </c>
      <c r="C1211" s="6" t="s">
        <v>159</v>
      </c>
      <c r="D1211" s="6" t="s">
        <v>160</v>
      </c>
      <c r="E1211" s="6" t="s">
        <v>907</v>
      </c>
      <c r="F1211" s="6" t="s">
        <v>1884</v>
      </c>
      <c r="G1211" s="6">
        <v>36.24</v>
      </c>
      <c r="H1211" s="6">
        <v>35.24</v>
      </c>
      <c r="I1211" s="6">
        <v>63</v>
      </c>
      <c r="J1211" s="6">
        <v>1800</v>
      </c>
      <c r="K1211" s="7">
        <f>(J1211-M1211)*税费参数!$B$12/(I1211*10000*(1+SUM(税费参数!$B$6:$B$8)))</f>
        <v>0.025856105153926</v>
      </c>
      <c r="L1211" s="7">
        <f>J1211*税费参数!$B$12/(I1211*10000)</f>
        <v>0.0285714285714286</v>
      </c>
      <c r="M1211" s="6">
        <f>I1211*10000*SUM(税费参数!$B$9:$B$10)/税费参数!$B$11</f>
        <v>118.125</v>
      </c>
    </row>
    <row r="1212" ht="21" customHeight="1" spans="1:13">
      <c r="A1212" s="5" t="s">
        <v>10</v>
      </c>
      <c r="B1212" s="6" t="s">
        <v>106</v>
      </c>
      <c r="C1212" s="6" t="s">
        <v>152</v>
      </c>
      <c r="D1212" s="6" t="s">
        <v>160</v>
      </c>
      <c r="E1212" s="6" t="s">
        <v>903</v>
      </c>
      <c r="F1212" s="6" t="s">
        <v>1885</v>
      </c>
      <c r="G1212" s="6">
        <v>40.69</v>
      </c>
      <c r="H1212" s="6">
        <v>40.69</v>
      </c>
      <c r="I1212" s="6">
        <v>62</v>
      </c>
      <c r="J1212" s="6">
        <v>1700</v>
      </c>
      <c r="K1212" s="7">
        <f>(J1212-M1212)*税费参数!$B$12/(I1212*10000*(1+SUM(税费参数!$B$6:$B$8)))</f>
        <v>0.0247402952433023</v>
      </c>
      <c r="L1212" s="7">
        <f>J1212*税费参数!$B$12/(I1212*10000)</f>
        <v>0.0274193548387097</v>
      </c>
      <c r="M1212" s="6">
        <f>I1212*10000*SUM(税费参数!$B$9:$B$10)/税费参数!$B$11</f>
        <v>116.25</v>
      </c>
    </row>
    <row r="1213" ht="21" customHeight="1" spans="1:13">
      <c r="A1213" s="5" t="s">
        <v>10</v>
      </c>
      <c r="B1213" s="6" t="s">
        <v>106</v>
      </c>
      <c r="C1213" s="6" t="s">
        <v>152</v>
      </c>
      <c r="D1213" s="6" t="s">
        <v>160</v>
      </c>
      <c r="E1213" s="6" t="s">
        <v>903</v>
      </c>
      <c r="F1213" s="6" t="s">
        <v>1886</v>
      </c>
      <c r="G1213" s="6">
        <v>40.69</v>
      </c>
      <c r="H1213" s="6">
        <v>40.69</v>
      </c>
      <c r="I1213" s="6">
        <v>62</v>
      </c>
      <c r="J1213" s="6">
        <v>1800</v>
      </c>
      <c r="K1213" s="7">
        <f>(J1213-M1213)*税费参数!$B$12/(I1213*10000*(1+SUM(税费参数!$B$6:$B$8)))</f>
        <v>0.0263024291181754</v>
      </c>
      <c r="L1213" s="7">
        <f>J1213*税费参数!$B$12/(I1213*10000)</f>
        <v>0.0290322580645161</v>
      </c>
      <c r="M1213" s="6">
        <f>I1213*10000*SUM(税费参数!$B$9:$B$10)/税费参数!$B$11</f>
        <v>116.25</v>
      </c>
    </row>
    <row r="1214" ht="21" customHeight="1" spans="1:13">
      <c r="A1214" s="5" t="s">
        <v>10</v>
      </c>
      <c r="B1214" s="6" t="s">
        <v>106</v>
      </c>
      <c r="C1214" s="6" t="s">
        <v>152</v>
      </c>
      <c r="D1214" s="6" t="s">
        <v>153</v>
      </c>
      <c r="E1214" s="6" t="s">
        <v>905</v>
      </c>
      <c r="F1214" s="6" t="s">
        <v>1887</v>
      </c>
      <c r="G1214" s="6">
        <v>55.67</v>
      </c>
      <c r="H1214" s="6">
        <v>55.67</v>
      </c>
      <c r="I1214" s="6">
        <v>99</v>
      </c>
      <c r="J1214" s="6">
        <v>1900</v>
      </c>
      <c r="K1214" s="7">
        <f>(J1214-M1214)*税费参数!$B$12/(I1214*10000*(1+SUM(税费参数!$B$6:$B$8)))</f>
        <v>0.0167718345684447</v>
      </c>
      <c r="L1214" s="7">
        <f>J1214*税费参数!$B$12/(I1214*10000)</f>
        <v>0.0191919191919192</v>
      </c>
      <c r="M1214" s="6">
        <f>I1214*10000*SUM(税费参数!$B$9:$B$10)/税费参数!$B$11</f>
        <v>185.625</v>
      </c>
    </row>
    <row r="1215" ht="21" customHeight="1" spans="1:13">
      <c r="A1215" s="5" t="s">
        <v>10</v>
      </c>
      <c r="B1215" s="6" t="s">
        <v>106</v>
      </c>
      <c r="C1215" s="6" t="s">
        <v>152</v>
      </c>
      <c r="D1215" s="6" t="s">
        <v>153</v>
      </c>
      <c r="E1215" s="6" t="s">
        <v>905</v>
      </c>
      <c r="F1215" s="6" t="s">
        <v>1888</v>
      </c>
      <c r="G1215" s="6">
        <v>55.67</v>
      </c>
      <c r="H1215" s="6">
        <v>55.67</v>
      </c>
      <c r="I1215" s="6">
        <v>99</v>
      </c>
      <c r="J1215" s="6">
        <v>2600</v>
      </c>
      <c r="K1215" s="7">
        <f>(J1215-M1215)*税费参数!$B$12/(I1215*10000*(1+SUM(税费参数!$B$6:$B$8)))</f>
        <v>0.0236199770098075</v>
      </c>
      <c r="L1215" s="7">
        <f>J1215*税费参数!$B$12/(I1215*10000)</f>
        <v>0.0262626262626263</v>
      </c>
      <c r="M1215" s="6">
        <f>I1215*10000*SUM(税费参数!$B$9:$B$10)/税费参数!$B$11</f>
        <v>185.625</v>
      </c>
    </row>
    <row r="1216" ht="21" customHeight="1" spans="1:13">
      <c r="A1216" s="5" t="s">
        <v>10</v>
      </c>
      <c r="B1216" s="6" t="s">
        <v>103</v>
      </c>
      <c r="C1216" s="6" t="s">
        <v>152</v>
      </c>
      <c r="D1216" s="6" t="s">
        <v>153</v>
      </c>
      <c r="E1216" s="6" t="s">
        <v>909</v>
      </c>
      <c r="F1216" s="6" t="s">
        <v>1889</v>
      </c>
      <c r="G1216" s="6">
        <v>41.31</v>
      </c>
      <c r="H1216" s="6">
        <v>41.31</v>
      </c>
      <c r="I1216" s="6">
        <v>60</v>
      </c>
      <c r="J1216" s="6">
        <v>2120</v>
      </c>
      <c r="K1216" s="7">
        <f>(J1216-M1216)*税费参数!$B$12/(I1216*10000*(1+SUM(税费参数!$B$6:$B$8)))</f>
        <v>0.0324051654560129</v>
      </c>
      <c r="L1216" s="7">
        <f>J1216*税费参数!$B$12/(I1216*10000)</f>
        <v>0.0353333333333333</v>
      </c>
      <c r="M1216" s="6">
        <f>I1216*10000*SUM(税费参数!$B$9:$B$10)/税费参数!$B$11</f>
        <v>112.5</v>
      </c>
    </row>
    <row r="1217" ht="21" customHeight="1" spans="1:13">
      <c r="A1217" s="5" t="s">
        <v>10</v>
      </c>
      <c r="B1217" s="6" t="s">
        <v>103</v>
      </c>
      <c r="C1217" s="6" t="s">
        <v>152</v>
      </c>
      <c r="D1217" s="6" t="s">
        <v>153</v>
      </c>
      <c r="E1217" s="6" t="s">
        <v>909</v>
      </c>
      <c r="F1217" s="6" t="s">
        <v>1890</v>
      </c>
      <c r="G1217" s="6">
        <v>41.31</v>
      </c>
      <c r="H1217" s="6">
        <v>41.3</v>
      </c>
      <c r="I1217" s="6">
        <v>60</v>
      </c>
      <c r="J1217" s="6">
        <v>2000</v>
      </c>
      <c r="K1217" s="7">
        <f>(J1217-M1217)*税费参数!$B$12/(I1217*10000*(1+SUM(税费参数!$B$6:$B$8)))</f>
        <v>0.0304681194511703</v>
      </c>
      <c r="L1217" s="7">
        <f>J1217*税费参数!$B$12/(I1217*10000)</f>
        <v>0.0333333333333333</v>
      </c>
      <c r="M1217" s="6">
        <f>I1217*10000*SUM(税费参数!$B$9:$B$10)/税费参数!$B$11</f>
        <v>112.5</v>
      </c>
    </row>
    <row r="1218" ht="21" customHeight="1" spans="1:13">
      <c r="A1218" s="5" t="s">
        <v>10</v>
      </c>
      <c r="B1218" s="6" t="s">
        <v>103</v>
      </c>
      <c r="C1218" s="6" t="s">
        <v>152</v>
      </c>
      <c r="D1218" s="6" t="s">
        <v>153</v>
      </c>
      <c r="E1218" s="6" t="s">
        <v>911</v>
      </c>
      <c r="F1218" s="6" t="s">
        <v>1889</v>
      </c>
      <c r="G1218" s="6">
        <v>41.31</v>
      </c>
      <c r="H1218" s="6">
        <v>41.31</v>
      </c>
      <c r="I1218" s="6">
        <v>60</v>
      </c>
      <c r="J1218" s="6">
        <v>2120</v>
      </c>
      <c r="K1218" s="7">
        <f>(J1218-M1218)*税费参数!$B$12/(I1218*10000*(1+SUM(税费参数!$B$6:$B$8)))</f>
        <v>0.0324051654560129</v>
      </c>
      <c r="L1218" s="7">
        <f>J1218*税费参数!$B$12/(I1218*10000)</f>
        <v>0.0353333333333333</v>
      </c>
      <c r="M1218" s="6">
        <f>I1218*10000*SUM(税费参数!$B$9:$B$10)/税费参数!$B$11</f>
        <v>112.5</v>
      </c>
    </row>
    <row r="1219" ht="21" customHeight="1" spans="1:13">
      <c r="A1219" s="5" t="s">
        <v>10</v>
      </c>
      <c r="B1219" s="6" t="s">
        <v>103</v>
      </c>
      <c r="C1219" s="6" t="s">
        <v>152</v>
      </c>
      <c r="D1219" s="6" t="s">
        <v>153</v>
      </c>
      <c r="E1219" s="6" t="s">
        <v>911</v>
      </c>
      <c r="F1219" s="6" t="s">
        <v>1890</v>
      </c>
      <c r="G1219" s="6">
        <v>41.31</v>
      </c>
      <c r="H1219" s="6">
        <v>41.3</v>
      </c>
      <c r="I1219" s="6">
        <v>60</v>
      </c>
      <c r="J1219" s="6">
        <v>2000</v>
      </c>
      <c r="K1219" s="7">
        <f>(J1219-M1219)*税费参数!$B$12/(I1219*10000*(1+SUM(税费参数!$B$6:$B$8)))</f>
        <v>0.0304681194511703</v>
      </c>
      <c r="L1219" s="7">
        <f>J1219*税费参数!$B$12/(I1219*10000)</f>
        <v>0.0333333333333333</v>
      </c>
      <c r="M1219" s="6">
        <f>I1219*10000*SUM(税费参数!$B$9:$B$10)/税费参数!$B$11</f>
        <v>112.5</v>
      </c>
    </row>
    <row r="1220" ht="21" customHeight="1" spans="1:13">
      <c r="A1220" s="5" t="s">
        <v>10</v>
      </c>
      <c r="B1220" s="6" t="s">
        <v>100</v>
      </c>
      <c r="C1220" s="6" t="s">
        <v>159</v>
      </c>
      <c r="D1220" s="6" t="s">
        <v>160</v>
      </c>
      <c r="E1220" s="6" t="s">
        <v>939</v>
      </c>
      <c r="F1220" s="6" t="s">
        <v>1891</v>
      </c>
      <c r="G1220" s="6">
        <v>36.75</v>
      </c>
      <c r="H1220" s="6">
        <v>38.5</v>
      </c>
      <c r="I1220" s="6">
        <v>44</v>
      </c>
      <c r="J1220" s="6">
        <v>1650</v>
      </c>
      <c r="K1220" s="7">
        <f>(J1220-M1220)*税费参数!$B$12/(I1220*10000*(1+SUM(税费参数!$B$6:$B$8)))</f>
        <v>0.0345036319612591</v>
      </c>
      <c r="L1220" s="7">
        <f>J1220*税费参数!$B$12/(I1220*10000)</f>
        <v>0.0375</v>
      </c>
      <c r="M1220" s="6">
        <f>I1220*10000*SUM(税费参数!$B$9:$B$10)/税费参数!$B$11</f>
        <v>82.5</v>
      </c>
    </row>
    <row r="1221" ht="21" customHeight="1" spans="1:13">
      <c r="A1221" s="5" t="s">
        <v>10</v>
      </c>
      <c r="B1221" s="6" t="s">
        <v>100</v>
      </c>
      <c r="C1221" s="6" t="s">
        <v>152</v>
      </c>
      <c r="D1221" s="6" t="s">
        <v>160</v>
      </c>
      <c r="E1221" s="6" t="s">
        <v>917</v>
      </c>
      <c r="F1221" s="6" t="s">
        <v>1892</v>
      </c>
      <c r="G1221" s="6">
        <v>51.61</v>
      </c>
      <c r="H1221" s="6">
        <v>51.61</v>
      </c>
      <c r="I1221" s="6">
        <v>65</v>
      </c>
      <c r="J1221" s="6">
        <v>1900</v>
      </c>
      <c r="K1221" s="7">
        <f>(J1221-M1221)*税费参数!$B$12/(I1221*10000*(1+SUM(税费参数!$B$6:$B$8)))</f>
        <v>0.026494691748929</v>
      </c>
      <c r="L1221" s="7">
        <f>J1221*税费参数!$B$12/(I1221*10000)</f>
        <v>0.0292307692307692</v>
      </c>
      <c r="M1221" s="6">
        <f>I1221*10000*SUM(税费参数!$B$9:$B$10)/税费参数!$B$11</f>
        <v>121.875</v>
      </c>
    </row>
    <row r="1222" ht="21" customHeight="1" spans="1:13">
      <c r="A1222" s="5" t="s">
        <v>10</v>
      </c>
      <c r="B1222" s="6" t="s">
        <v>100</v>
      </c>
      <c r="C1222" s="6" t="s">
        <v>152</v>
      </c>
      <c r="D1222" s="6" t="s">
        <v>160</v>
      </c>
      <c r="E1222" s="6" t="s">
        <v>923</v>
      </c>
      <c r="F1222" s="6" t="s">
        <v>1892</v>
      </c>
      <c r="G1222" s="6">
        <v>51.61</v>
      </c>
      <c r="H1222" s="6">
        <v>51.61</v>
      </c>
      <c r="I1222" s="6">
        <v>50</v>
      </c>
      <c r="J1222" s="6">
        <v>1900</v>
      </c>
      <c r="K1222" s="7">
        <f>(J1222-M1222)*税费参数!$B$12/(I1222*10000*(1+SUM(税费参数!$B$6:$B$8)))</f>
        <v>0.0349878934624697</v>
      </c>
      <c r="L1222" s="7">
        <f>J1222*税费参数!$B$12/(I1222*10000)</f>
        <v>0.038</v>
      </c>
      <c r="M1222" s="6">
        <f>I1222*10000*SUM(税费参数!$B$9:$B$10)/税费参数!$B$11</f>
        <v>93.75</v>
      </c>
    </row>
    <row r="1223" ht="21" customHeight="1" spans="1:13">
      <c r="A1223" s="5" t="s">
        <v>10</v>
      </c>
      <c r="B1223" s="6" t="s">
        <v>100</v>
      </c>
      <c r="C1223" s="6" t="s">
        <v>152</v>
      </c>
      <c r="D1223" s="6" t="s">
        <v>160</v>
      </c>
      <c r="E1223" s="6" t="s">
        <v>913</v>
      </c>
      <c r="F1223" s="6" t="s">
        <v>1893</v>
      </c>
      <c r="G1223" s="6">
        <v>41.52</v>
      </c>
      <c r="H1223" s="6">
        <v>42.71</v>
      </c>
      <c r="I1223" s="6">
        <v>45</v>
      </c>
      <c r="J1223" s="6">
        <v>1720</v>
      </c>
      <c r="K1223" s="7">
        <f>(J1223-M1223)*税费参数!$B$12/(I1223*10000*(1+SUM(税费参数!$B$6:$B$8)))</f>
        <v>0.0352031207963411</v>
      </c>
      <c r="L1223" s="7">
        <f>J1223*税费参数!$B$12/(I1223*10000)</f>
        <v>0.0382222222222222</v>
      </c>
      <c r="M1223" s="6">
        <f>I1223*10000*SUM(税费参数!$B$9:$B$10)/税费参数!$B$11</f>
        <v>84.375</v>
      </c>
    </row>
    <row r="1224" ht="21" customHeight="1" spans="1:13">
      <c r="A1224" s="5" t="s">
        <v>10</v>
      </c>
      <c r="B1224" s="6" t="s">
        <v>100</v>
      </c>
      <c r="C1224" s="6" t="s">
        <v>152</v>
      </c>
      <c r="D1224" s="6" t="s">
        <v>160</v>
      </c>
      <c r="E1224" s="6" t="s">
        <v>913</v>
      </c>
      <c r="F1224" s="6" t="s">
        <v>1894</v>
      </c>
      <c r="G1224" s="6">
        <v>41.52</v>
      </c>
      <c r="H1224" s="6">
        <v>42.71</v>
      </c>
      <c r="I1224" s="6">
        <v>45</v>
      </c>
      <c r="J1224" s="6">
        <v>2000</v>
      </c>
      <c r="K1224" s="7">
        <f>(J1224-M1224)*税费参数!$B$12/(I1224*10000*(1+SUM(税费参数!$B$6:$B$8)))</f>
        <v>0.0412294861447404</v>
      </c>
      <c r="L1224" s="7">
        <f>J1224*税费参数!$B$12/(I1224*10000)</f>
        <v>0.0444444444444444</v>
      </c>
      <c r="M1224" s="6">
        <f>I1224*10000*SUM(税费参数!$B$9:$B$10)/税费参数!$B$11</f>
        <v>84.375</v>
      </c>
    </row>
    <row r="1225" ht="21" customHeight="1" spans="1:13">
      <c r="A1225" s="5" t="s">
        <v>10</v>
      </c>
      <c r="B1225" s="6" t="s">
        <v>100</v>
      </c>
      <c r="C1225" s="6" t="s">
        <v>152</v>
      </c>
      <c r="D1225" s="6" t="s">
        <v>160</v>
      </c>
      <c r="E1225" s="6" t="s">
        <v>915</v>
      </c>
      <c r="F1225" s="6" t="s">
        <v>1893</v>
      </c>
      <c r="G1225" s="6">
        <v>42.71</v>
      </c>
      <c r="H1225" s="6">
        <v>42.71</v>
      </c>
      <c r="I1225" s="6">
        <v>45</v>
      </c>
      <c r="J1225" s="6">
        <v>1720</v>
      </c>
      <c r="K1225" s="7">
        <f>(J1225-M1225)*税费参数!$B$12/(I1225*10000*(1+SUM(税费参数!$B$6:$B$8)))</f>
        <v>0.0352031207963411</v>
      </c>
      <c r="L1225" s="7">
        <f>J1225*税费参数!$B$12/(I1225*10000)</f>
        <v>0.0382222222222222</v>
      </c>
      <c r="M1225" s="6">
        <f>I1225*10000*SUM(税费参数!$B$9:$B$10)/税费参数!$B$11</f>
        <v>84.375</v>
      </c>
    </row>
    <row r="1226" ht="21" customHeight="1" spans="1:13">
      <c r="A1226" s="5" t="s">
        <v>10</v>
      </c>
      <c r="B1226" s="6" t="s">
        <v>100</v>
      </c>
      <c r="C1226" s="6" t="s">
        <v>152</v>
      </c>
      <c r="D1226" s="6" t="s">
        <v>160</v>
      </c>
      <c r="E1226" s="6" t="s">
        <v>915</v>
      </c>
      <c r="F1226" s="6" t="s">
        <v>1894</v>
      </c>
      <c r="G1226" s="6">
        <v>42.71</v>
      </c>
      <c r="H1226" s="6">
        <v>42.71</v>
      </c>
      <c r="I1226" s="6">
        <v>45</v>
      </c>
      <c r="J1226" s="6">
        <v>2000</v>
      </c>
      <c r="K1226" s="7">
        <f>(J1226-M1226)*税费参数!$B$12/(I1226*10000*(1+SUM(税费参数!$B$6:$B$8)))</f>
        <v>0.0412294861447404</v>
      </c>
      <c r="L1226" s="7">
        <f>J1226*税费参数!$B$12/(I1226*10000)</f>
        <v>0.0444444444444444</v>
      </c>
      <c r="M1226" s="6">
        <f>I1226*10000*SUM(税费参数!$B$9:$B$10)/税费参数!$B$11</f>
        <v>84.375</v>
      </c>
    </row>
    <row r="1227" ht="21" customHeight="1" spans="1:13">
      <c r="A1227" s="5" t="s">
        <v>10</v>
      </c>
      <c r="B1227" s="6" t="s">
        <v>100</v>
      </c>
      <c r="C1227" s="6" t="s">
        <v>152</v>
      </c>
      <c r="D1227" s="6" t="s">
        <v>160</v>
      </c>
      <c r="E1227" s="6" t="s">
        <v>919</v>
      </c>
      <c r="F1227" s="6" t="s">
        <v>1893</v>
      </c>
      <c r="G1227" s="6">
        <v>42.71</v>
      </c>
      <c r="H1227" s="6">
        <v>42.71</v>
      </c>
      <c r="I1227" s="6">
        <v>50</v>
      </c>
      <c r="J1227" s="6">
        <v>1720</v>
      </c>
      <c r="K1227" s="7">
        <f>(J1227-M1227)*税费参数!$B$12/(I1227*10000*(1+SUM(税费参数!$B$6:$B$8)))</f>
        <v>0.031501210653753</v>
      </c>
      <c r="L1227" s="7">
        <f>J1227*税费参数!$B$12/(I1227*10000)</f>
        <v>0.0344</v>
      </c>
      <c r="M1227" s="6">
        <f>I1227*10000*SUM(税费参数!$B$9:$B$10)/税费参数!$B$11</f>
        <v>93.75</v>
      </c>
    </row>
    <row r="1228" ht="21" customHeight="1" spans="1:13">
      <c r="A1228" s="5" t="s">
        <v>10</v>
      </c>
      <c r="B1228" s="6" t="s">
        <v>100</v>
      </c>
      <c r="C1228" s="6" t="s">
        <v>152</v>
      </c>
      <c r="D1228" s="6" t="s">
        <v>160</v>
      </c>
      <c r="E1228" s="6" t="s">
        <v>919</v>
      </c>
      <c r="F1228" s="6" t="s">
        <v>1894</v>
      </c>
      <c r="G1228" s="6">
        <v>42.71</v>
      </c>
      <c r="H1228" s="6">
        <v>42.71</v>
      </c>
      <c r="I1228" s="6">
        <v>50</v>
      </c>
      <c r="J1228" s="6">
        <v>2000</v>
      </c>
      <c r="K1228" s="7">
        <f>(J1228-M1228)*税费参数!$B$12/(I1228*10000*(1+SUM(税费参数!$B$6:$B$8)))</f>
        <v>0.0369249394673123</v>
      </c>
      <c r="L1228" s="7">
        <f>J1228*税费参数!$B$12/(I1228*10000)</f>
        <v>0.04</v>
      </c>
      <c r="M1228" s="6">
        <f>I1228*10000*SUM(税费参数!$B$9:$B$10)/税费参数!$B$11</f>
        <v>93.75</v>
      </c>
    </row>
    <row r="1229" ht="21" customHeight="1" spans="1:13">
      <c r="A1229" s="5" t="s">
        <v>10</v>
      </c>
      <c r="B1229" s="6" t="s">
        <v>100</v>
      </c>
      <c r="C1229" s="6" t="s">
        <v>152</v>
      </c>
      <c r="D1229" s="6" t="s">
        <v>160</v>
      </c>
      <c r="E1229" s="6" t="s">
        <v>921</v>
      </c>
      <c r="F1229" s="6" t="s">
        <v>1893</v>
      </c>
      <c r="G1229" s="6">
        <v>42.71</v>
      </c>
      <c r="H1229" s="6">
        <v>42.71</v>
      </c>
      <c r="I1229" s="6">
        <v>45.5</v>
      </c>
      <c r="J1229" s="6">
        <v>1720</v>
      </c>
      <c r="K1229" s="7">
        <f>(J1229-M1229)*税费参数!$B$12/(I1229*10000*(1+SUM(税费参数!$B$6:$B$8)))</f>
        <v>0.0347963174839688</v>
      </c>
      <c r="L1229" s="7">
        <f>J1229*税费参数!$B$12/(I1229*10000)</f>
        <v>0.0378021978021978</v>
      </c>
      <c r="M1229" s="6">
        <f>I1229*10000*SUM(税费参数!$B$9:$B$10)/税费参数!$B$11</f>
        <v>85.3125</v>
      </c>
    </row>
    <row r="1230" ht="21" customHeight="1" spans="1:13">
      <c r="A1230" s="5" t="s">
        <v>10</v>
      </c>
      <c r="B1230" s="6" t="s">
        <v>100</v>
      </c>
      <c r="C1230" s="6" t="s">
        <v>152</v>
      </c>
      <c r="D1230" s="6" t="s">
        <v>160</v>
      </c>
      <c r="E1230" s="6" t="s">
        <v>921</v>
      </c>
      <c r="F1230" s="6" t="s">
        <v>1894</v>
      </c>
      <c r="G1230" s="6">
        <v>42.71</v>
      </c>
      <c r="H1230" s="6">
        <v>42.71</v>
      </c>
      <c r="I1230" s="6">
        <v>45.5</v>
      </c>
      <c r="J1230" s="6">
        <v>2000</v>
      </c>
      <c r="K1230" s="7">
        <f>(J1230-M1230)*税费参数!$B$12/(I1230*10000*(1+SUM(税费参数!$B$6:$B$8)))</f>
        <v>0.0407564590373307</v>
      </c>
      <c r="L1230" s="7">
        <f>J1230*税费参数!$B$12/(I1230*10000)</f>
        <v>0.043956043956044</v>
      </c>
      <c r="M1230" s="6">
        <f>I1230*10000*SUM(税费参数!$B$9:$B$10)/税费参数!$B$11</f>
        <v>85.3125</v>
      </c>
    </row>
    <row r="1231" ht="21" customHeight="1" spans="1:13">
      <c r="A1231" s="5" t="s">
        <v>10</v>
      </c>
      <c r="B1231" s="6" t="s">
        <v>100</v>
      </c>
      <c r="C1231" s="6" t="s">
        <v>152</v>
      </c>
      <c r="D1231" s="6" t="s">
        <v>153</v>
      </c>
      <c r="E1231" s="6" t="s">
        <v>931</v>
      </c>
      <c r="F1231" s="6" t="s">
        <v>1895</v>
      </c>
      <c r="G1231" s="6">
        <v>51.61</v>
      </c>
      <c r="H1231" s="6">
        <v>44.78</v>
      </c>
      <c r="I1231" s="6">
        <v>60.6</v>
      </c>
      <c r="J1231" s="6">
        <v>2100</v>
      </c>
      <c r="K1231" s="7">
        <f>(J1231-M1231)*税费参数!$B$12/(I1231*10000*(1+SUM(税费参数!$B$6:$B$8)))</f>
        <v>0.0317466976721885</v>
      </c>
      <c r="L1231" s="7">
        <f>J1231*税费参数!$B$12/(I1231*10000)</f>
        <v>0.0346534653465347</v>
      </c>
      <c r="M1231" s="6">
        <f>I1231*10000*SUM(税费参数!$B$9:$B$10)/税费参数!$B$11</f>
        <v>113.625</v>
      </c>
    </row>
    <row r="1232" ht="21" customHeight="1" spans="1:13">
      <c r="A1232" s="5" t="s">
        <v>10</v>
      </c>
      <c r="B1232" s="6" t="s">
        <v>100</v>
      </c>
      <c r="C1232" s="6" t="s">
        <v>152</v>
      </c>
      <c r="D1232" s="6" t="s">
        <v>153</v>
      </c>
      <c r="E1232" s="6" t="s">
        <v>935</v>
      </c>
      <c r="F1232" s="6" t="s">
        <v>1895</v>
      </c>
      <c r="G1232" s="6">
        <v>51.61</v>
      </c>
      <c r="H1232" s="6">
        <v>44.78</v>
      </c>
      <c r="I1232" s="6">
        <v>50.7</v>
      </c>
      <c r="J1232" s="6">
        <v>2100</v>
      </c>
      <c r="K1232" s="7">
        <f>(J1232-M1232)*税费参数!$B$12/(I1232*10000*(1+SUM(税费参数!$B$6:$B$8)))</f>
        <v>0.0383003567488574</v>
      </c>
      <c r="L1232" s="7">
        <f>J1232*税费参数!$B$12/(I1232*10000)</f>
        <v>0.0414201183431953</v>
      </c>
      <c r="M1232" s="6">
        <f>I1232*10000*SUM(税费参数!$B$9:$B$10)/税费参数!$B$11</f>
        <v>95.0625</v>
      </c>
    </row>
    <row r="1233" ht="21" customHeight="1" spans="1:13">
      <c r="A1233" s="5" t="s">
        <v>10</v>
      </c>
      <c r="B1233" s="6" t="s">
        <v>100</v>
      </c>
      <c r="C1233" s="6" t="s">
        <v>152</v>
      </c>
      <c r="D1233" s="6" t="s">
        <v>153</v>
      </c>
      <c r="E1233" s="6" t="s">
        <v>937</v>
      </c>
      <c r="F1233" s="6" t="s">
        <v>1895</v>
      </c>
      <c r="G1233" s="6">
        <v>51.61</v>
      </c>
      <c r="H1233" s="6">
        <v>44.78</v>
      </c>
      <c r="I1233" s="6">
        <v>52</v>
      </c>
      <c r="J1233" s="6">
        <v>2100</v>
      </c>
      <c r="K1233" s="7">
        <f>(J1233-M1233)*税费参数!$B$12/(I1233*10000*(1+SUM(税费参数!$B$6:$B$8)))</f>
        <v>0.0372974483143975</v>
      </c>
      <c r="L1233" s="7">
        <f>J1233*税费参数!$B$12/(I1233*10000)</f>
        <v>0.0403846153846154</v>
      </c>
      <c r="M1233" s="6">
        <f>I1233*10000*SUM(税费参数!$B$9:$B$10)/税费参数!$B$11</f>
        <v>97.5</v>
      </c>
    </row>
    <row r="1234" ht="21" customHeight="1" spans="1:13">
      <c r="A1234" s="5" t="s">
        <v>10</v>
      </c>
      <c r="B1234" s="6" t="s">
        <v>100</v>
      </c>
      <c r="C1234" s="6" t="s">
        <v>152</v>
      </c>
      <c r="D1234" s="6" t="s">
        <v>153</v>
      </c>
      <c r="E1234" s="6" t="s">
        <v>933</v>
      </c>
      <c r="F1234" s="6" t="s">
        <v>1895</v>
      </c>
      <c r="G1234" s="6">
        <v>41.18</v>
      </c>
      <c r="H1234" s="6">
        <v>44.78</v>
      </c>
      <c r="I1234" s="6">
        <v>47</v>
      </c>
      <c r="J1234" s="6">
        <v>2100</v>
      </c>
      <c r="K1234" s="7">
        <f>(J1234-M1234)*税费参数!$B$12/(I1234*10000*(1+SUM(税费参数!$B$6:$B$8)))</f>
        <v>0.0414584513935397</v>
      </c>
      <c r="L1234" s="7">
        <f>J1234*税费参数!$B$12/(I1234*10000)</f>
        <v>0.0446808510638298</v>
      </c>
      <c r="M1234" s="6">
        <f>I1234*10000*SUM(税费参数!$B$9:$B$10)/税费参数!$B$11</f>
        <v>88.125</v>
      </c>
    </row>
    <row r="1235" ht="21" customHeight="1" spans="1:13">
      <c r="A1235" s="5" t="s">
        <v>10</v>
      </c>
      <c r="B1235" s="6" t="s">
        <v>100</v>
      </c>
      <c r="C1235" s="6" t="s">
        <v>152</v>
      </c>
      <c r="D1235" s="6" t="s">
        <v>153</v>
      </c>
      <c r="E1235" s="6" t="s">
        <v>933</v>
      </c>
      <c r="F1235" s="6" t="s">
        <v>1896</v>
      </c>
      <c r="G1235" s="6">
        <v>41.18</v>
      </c>
      <c r="H1235" s="6">
        <v>42.71</v>
      </c>
      <c r="I1235" s="6">
        <v>47</v>
      </c>
      <c r="J1235" s="6">
        <v>1800</v>
      </c>
      <c r="K1235" s="7">
        <f>(J1235-M1235)*税费参数!$B$12/(I1235*10000*(1+SUM(税费参数!$B$6:$B$8)))</f>
        <v>0.0352763896759569</v>
      </c>
      <c r="L1235" s="7">
        <f>J1235*税费参数!$B$12/(I1235*10000)</f>
        <v>0.0382978723404255</v>
      </c>
      <c r="M1235" s="6">
        <f>I1235*10000*SUM(税费参数!$B$9:$B$10)/税费参数!$B$11</f>
        <v>88.125</v>
      </c>
    </row>
    <row r="1236" ht="21" customHeight="1" spans="1:13">
      <c r="A1236" s="5" t="s">
        <v>10</v>
      </c>
      <c r="B1236" s="6" t="s">
        <v>100</v>
      </c>
      <c r="C1236" s="6" t="s">
        <v>152</v>
      </c>
      <c r="D1236" s="6" t="s">
        <v>153</v>
      </c>
      <c r="E1236" s="6" t="s">
        <v>933</v>
      </c>
      <c r="F1236" s="6" t="s">
        <v>1897</v>
      </c>
      <c r="G1236" s="6">
        <v>41.18</v>
      </c>
      <c r="H1236" s="6">
        <v>42.71</v>
      </c>
      <c r="I1236" s="6">
        <v>47</v>
      </c>
      <c r="J1236" s="6">
        <v>2000</v>
      </c>
      <c r="K1236" s="7">
        <f>(J1236-M1236)*税费参数!$B$12/(I1236*10000*(1+SUM(税费参数!$B$6:$B$8)))</f>
        <v>0.0393977641543455</v>
      </c>
      <c r="L1236" s="7">
        <f>J1236*税费参数!$B$12/(I1236*10000)</f>
        <v>0.0425531914893617</v>
      </c>
      <c r="M1236" s="6">
        <f>I1236*10000*SUM(税费参数!$B$9:$B$10)/税费参数!$B$11</f>
        <v>88.125</v>
      </c>
    </row>
    <row r="1237" ht="21" customHeight="1" spans="1:13">
      <c r="A1237" s="5" t="s">
        <v>10</v>
      </c>
      <c r="B1237" s="6" t="s">
        <v>100</v>
      </c>
      <c r="C1237" s="6" t="s">
        <v>152</v>
      </c>
      <c r="D1237" s="6" t="s">
        <v>153</v>
      </c>
      <c r="E1237" s="6" t="s">
        <v>933</v>
      </c>
      <c r="F1237" s="6" t="s">
        <v>1898</v>
      </c>
      <c r="G1237" s="6">
        <v>41.18</v>
      </c>
      <c r="H1237" s="6">
        <v>42.76</v>
      </c>
      <c r="I1237" s="6">
        <v>47</v>
      </c>
      <c r="J1237" s="6">
        <v>1900</v>
      </c>
      <c r="K1237" s="7">
        <f>(J1237-M1237)*税费参数!$B$12/(I1237*10000*(1+SUM(税费参数!$B$6:$B$8)))</f>
        <v>0.0373370769151512</v>
      </c>
      <c r="L1237" s="7">
        <f>J1237*税费参数!$B$12/(I1237*10000)</f>
        <v>0.0404255319148936</v>
      </c>
      <c r="M1237" s="6">
        <f>I1237*10000*SUM(税费参数!$B$9:$B$10)/税费参数!$B$11</f>
        <v>88.125</v>
      </c>
    </row>
    <row r="1238" ht="21" customHeight="1" spans="1:13">
      <c r="A1238" s="5" t="s">
        <v>10</v>
      </c>
      <c r="B1238" s="6" t="s">
        <v>105</v>
      </c>
      <c r="C1238" s="6" t="s">
        <v>152</v>
      </c>
      <c r="D1238" s="6" t="s">
        <v>160</v>
      </c>
      <c r="E1238" s="6" t="s">
        <v>947</v>
      </c>
      <c r="F1238" s="6" t="s">
        <v>1899</v>
      </c>
      <c r="G1238" s="6">
        <v>48.58</v>
      </c>
      <c r="H1238" s="6">
        <v>48.58</v>
      </c>
      <c r="I1238" s="6">
        <v>90</v>
      </c>
      <c r="J1238" s="6">
        <v>2700</v>
      </c>
      <c r="K1238" s="7">
        <f>(J1238-M1238)*税费参数!$B$12/(I1238*10000*(1+SUM(税费参数!$B$6:$B$8)))</f>
        <v>0.0272397094430993</v>
      </c>
      <c r="L1238" s="7">
        <f>J1238*税费参数!$B$12/(I1238*10000)</f>
        <v>0.03</v>
      </c>
      <c r="M1238" s="6">
        <f>I1238*10000*SUM(税费参数!$B$9:$B$10)/税费参数!$B$11</f>
        <v>168.75</v>
      </c>
    </row>
    <row r="1239" ht="21" customHeight="1" spans="1:13">
      <c r="A1239" s="5" t="s">
        <v>10</v>
      </c>
      <c r="B1239" s="6" t="s">
        <v>105</v>
      </c>
      <c r="C1239" s="6" t="s">
        <v>152</v>
      </c>
      <c r="D1239" s="6" t="s">
        <v>160</v>
      </c>
      <c r="E1239" s="6" t="s">
        <v>947</v>
      </c>
      <c r="F1239" s="6" t="s">
        <v>1900</v>
      </c>
      <c r="G1239" s="6">
        <v>48.58</v>
      </c>
      <c r="H1239" s="6">
        <v>48.58</v>
      </c>
      <c r="I1239" s="6">
        <v>90</v>
      </c>
      <c r="J1239" s="6">
        <v>2670</v>
      </c>
      <c r="K1239" s="7">
        <f>(J1239-M1239)*税费参数!$B$12/(I1239*10000*(1+SUM(税费参数!$B$6:$B$8)))</f>
        <v>0.0269168684422922</v>
      </c>
      <c r="L1239" s="7">
        <f>J1239*税费参数!$B$12/(I1239*10000)</f>
        <v>0.0296666666666667</v>
      </c>
      <c r="M1239" s="6">
        <f>I1239*10000*SUM(税费参数!$B$9:$B$10)/税费参数!$B$11</f>
        <v>168.75</v>
      </c>
    </row>
    <row r="1240" ht="21" customHeight="1" spans="1:13">
      <c r="A1240" s="5" t="s">
        <v>10</v>
      </c>
      <c r="B1240" s="6" t="s">
        <v>105</v>
      </c>
      <c r="C1240" s="6" t="s">
        <v>152</v>
      </c>
      <c r="D1240" s="6" t="s">
        <v>160</v>
      </c>
      <c r="E1240" s="6" t="s">
        <v>945</v>
      </c>
      <c r="F1240" s="6" t="s">
        <v>1899</v>
      </c>
      <c r="G1240" s="6">
        <v>48.58</v>
      </c>
      <c r="H1240" s="6">
        <v>48.58</v>
      </c>
      <c r="I1240" s="6">
        <v>82</v>
      </c>
      <c r="J1240" s="6">
        <v>2700</v>
      </c>
      <c r="K1240" s="7">
        <f>(J1240-M1240)*税费参数!$B$12/(I1240*10000*(1+SUM(税费参数!$B$6:$B$8)))</f>
        <v>0.0300744109136007</v>
      </c>
      <c r="L1240" s="7">
        <f>J1240*税费参数!$B$12/(I1240*10000)</f>
        <v>0.0329268292682927</v>
      </c>
      <c r="M1240" s="6">
        <f>I1240*10000*SUM(税费参数!$B$9:$B$10)/税费参数!$B$11</f>
        <v>153.75</v>
      </c>
    </row>
    <row r="1241" ht="21" customHeight="1" spans="1:13">
      <c r="A1241" s="5" t="s">
        <v>10</v>
      </c>
      <c r="B1241" s="6" t="s">
        <v>105</v>
      </c>
      <c r="C1241" s="6" t="s">
        <v>152</v>
      </c>
      <c r="D1241" s="6" t="s">
        <v>160</v>
      </c>
      <c r="E1241" s="6" t="s">
        <v>945</v>
      </c>
      <c r="F1241" s="6" t="s">
        <v>1900</v>
      </c>
      <c r="G1241" s="6">
        <v>48.58</v>
      </c>
      <c r="H1241" s="6">
        <v>48.58</v>
      </c>
      <c r="I1241" s="6">
        <v>82</v>
      </c>
      <c r="J1241" s="6">
        <v>2670</v>
      </c>
      <c r="K1241" s="7">
        <f>(J1241-M1241)*税费参数!$B$12/(I1241*10000*(1+SUM(税费参数!$B$6:$B$8)))</f>
        <v>0.029720073229788</v>
      </c>
      <c r="L1241" s="7">
        <f>J1241*税费参数!$B$12/(I1241*10000)</f>
        <v>0.0325609756097561</v>
      </c>
      <c r="M1241" s="6">
        <f>I1241*10000*SUM(税费参数!$B$9:$B$10)/税费参数!$B$11</f>
        <v>153.75</v>
      </c>
    </row>
    <row r="1242" ht="21" customHeight="1" spans="1:13">
      <c r="A1242" s="5" t="s">
        <v>10</v>
      </c>
      <c r="B1242" s="6" t="s">
        <v>105</v>
      </c>
      <c r="C1242" s="6" t="s">
        <v>152</v>
      </c>
      <c r="D1242" s="6" t="s">
        <v>160</v>
      </c>
      <c r="E1242" s="6" t="s">
        <v>943</v>
      </c>
      <c r="F1242" s="6" t="s">
        <v>1899</v>
      </c>
      <c r="G1242" s="6">
        <v>48.58</v>
      </c>
      <c r="H1242" s="6">
        <v>48.58</v>
      </c>
      <c r="I1242" s="6">
        <v>79</v>
      </c>
      <c r="J1242" s="6">
        <v>2700</v>
      </c>
      <c r="K1242" s="7">
        <f>(J1242-M1242)*税费参数!$B$12/(I1242*10000*(1+SUM(税费参数!$B$6:$B$8)))</f>
        <v>0.0312854384405554</v>
      </c>
      <c r="L1242" s="7">
        <f>J1242*税费参数!$B$12/(I1242*10000)</f>
        <v>0.0341772151898734</v>
      </c>
      <c r="M1242" s="6">
        <f>I1242*10000*SUM(税费参数!$B$9:$B$10)/税费参数!$B$11</f>
        <v>148.125</v>
      </c>
    </row>
    <row r="1243" ht="21" customHeight="1" spans="1:13">
      <c r="A1243" s="5" t="s">
        <v>10</v>
      </c>
      <c r="B1243" s="6" t="s">
        <v>105</v>
      </c>
      <c r="C1243" s="6" t="s">
        <v>152</v>
      </c>
      <c r="D1243" s="6" t="s">
        <v>160</v>
      </c>
      <c r="E1243" s="6" t="s">
        <v>943</v>
      </c>
      <c r="F1243" s="6" t="s">
        <v>1900</v>
      </c>
      <c r="G1243" s="6">
        <v>48.58</v>
      </c>
      <c r="H1243" s="6">
        <v>48.58</v>
      </c>
      <c r="I1243" s="6">
        <v>79</v>
      </c>
      <c r="J1243" s="6">
        <v>2670</v>
      </c>
      <c r="K1243" s="7">
        <f>(J1243-M1243)*税费参数!$B$12/(I1243*10000*(1+SUM(税费参数!$B$6:$B$8)))</f>
        <v>0.0309176448953321</v>
      </c>
      <c r="L1243" s="7">
        <f>J1243*税费参数!$B$12/(I1243*10000)</f>
        <v>0.0337974683544304</v>
      </c>
      <c r="M1243" s="6">
        <f>I1243*10000*SUM(税费参数!$B$9:$B$10)/税费参数!$B$11</f>
        <v>148.125</v>
      </c>
    </row>
    <row r="1244" ht="21" customHeight="1" spans="1:13">
      <c r="A1244" s="5" t="s">
        <v>10</v>
      </c>
      <c r="B1244" s="6" t="s">
        <v>105</v>
      </c>
      <c r="C1244" s="6" t="s">
        <v>152</v>
      </c>
      <c r="D1244" s="6" t="s">
        <v>153</v>
      </c>
      <c r="E1244" s="6" t="s">
        <v>949</v>
      </c>
      <c r="F1244" s="6" t="s">
        <v>1901</v>
      </c>
      <c r="G1244" s="6">
        <v>48.31</v>
      </c>
      <c r="H1244" s="6">
        <v>48.58</v>
      </c>
      <c r="I1244" s="6">
        <v>78</v>
      </c>
      <c r="J1244" s="6">
        <v>2500</v>
      </c>
      <c r="K1244" s="7">
        <f>(J1244-M1244)*税费参数!$B$12/(I1244*10000*(1+SUM(税费参数!$B$6:$B$8)))</f>
        <v>0.0292264232942199</v>
      </c>
      <c r="L1244" s="7">
        <f>J1244*税费参数!$B$12/(I1244*10000)</f>
        <v>0.032051282051282</v>
      </c>
      <c r="M1244" s="6">
        <f>I1244*10000*SUM(税费参数!$B$9:$B$10)/税费参数!$B$11</f>
        <v>146.25</v>
      </c>
    </row>
    <row r="1245" ht="21" customHeight="1" spans="1:13">
      <c r="A1245" s="5" t="s">
        <v>10</v>
      </c>
      <c r="B1245" s="6" t="s">
        <v>105</v>
      </c>
      <c r="C1245" s="6" t="s">
        <v>152</v>
      </c>
      <c r="D1245" s="6" t="s">
        <v>153</v>
      </c>
      <c r="E1245" s="6" t="s">
        <v>951</v>
      </c>
      <c r="F1245" s="6" t="s">
        <v>1901</v>
      </c>
      <c r="G1245" s="6">
        <v>55.94</v>
      </c>
      <c r="H1245" s="6">
        <v>48.58</v>
      </c>
      <c r="I1245" s="6">
        <v>120</v>
      </c>
      <c r="J1245" s="6">
        <v>2500</v>
      </c>
      <c r="K1245" s="7">
        <f>(J1245-M1245)*税费参数!$B$12/(I1245*10000*(1+SUM(税费参数!$B$6:$B$8)))</f>
        <v>0.018361581920904</v>
      </c>
      <c r="L1245" s="7">
        <f>J1245*税费参数!$B$12/(I1245*10000)</f>
        <v>0.0208333333333333</v>
      </c>
      <c r="M1245" s="6">
        <f>I1245*10000*SUM(税费参数!$B$9:$B$10)/税费参数!$B$11</f>
        <v>225</v>
      </c>
    </row>
    <row r="1246" ht="21" customHeight="1" spans="1:13">
      <c r="A1246" s="5" t="s">
        <v>10</v>
      </c>
      <c r="B1246" s="6" t="s">
        <v>105</v>
      </c>
      <c r="C1246" s="6" t="s">
        <v>152</v>
      </c>
      <c r="D1246" s="6" t="s">
        <v>153</v>
      </c>
      <c r="E1246" s="6" t="s">
        <v>955</v>
      </c>
      <c r="F1246" s="6" t="s">
        <v>1901</v>
      </c>
      <c r="G1246" s="6">
        <v>57.06</v>
      </c>
      <c r="H1246" s="6">
        <v>48.58</v>
      </c>
      <c r="I1246" s="6">
        <v>109</v>
      </c>
      <c r="J1246" s="6">
        <v>2500</v>
      </c>
      <c r="K1246" s="7">
        <f>(J1246-M1246)*税费参数!$B$12/(I1246*10000*(1+SUM(税费参数!$B$6:$B$8)))</f>
        <v>0.020397849701224</v>
      </c>
      <c r="L1246" s="7">
        <f>J1246*税费参数!$B$12/(I1246*10000)</f>
        <v>0.0229357798165138</v>
      </c>
      <c r="M1246" s="6">
        <f>I1246*10000*SUM(税费参数!$B$9:$B$10)/税费参数!$B$11</f>
        <v>204.375</v>
      </c>
    </row>
    <row r="1247" ht="21" customHeight="1" spans="1:13">
      <c r="A1247" s="5" t="s">
        <v>10</v>
      </c>
      <c r="B1247" s="6" t="s">
        <v>105</v>
      </c>
      <c r="C1247" s="6" t="s">
        <v>152</v>
      </c>
      <c r="D1247" s="6" t="s">
        <v>153</v>
      </c>
      <c r="E1247" s="6" t="s">
        <v>953</v>
      </c>
      <c r="F1247" s="6" t="s">
        <v>1901</v>
      </c>
      <c r="G1247" s="6">
        <v>48.58</v>
      </c>
      <c r="H1247" s="6">
        <v>48.58</v>
      </c>
      <c r="I1247" s="6">
        <v>95</v>
      </c>
      <c r="J1247" s="6">
        <v>2500</v>
      </c>
      <c r="K1247" s="7">
        <f>(J1247-M1247)*税费参数!$B$12/(I1247*10000*(1+SUM(税费参数!$B$6:$B$8)))</f>
        <v>0.0236714668025997</v>
      </c>
      <c r="L1247" s="7">
        <f>J1247*税费参数!$B$12/(I1247*10000)</f>
        <v>0.0263157894736842</v>
      </c>
      <c r="M1247" s="6">
        <f>I1247*10000*SUM(税费参数!$B$9:$B$10)/税费参数!$B$11</f>
        <v>178.125</v>
      </c>
    </row>
    <row r="1248" ht="21" customHeight="1" spans="1:13">
      <c r="A1248" s="5" t="s">
        <v>14</v>
      </c>
      <c r="B1248" s="6" t="s">
        <v>108</v>
      </c>
      <c r="C1248" s="6" t="s">
        <v>152</v>
      </c>
      <c r="D1248" s="6" t="s">
        <v>153</v>
      </c>
      <c r="E1248" s="6" t="s">
        <v>965</v>
      </c>
      <c r="F1248" s="6" t="s">
        <v>1902</v>
      </c>
      <c r="G1248" s="6">
        <v>45.48</v>
      </c>
      <c r="H1248" s="6">
        <v>45.13</v>
      </c>
      <c r="I1248" s="6">
        <v>89</v>
      </c>
      <c r="J1248" s="6">
        <v>2600</v>
      </c>
      <c r="K1248" s="7">
        <f>(J1248-M1248)*税费参数!$B$12/(I1248*10000*(1+SUM(税费参数!$B$6:$B$8)))</f>
        <v>0.0264779497782735</v>
      </c>
      <c r="L1248" s="7">
        <f>J1248*税费参数!$B$12/(I1248*10000)</f>
        <v>0.0292134831460674</v>
      </c>
      <c r="M1248" s="6">
        <f>I1248*10000*SUM(税费参数!$B$9:$B$10)/税费参数!$B$11</f>
        <v>166.875</v>
      </c>
    </row>
    <row r="1249" ht="21" customHeight="1" spans="1:13">
      <c r="A1249" s="5" t="s">
        <v>14</v>
      </c>
      <c r="B1249" s="6" t="s">
        <v>108</v>
      </c>
      <c r="C1249" s="6" t="s">
        <v>152</v>
      </c>
      <c r="D1249" s="6" t="s">
        <v>153</v>
      </c>
      <c r="E1249" s="6" t="s">
        <v>965</v>
      </c>
      <c r="F1249" s="6" t="s">
        <v>1903</v>
      </c>
      <c r="G1249" s="6">
        <v>45.48</v>
      </c>
      <c r="H1249" s="6">
        <v>45.53</v>
      </c>
      <c r="I1249" s="6">
        <v>89</v>
      </c>
      <c r="J1249" s="6">
        <v>2700</v>
      </c>
      <c r="K1249" s="7">
        <f>(J1249-M1249)*税费参数!$B$12/(I1249*10000*(1+SUM(税费参数!$B$6:$B$8)))</f>
        <v>0.0275661778708817</v>
      </c>
      <c r="L1249" s="7">
        <f>J1249*税费参数!$B$12/(I1249*10000)</f>
        <v>0.0303370786516854</v>
      </c>
      <c r="M1249" s="6">
        <f>I1249*10000*SUM(税费参数!$B$9:$B$10)/税费参数!$B$11</f>
        <v>166.875</v>
      </c>
    </row>
    <row r="1250" ht="21" customHeight="1" spans="1:13">
      <c r="A1250" s="5" t="s">
        <v>14</v>
      </c>
      <c r="B1250" s="6" t="s">
        <v>108</v>
      </c>
      <c r="C1250" s="6" t="s">
        <v>152</v>
      </c>
      <c r="D1250" s="6" t="s">
        <v>153</v>
      </c>
      <c r="E1250" s="6" t="s">
        <v>965</v>
      </c>
      <c r="F1250" s="6" t="s">
        <v>1904</v>
      </c>
      <c r="G1250" s="6">
        <v>45.48</v>
      </c>
      <c r="H1250" s="6">
        <v>45.48</v>
      </c>
      <c r="I1250" s="6">
        <v>89</v>
      </c>
      <c r="J1250" s="6">
        <v>3000</v>
      </c>
      <c r="K1250" s="7">
        <f>(J1250-M1250)*税费参数!$B$12/(I1250*10000*(1+SUM(税费参数!$B$6:$B$8)))</f>
        <v>0.0308308621487064</v>
      </c>
      <c r="L1250" s="7">
        <f>J1250*税费参数!$B$12/(I1250*10000)</f>
        <v>0.0337078651685393</v>
      </c>
      <c r="M1250" s="6">
        <f>I1250*10000*SUM(税费参数!$B$9:$B$10)/税费参数!$B$11</f>
        <v>166.875</v>
      </c>
    </row>
    <row r="1251" ht="21" customHeight="1" spans="1:13">
      <c r="A1251" s="5" t="s">
        <v>14</v>
      </c>
      <c r="B1251" s="6" t="s">
        <v>108</v>
      </c>
      <c r="C1251" s="6" t="s">
        <v>152</v>
      </c>
      <c r="D1251" s="6" t="s">
        <v>153</v>
      </c>
      <c r="E1251" s="6" t="s">
        <v>965</v>
      </c>
      <c r="F1251" s="6" t="s">
        <v>1905</v>
      </c>
      <c r="G1251" s="6">
        <v>45.48</v>
      </c>
      <c r="H1251" s="6">
        <v>45.48</v>
      </c>
      <c r="I1251" s="6">
        <v>89</v>
      </c>
      <c r="J1251" s="6">
        <v>2700</v>
      </c>
      <c r="K1251" s="7">
        <f>(J1251-M1251)*税费参数!$B$12/(I1251*10000*(1+SUM(税费参数!$B$6:$B$8)))</f>
        <v>0.0275661778708817</v>
      </c>
      <c r="L1251" s="7">
        <f>J1251*税费参数!$B$12/(I1251*10000)</f>
        <v>0.0303370786516854</v>
      </c>
      <c r="M1251" s="6">
        <f>I1251*10000*SUM(税费参数!$B$9:$B$10)/税费参数!$B$11</f>
        <v>166.875</v>
      </c>
    </row>
    <row r="1252" ht="21" customHeight="1" spans="1:13">
      <c r="A1252" s="5" t="s">
        <v>14</v>
      </c>
      <c r="B1252" s="6" t="s">
        <v>108</v>
      </c>
      <c r="C1252" s="6" t="s">
        <v>152</v>
      </c>
      <c r="D1252" s="6" t="s">
        <v>153</v>
      </c>
      <c r="E1252" s="6" t="s">
        <v>965</v>
      </c>
      <c r="F1252" s="6" t="s">
        <v>1906</v>
      </c>
      <c r="G1252" s="6">
        <v>45.48</v>
      </c>
      <c r="H1252" s="6">
        <v>47.55</v>
      </c>
      <c r="I1252" s="6">
        <v>89</v>
      </c>
      <c r="J1252" s="6">
        <v>2600</v>
      </c>
      <c r="K1252" s="7">
        <f>(J1252-M1252)*税费参数!$B$12/(I1252*10000*(1+SUM(税费参数!$B$6:$B$8)))</f>
        <v>0.0264779497782735</v>
      </c>
      <c r="L1252" s="7">
        <f>J1252*税费参数!$B$12/(I1252*10000)</f>
        <v>0.0292134831460674</v>
      </c>
      <c r="M1252" s="6">
        <f>I1252*10000*SUM(税费参数!$B$9:$B$10)/税费参数!$B$11</f>
        <v>166.875</v>
      </c>
    </row>
    <row r="1253" ht="21" customHeight="1" spans="1:13">
      <c r="A1253" s="5" t="s">
        <v>14</v>
      </c>
      <c r="B1253" s="6" t="s">
        <v>108</v>
      </c>
      <c r="C1253" s="6" t="s">
        <v>152</v>
      </c>
      <c r="D1253" s="6" t="s">
        <v>153</v>
      </c>
      <c r="E1253" s="6" t="s">
        <v>963</v>
      </c>
      <c r="F1253" s="6" t="s">
        <v>1907</v>
      </c>
      <c r="G1253" s="6">
        <v>55.14</v>
      </c>
      <c r="H1253" s="6">
        <v>55.14</v>
      </c>
      <c r="I1253" s="6">
        <v>108</v>
      </c>
      <c r="J1253" s="6">
        <v>2900</v>
      </c>
      <c r="K1253" s="7">
        <f>(J1253-M1253)*税费参数!$B$12/(I1253*10000*(1+SUM(税费参数!$B$6:$B$8)))</f>
        <v>0.0241906555465877</v>
      </c>
      <c r="L1253" s="7">
        <f>J1253*税费参数!$B$12/(I1253*10000)</f>
        <v>0.0268518518518519</v>
      </c>
      <c r="M1253" s="6">
        <f>I1253*10000*SUM(税费参数!$B$9:$B$10)/税费参数!$B$11</f>
        <v>202.5</v>
      </c>
    </row>
    <row r="1254" ht="21" customHeight="1" spans="1:13">
      <c r="A1254" s="5" t="s">
        <v>14</v>
      </c>
      <c r="B1254" s="6" t="s">
        <v>108</v>
      </c>
      <c r="C1254" s="6" t="s">
        <v>152</v>
      </c>
      <c r="D1254" s="6" t="s">
        <v>153</v>
      </c>
      <c r="E1254" s="6" t="s">
        <v>963</v>
      </c>
      <c r="F1254" s="6" t="s">
        <v>1908</v>
      </c>
      <c r="G1254" s="6">
        <v>55.14</v>
      </c>
      <c r="H1254" s="6">
        <v>55.14</v>
      </c>
      <c r="I1254" s="6">
        <v>108</v>
      </c>
      <c r="J1254" s="6">
        <v>2600</v>
      </c>
      <c r="K1254" s="7">
        <f>(J1254-M1254)*税费参数!$B$12/(I1254*10000*(1+SUM(税费参数!$B$6:$B$8)))</f>
        <v>0.0215003138731952</v>
      </c>
      <c r="L1254" s="7">
        <f>J1254*税费参数!$B$12/(I1254*10000)</f>
        <v>0.0240740740740741</v>
      </c>
      <c r="M1254" s="6">
        <f>I1254*10000*SUM(税费参数!$B$9:$B$10)/税费参数!$B$11</f>
        <v>202.5</v>
      </c>
    </row>
    <row r="1255" ht="21" customHeight="1" spans="1:13">
      <c r="A1255" s="5" t="s">
        <v>14</v>
      </c>
      <c r="B1255" s="6" t="s">
        <v>108</v>
      </c>
      <c r="C1255" s="6" t="s">
        <v>152</v>
      </c>
      <c r="D1255" s="6" t="s">
        <v>153</v>
      </c>
      <c r="E1255" s="6" t="s">
        <v>963</v>
      </c>
      <c r="F1255" s="6" t="s">
        <v>1906</v>
      </c>
      <c r="G1255" s="6">
        <v>55.14</v>
      </c>
      <c r="H1255" s="6">
        <v>47.55</v>
      </c>
      <c r="I1255" s="6">
        <v>108</v>
      </c>
      <c r="J1255" s="6">
        <v>2600</v>
      </c>
      <c r="K1255" s="7">
        <f>(J1255-M1255)*税费参数!$B$12/(I1255*10000*(1+SUM(税费参数!$B$6:$B$8)))</f>
        <v>0.0215003138731952</v>
      </c>
      <c r="L1255" s="7">
        <f>J1255*税费参数!$B$12/(I1255*10000)</f>
        <v>0.0240740740740741</v>
      </c>
      <c r="M1255" s="6">
        <f>I1255*10000*SUM(税费参数!$B$9:$B$10)/税费参数!$B$11</f>
        <v>202.5</v>
      </c>
    </row>
    <row r="1256" ht="21" customHeight="1" spans="1:13">
      <c r="A1256" s="5" t="s">
        <v>14</v>
      </c>
      <c r="B1256" s="6" t="s">
        <v>108</v>
      </c>
      <c r="C1256" s="6" t="s">
        <v>152</v>
      </c>
      <c r="D1256" s="6" t="s">
        <v>153</v>
      </c>
      <c r="E1256" s="6" t="s">
        <v>963</v>
      </c>
      <c r="F1256" s="6" t="s">
        <v>1909</v>
      </c>
      <c r="G1256" s="6">
        <v>55.14</v>
      </c>
      <c r="H1256" s="6">
        <v>55.14</v>
      </c>
      <c r="I1256" s="6">
        <v>108</v>
      </c>
      <c r="J1256" s="6">
        <v>2900</v>
      </c>
      <c r="K1256" s="7">
        <f>(J1256-M1256)*税费参数!$B$12/(I1256*10000*(1+SUM(税费参数!$B$6:$B$8)))</f>
        <v>0.0241906555465877</v>
      </c>
      <c r="L1256" s="7">
        <f>J1256*税费参数!$B$12/(I1256*10000)</f>
        <v>0.0268518518518519</v>
      </c>
      <c r="M1256" s="6">
        <f>I1256*10000*SUM(税费参数!$B$9:$B$10)/税费参数!$B$11</f>
        <v>202.5</v>
      </c>
    </row>
    <row r="1257" ht="21" customHeight="1" spans="1:13">
      <c r="A1257" s="5" t="s">
        <v>14</v>
      </c>
      <c r="B1257" s="6" t="s">
        <v>108</v>
      </c>
      <c r="C1257" s="6" t="s">
        <v>152</v>
      </c>
      <c r="D1257" s="6" t="s">
        <v>153</v>
      </c>
      <c r="E1257" s="6" t="s">
        <v>969</v>
      </c>
      <c r="F1257" s="6" t="s">
        <v>1907</v>
      </c>
      <c r="G1257" s="6">
        <v>55.14</v>
      </c>
      <c r="H1257" s="6">
        <v>55.14</v>
      </c>
      <c r="I1257" s="6">
        <v>115</v>
      </c>
      <c r="J1257" s="6">
        <v>2900</v>
      </c>
      <c r="K1257" s="7">
        <f>(J1257-M1257)*税费参数!$B$12/(I1257*10000*(1+SUM(税费参数!$B$6:$B$8)))</f>
        <v>0.02260764290978</v>
      </c>
      <c r="L1257" s="7">
        <f>J1257*税费参数!$B$12/(I1257*10000)</f>
        <v>0.0252173913043478</v>
      </c>
      <c r="M1257" s="6">
        <f>I1257*10000*SUM(税费参数!$B$9:$B$10)/税费参数!$B$11</f>
        <v>215.625</v>
      </c>
    </row>
    <row r="1258" ht="21" customHeight="1" spans="1:13">
      <c r="A1258" s="5" t="s">
        <v>14</v>
      </c>
      <c r="B1258" s="6" t="s">
        <v>108</v>
      </c>
      <c r="C1258" s="6" t="s">
        <v>152</v>
      </c>
      <c r="D1258" s="6" t="s">
        <v>153</v>
      </c>
      <c r="E1258" s="6" t="s">
        <v>969</v>
      </c>
      <c r="F1258" s="6" t="s">
        <v>1908</v>
      </c>
      <c r="G1258" s="6">
        <v>55.14</v>
      </c>
      <c r="H1258" s="6">
        <v>55.14</v>
      </c>
      <c r="I1258" s="6">
        <v>115</v>
      </c>
      <c r="J1258" s="6">
        <v>2600</v>
      </c>
      <c r="K1258" s="7">
        <f>(J1258-M1258)*税费参数!$B$12/(I1258*10000*(1+SUM(税费参数!$B$6:$B$8)))</f>
        <v>0.0200810611643331</v>
      </c>
      <c r="L1258" s="7">
        <f>J1258*税费参数!$B$12/(I1258*10000)</f>
        <v>0.0226086956521739</v>
      </c>
      <c r="M1258" s="6">
        <f>I1258*10000*SUM(税费参数!$B$9:$B$10)/税费参数!$B$11</f>
        <v>215.625</v>
      </c>
    </row>
    <row r="1259" ht="21" customHeight="1" spans="1:13">
      <c r="A1259" s="5" t="s">
        <v>14</v>
      </c>
      <c r="B1259" s="6" t="s">
        <v>108</v>
      </c>
      <c r="C1259" s="6" t="s">
        <v>152</v>
      </c>
      <c r="D1259" s="6" t="s">
        <v>153</v>
      </c>
      <c r="E1259" s="6" t="s">
        <v>969</v>
      </c>
      <c r="F1259" s="6" t="s">
        <v>1906</v>
      </c>
      <c r="G1259" s="6">
        <v>55.14</v>
      </c>
      <c r="H1259" s="6">
        <v>47.55</v>
      </c>
      <c r="I1259" s="6">
        <v>115</v>
      </c>
      <c r="J1259" s="6">
        <v>2600</v>
      </c>
      <c r="K1259" s="7">
        <f>(J1259-M1259)*税费参数!$B$12/(I1259*10000*(1+SUM(税费参数!$B$6:$B$8)))</f>
        <v>0.0200810611643331</v>
      </c>
      <c r="L1259" s="7">
        <f>J1259*税费参数!$B$12/(I1259*10000)</f>
        <v>0.0226086956521739</v>
      </c>
      <c r="M1259" s="6">
        <f>I1259*10000*SUM(税费参数!$B$9:$B$10)/税费参数!$B$11</f>
        <v>215.625</v>
      </c>
    </row>
    <row r="1260" ht="21" customHeight="1" spans="1:13">
      <c r="A1260" s="5" t="s">
        <v>14</v>
      </c>
      <c r="B1260" s="6" t="s">
        <v>108</v>
      </c>
      <c r="C1260" s="6" t="s">
        <v>152</v>
      </c>
      <c r="D1260" s="6" t="s">
        <v>153</v>
      </c>
      <c r="E1260" s="6" t="s">
        <v>969</v>
      </c>
      <c r="F1260" s="6" t="s">
        <v>1909</v>
      </c>
      <c r="G1260" s="6">
        <v>55.14</v>
      </c>
      <c r="H1260" s="6">
        <v>55.14</v>
      </c>
      <c r="I1260" s="6">
        <v>115</v>
      </c>
      <c r="J1260" s="6">
        <v>2900</v>
      </c>
      <c r="K1260" s="7">
        <f>(J1260-M1260)*税费参数!$B$12/(I1260*10000*(1+SUM(税费参数!$B$6:$B$8)))</f>
        <v>0.02260764290978</v>
      </c>
      <c r="L1260" s="7">
        <f>J1260*税费参数!$B$12/(I1260*10000)</f>
        <v>0.0252173913043478</v>
      </c>
      <c r="M1260" s="6">
        <f>I1260*10000*SUM(税费参数!$B$9:$B$10)/税费参数!$B$11</f>
        <v>215.625</v>
      </c>
    </row>
    <row r="1261" ht="21" customHeight="1" spans="1:13">
      <c r="A1261" s="5" t="s">
        <v>14</v>
      </c>
      <c r="B1261" s="6" t="s">
        <v>108</v>
      </c>
      <c r="C1261" s="6" t="s">
        <v>152</v>
      </c>
      <c r="D1261" s="6" t="s">
        <v>153</v>
      </c>
      <c r="E1261" s="6" t="s">
        <v>967</v>
      </c>
      <c r="F1261" s="6" t="s">
        <v>1902</v>
      </c>
      <c r="G1261" s="6">
        <v>45.48</v>
      </c>
      <c r="H1261" s="6">
        <v>45.13</v>
      </c>
      <c r="I1261" s="6">
        <v>91</v>
      </c>
      <c r="J1261" s="6">
        <v>2600</v>
      </c>
      <c r="K1261" s="7">
        <f>(J1261-M1261)*税费参数!$B$12/(I1261*10000*(1+SUM(税费参数!$B$6:$B$8)))</f>
        <v>0.025856105153926</v>
      </c>
      <c r="L1261" s="7">
        <f>J1261*税费参数!$B$12/(I1261*10000)</f>
        <v>0.0285714285714286</v>
      </c>
      <c r="M1261" s="6">
        <f>I1261*10000*SUM(税费参数!$B$9:$B$10)/税费参数!$B$11</f>
        <v>170.625</v>
      </c>
    </row>
    <row r="1262" ht="21" customHeight="1" spans="1:13">
      <c r="A1262" s="5" t="s">
        <v>14</v>
      </c>
      <c r="B1262" s="6" t="s">
        <v>108</v>
      </c>
      <c r="C1262" s="6" t="s">
        <v>152</v>
      </c>
      <c r="D1262" s="6" t="s">
        <v>153</v>
      </c>
      <c r="E1262" s="6" t="s">
        <v>967</v>
      </c>
      <c r="F1262" s="6" t="s">
        <v>1903</v>
      </c>
      <c r="G1262" s="6">
        <v>45.48</v>
      </c>
      <c r="H1262" s="6">
        <v>45.53</v>
      </c>
      <c r="I1262" s="6">
        <v>91</v>
      </c>
      <c r="J1262" s="6">
        <v>2700</v>
      </c>
      <c r="K1262" s="7">
        <f>(J1262-M1262)*税费参数!$B$12/(I1262*10000*(1+SUM(税费参数!$B$6:$B$8)))</f>
        <v>0.0269204161455977</v>
      </c>
      <c r="L1262" s="7">
        <f>J1262*税费参数!$B$12/(I1262*10000)</f>
        <v>0.0296703296703297</v>
      </c>
      <c r="M1262" s="6">
        <f>I1262*10000*SUM(税费参数!$B$9:$B$10)/税费参数!$B$11</f>
        <v>170.625</v>
      </c>
    </row>
    <row r="1263" ht="21" customHeight="1" spans="1:13">
      <c r="A1263" s="5" t="s">
        <v>14</v>
      </c>
      <c r="B1263" s="6" t="s">
        <v>108</v>
      </c>
      <c r="C1263" s="6" t="s">
        <v>152</v>
      </c>
      <c r="D1263" s="6" t="s">
        <v>153</v>
      </c>
      <c r="E1263" s="6" t="s">
        <v>967</v>
      </c>
      <c r="F1263" s="6" t="s">
        <v>1904</v>
      </c>
      <c r="G1263" s="6">
        <v>45.48</v>
      </c>
      <c r="H1263" s="6">
        <v>45.48</v>
      </c>
      <c r="I1263" s="6">
        <v>91</v>
      </c>
      <c r="J1263" s="6">
        <v>3000</v>
      </c>
      <c r="K1263" s="7">
        <f>(J1263-M1263)*税费参数!$B$12/(I1263*10000*(1+SUM(税费参数!$B$6:$B$8)))</f>
        <v>0.030113349120613</v>
      </c>
      <c r="L1263" s="7">
        <f>J1263*税费参数!$B$12/(I1263*10000)</f>
        <v>0.032967032967033</v>
      </c>
      <c r="M1263" s="6">
        <f>I1263*10000*SUM(税费参数!$B$9:$B$10)/税费参数!$B$11</f>
        <v>170.625</v>
      </c>
    </row>
    <row r="1264" ht="21" customHeight="1" spans="1:13">
      <c r="A1264" s="5" t="s">
        <v>14</v>
      </c>
      <c r="B1264" s="6" t="s">
        <v>108</v>
      </c>
      <c r="C1264" s="6" t="s">
        <v>152</v>
      </c>
      <c r="D1264" s="6" t="s">
        <v>153</v>
      </c>
      <c r="E1264" s="6" t="s">
        <v>967</v>
      </c>
      <c r="F1264" s="6" t="s">
        <v>1905</v>
      </c>
      <c r="G1264" s="6">
        <v>45.48</v>
      </c>
      <c r="H1264" s="6">
        <v>45.48</v>
      </c>
      <c r="I1264" s="6">
        <v>91</v>
      </c>
      <c r="J1264" s="6">
        <v>2700</v>
      </c>
      <c r="K1264" s="7">
        <f>(J1264-M1264)*税费参数!$B$12/(I1264*10000*(1+SUM(税费参数!$B$6:$B$8)))</f>
        <v>0.0269204161455977</v>
      </c>
      <c r="L1264" s="7">
        <f>J1264*税费参数!$B$12/(I1264*10000)</f>
        <v>0.0296703296703297</v>
      </c>
      <c r="M1264" s="6">
        <f>I1264*10000*SUM(税费参数!$B$9:$B$10)/税费参数!$B$11</f>
        <v>170.625</v>
      </c>
    </row>
    <row r="1265" ht="21" customHeight="1" spans="1:13">
      <c r="A1265" s="5" t="s">
        <v>14</v>
      </c>
      <c r="B1265" s="6" t="s">
        <v>108</v>
      </c>
      <c r="C1265" s="6" t="s">
        <v>152</v>
      </c>
      <c r="D1265" s="6" t="s">
        <v>153</v>
      </c>
      <c r="E1265" s="6" t="s">
        <v>967</v>
      </c>
      <c r="F1265" s="6" t="s">
        <v>1906</v>
      </c>
      <c r="G1265" s="6">
        <v>45.48</v>
      </c>
      <c r="H1265" s="6">
        <v>47.55</v>
      </c>
      <c r="I1265" s="6">
        <v>91</v>
      </c>
      <c r="J1265" s="6">
        <v>2600</v>
      </c>
      <c r="K1265" s="7">
        <f>(J1265-M1265)*税费参数!$B$12/(I1265*10000*(1+SUM(税费参数!$B$6:$B$8)))</f>
        <v>0.025856105153926</v>
      </c>
      <c r="L1265" s="7">
        <f>J1265*税费参数!$B$12/(I1265*10000)</f>
        <v>0.0285714285714286</v>
      </c>
      <c r="M1265" s="6">
        <f>I1265*10000*SUM(税费参数!$B$9:$B$10)/税费参数!$B$11</f>
        <v>170.625</v>
      </c>
    </row>
    <row r="1266" ht="21" customHeight="1" spans="1:13">
      <c r="A1266" s="5" t="s">
        <v>14</v>
      </c>
      <c r="B1266" s="6" t="s">
        <v>108</v>
      </c>
      <c r="C1266" s="6" t="s">
        <v>152</v>
      </c>
      <c r="D1266" s="6" t="s">
        <v>153</v>
      </c>
      <c r="E1266" s="6" t="s">
        <v>961</v>
      </c>
      <c r="F1266" s="6" t="s">
        <v>1902</v>
      </c>
      <c r="G1266" s="6">
        <v>47.94</v>
      </c>
      <c r="H1266" s="6">
        <v>45.13</v>
      </c>
      <c r="I1266" s="6">
        <v>120</v>
      </c>
      <c r="J1266" s="6">
        <v>2600</v>
      </c>
      <c r="K1266" s="7">
        <f>(J1266-M1266)*税费参数!$B$12/(I1266*10000*(1+SUM(税费参数!$B$6:$B$8)))</f>
        <v>0.0191686844229217</v>
      </c>
      <c r="L1266" s="7">
        <f>J1266*税费参数!$B$12/(I1266*10000)</f>
        <v>0.0216666666666667</v>
      </c>
      <c r="M1266" s="6">
        <f>I1266*10000*SUM(税费参数!$B$9:$B$10)/税费参数!$B$11</f>
        <v>225</v>
      </c>
    </row>
    <row r="1267" ht="21" customHeight="1" spans="1:13">
      <c r="A1267" s="5" t="s">
        <v>14</v>
      </c>
      <c r="B1267" s="6" t="s">
        <v>108</v>
      </c>
      <c r="C1267" s="6" t="s">
        <v>152</v>
      </c>
      <c r="D1267" s="6" t="s">
        <v>153</v>
      </c>
      <c r="E1267" s="6" t="s">
        <v>961</v>
      </c>
      <c r="F1267" s="6" t="s">
        <v>1903</v>
      </c>
      <c r="G1267" s="6">
        <v>47.94</v>
      </c>
      <c r="H1267" s="6">
        <v>45.53</v>
      </c>
      <c r="I1267" s="6">
        <v>120</v>
      </c>
      <c r="J1267" s="6">
        <v>2700</v>
      </c>
      <c r="K1267" s="7">
        <f>(J1267-M1267)*税费参数!$B$12/(I1267*10000*(1+SUM(税费参数!$B$6:$B$8)))</f>
        <v>0.0199757869249395</v>
      </c>
      <c r="L1267" s="7">
        <f>J1267*税费参数!$B$12/(I1267*10000)</f>
        <v>0.0225</v>
      </c>
      <c r="M1267" s="6">
        <f>I1267*10000*SUM(税费参数!$B$9:$B$10)/税费参数!$B$11</f>
        <v>225</v>
      </c>
    </row>
    <row r="1268" ht="21" customHeight="1" spans="1:13">
      <c r="A1268" s="5" t="s">
        <v>14</v>
      </c>
      <c r="B1268" s="6" t="s">
        <v>108</v>
      </c>
      <c r="C1268" s="6" t="s">
        <v>152</v>
      </c>
      <c r="D1268" s="6" t="s">
        <v>153</v>
      </c>
      <c r="E1268" s="6" t="s">
        <v>961</v>
      </c>
      <c r="F1268" s="6" t="s">
        <v>1904</v>
      </c>
      <c r="G1268" s="6">
        <v>47.94</v>
      </c>
      <c r="H1268" s="6">
        <v>45.48</v>
      </c>
      <c r="I1268" s="6">
        <v>120</v>
      </c>
      <c r="J1268" s="6">
        <v>3000</v>
      </c>
      <c r="K1268" s="7">
        <f>(J1268-M1268)*税费参数!$B$12/(I1268*10000*(1+SUM(税费参数!$B$6:$B$8)))</f>
        <v>0.0223970944309927</v>
      </c>
      <c r="L1268" s="7">
        <f>J1268*税费参数!$B$12/(I1268*10000)</f>
        <v>0.025</v>
      </c>
      <c r="M1268" s="6">
        <f>I1268*10000*SUM(税费参数!$B$9:$B$10)/税费参数!$B$11</f>
        <v>225</v>
      </c>
    </row>
    <row r="1269" ht="21" customHeight="1" spans="1:13">
      <c r="A1269" s="5" t="s">
        <v>14</v>
      </c>
      <c r="B1269" s="6" t="s">
        <v>108</v>
      </c>
      <c r="C1269" s="6" t="s">
        <v>152</v>
      </c>
      <c r="D1269" s="6" t="s">
        <v>153</v>
      </c>
      <c r="E1269" s="6" t="s">
        <v>961</v>
      </c>
      <c r="F1269" s="6" t="s">
        <v>1905</v>
      </c>
      <c r="G1269" s="6">
        <v>47.94</v>
      </c>
      <c r="H1269" s="6">
        <v>45.48</v>
      </c>
      <c r="I1269" s="6">
        <v>120</v>
      </c>
      <c r="J1269" s="6">
        <v>2700</v>
      </c>
      <c r="K1269" s="7">
        <f>(J1269-M1269)*税费参数!$B$12/(I1269*10000*(1+SUM(税费参数!$B$6:$B$8)))</f>
        <v>0.0199757869249395</v>
      </c>
      <c r="L1269" s="7">
        <f>J1269*税费参数!$B$12/(I1269*10000)</f>
        <v>0.0225</v>
      </c>
      <c r="M1269" s="6">
        <f>I1269*10000*SUM(税费参数!$B$9:$B$10)/税费参数!$B$11</f>
        <v>225</v>
      </c>
    </row>
    <row r="1270" ht="21" customHeight="1" spans="1:13">
      <c r="A1270" s="5" t="s">
        <v>14</v>
      </c>
      <c r="B1270" s="6" t="s">
        <v>108</v>
      </c>
      <c r="C1270" s="6" t="s">
        <v>152</v>
      </c>
      <c r="D1270" s="6" t="s">
        <v>153</v>
      </c>
      <c r="E1270" s="6" t="s">
        <v>961</v>
      </c>
      <c r="F1270" s="6" t="s">
        <v>1906</v>
      </c>
      <c r="G1270" s="6">
        <v>47.94</v>
      </c>
      <c r="H1270" s="6">
        <v>47.55</v>
      </c>
      <c r="I1270" s="6">
        <v>120</v>
      </c>
      <c r="J1270" s="6">
        <v>2600</v>
      </c>
      <c r="K1270" s="7">
        <f>(J1270-M1270)*税费参数!$B$12/(I1270*10000*(1+SUM(税费参数!$B$6:$B$8)))</f>
        <v>0.0191686844229217</v>
      </c>
      <c r="L1270" s="7">
        <f>J1270*税费参数!$B$12/(I1270*10000)</f>
        <v>0.0216666666666667</v>
      </c>
      <c r="M1270" s="6">
        <f>I1270*10000*SUM(税费参数!$B$9:$B$10)/税费参数!$B$11</f>
        <v>225</v>
      </c>
    </row>
    <row r="1271" ht="21" customHeight="1" spans="1:13">
      <c r="A1271" s="5" t="s">
        <v>14</v>
      </c>
      <c r="B1271" s="6" t="s">
        <v>108</v>
      </c>
      <c r="C1271" s="6" t="s">
        <v>152</v>
      </c>
      <c r="D1271" s="6" t="s">
        <v>153</v>
      </c>
      <c r="E1271" s="6" t="s">
        <v>957</v>
      </c>
      <c r="F1271" s="6" t="s">
        <v>1902</v>
      </c>
      <c r="G1271" s="6">
        <v>45.48</v>
      </c>
      <c r="H1271" s="6">
        <v>45.13</v>
      </c>
      <c r="I1271" s="6">
        <v>112</v>
      </c>
      <c r="J1271" s="6">
        <v>2600</v>
      </c>
      <c r="K1271" s="7">
        <f>(J1271-M1271)*税费参数!$B$12/(I1271*10000*(1+SUM(税费参数!$B$6:$B$8)))</f>
        <v>0.0206675890695261</v>
      </c>
      <c r="L1271" s="7">
        <f>J1271*税费参数!$B$12/(I1271*10000)</f>
        <v>0.0232142857142857</v>
      </c>
      <c r="M1271" s="6">
        <f>I1271*10000*SUM(税费参数!$B$9:$B$10)/税费参数!$B$11</f>
        <v>210</v>
      </c>
    </row>
    <row r="1272" ht="21" customHeight="1" spans="1:13">
      <c r="A1272" s="5" t="s">
        <v>14</v>
      </c>
      <c r="B1272" s="6" t="s">
        <v>108</v>
      </c>
      <c r="C1272" s="6" t="s">
        <v>152</v>
      </c>
      <c r="D1272" s="6" t="s">
        <v>153</v>
      </c>
      <c r="E1272" s="6" t="s">
        <v>957</v>
      </c>
      <c r="F1272" s="6" t="s">
        <v>1903</v>
      </c>
      <c r="G1272" s="6">
        <v>45.48</v>
      </c>
      <c r="H1272" s="6">
        <v>45.53</v>
      </c>
      <c r="I1272" s="6">
        <v>112</v>
      </c>
      <c r="J1272" s="6">
        <v>2700</v>
      </c>
      <c r="K1272" s="7">
        <f>(J1272-M1272)*税费参数!$B$12/(I1272*10000*(1+SUM(税费参数!$B$6:$B$8)))</f>
        <v>0.0215323417502594</v>
      </c>
      <c r="L1272" s="7">
        <f>J1272*税费参数!$B$12/(I1272*10000)</f>
        <v>0.0241071428571429</v>
      </c>
      <c r="M1272" s="6">
        <f>I1272*10000*SUM(税费参数!$B$9:$B$10)/税费参数!$B$11</f>
        <v>210</v>
      </c>
    </row>
    <row r="1273" ht="21" customHeight="1" spans="1:13">
      <c r="A1273" s="5" t="s">
        <v>14</v>
      </c>
      <c r="B1273" s="6" t="s">
        <v>108</v>
      </c>
      <c r="C1273" s="6" t="s">
        <v>152</v>
      </c>
      <c r="D1273" s="6" t="s">
        <v>153</v>
      </c>
      <c r="E1273" s="6" t="s">
        <v>957</v>
      </c>
      <c r="F1273" s="6" t="s">
        <v>1904</v>
      </c>
      <c r="G1273" s="6">
        <v>45.48</v>
      </c>
      <c r="H1273" s="6">
        <v>45.48</v>
      </c>
      <c r="I1273" s="6">
        <v>112</v>
      </c>
      <c r="J1273" s="6">
        <v>3000</v>
      </c>
      <c r="K1273" s="7">
        <f>(J1273-M1273)*税费参数!$B$12/(I1273*10000*(1+SUM(税费参数!$B$6:$B$8)))</f>
        <v>0.0241265997924594</v>
      </c>
      <c r="L1273" s="7">
        <f>J1273*税费参数!$B$12/(I1273*10000)</f>
        <v>0.0267857142857143</v>
      </c>
      <c r="M1273" s="6">
        <f>I1273*10000*SUM(税费参数!$B$9:$B$10)/税费参数!$B$11</f>
        <v>210</v>
      </c>
    </row>
    <row r="1274" ht="21" customHeight="1" spans="1:13">
      <c r="A1274" s="5" t="s">
        <v>14</v>
      </c>
      <c r="B1274" s="6" t="s">
        <v>108</v>
      </c>
      <c r="C1274" s="6" t="s">
        <v>152</v>
      </c>
      <c r="D1274" s="6" t="s">
        <v>153</v>
      </c>
      <c r="E1274" s="6" t="s">
        <v>957</v>
      </c>
      <c r="F1274" s="6" t="s">
        <v>1905</v>
      </c>
      <c r="G1274" s="6">
        <v>45.48</v>
      </c>
      <c r="H1274" s="6">
        <v>45.48</v>
      </c>
      <c r="I1274" s="6">
        <v>112</v>
      </c>
      <c r="J1274" s="6">
        <v>2700</v>
      </c>
      <c r="K1274" s="7">
        <f>(J1274-M1274)*税费参数!$B$12/(I1274*10000*(1+SUM(税费参数!$B$6:$B$8)))</f>
        <v>0.0215323417502594</v>
      </c>
      <c r="L1274" s="7">
        <f>J1274*税费参数!$B$12/(I1274*10000)</f>
        <v>0.0241071428571429</v>
      </c>
      <c r="M1274" s="6">
        <f>I1274*10000*SUM(税费参数!$B$9:$B$10)/税费参数!$B$11</f>
        <v>210</v>
      </c>
    </row>
    <row r="1275" ht="21" customHeight="1" spans="1:13">
      <c r="A1275" s="5" t="s">
        <v>14</v>
      </c>
      <c r="B1275" s="6" t="s">
        <v>108</v>
      </c>
      <c r="C1275" s="6" t="s">
        <v>152</v>
      </c>
      <c r="D1275" s="6" t="s">
        <v>153</v>
      </c>
      <c r="E1275" s="6" t="s">
        <v>957</v>
      </c>
      <c r="F1275" s="6" t="s">
        <v>1906</v>
      </c>
      <c r="G1275" s="6">
        <v>45.48</v>
      </c>
      <c r="H1275" s="6">
        <v>47.55</v>
      </c>
      <c r="I1275" s="6">
        <v>112</v>
      </c>
      <c r="J1275" s="6">
        <v>2600</v>
      </c>
      <c r="K1275" s="7">
        <f>(J1275-M1275)*税费参数!$B$12/(I1275*10000*(1+SUM(税费参数!$B$6:$B$8)))</f>
        <v>0.0206675890695261</v>
      </c>
      <c r="L1275" s="7">
        <f>J1275*税费参数!$B$12/(I1275*10000)</f>
        <v>0.0232142857142857</v>
      </c>
      <c r="M1275" s="6">
        <f>I1275*10000*SUM(税费参数!$B$9:$B$10)/税费参数!$B$11</f>
        <v>210</v>
      </c>
    </row>
    <row r="1276" ht="21" customHeight="1" spans="1:13">
      <c r="A1276" s="5" t="s">
        <v>14</v>
      </c>
      <c r="B1276" s="6" t="s">
        <v>108</v>
      </c>
      <c r="C1276" s="6" t="s">
        <v>152</v>
      </c>
      <c r="D1276" s="6" t="s">
        <v>153</v>
      </c>
      <c r="E1276" s="6" t="s">
        <v>959</v>
      </c>
      <c r="F1276" s="6" t="s">
        <v>1902</v>
      </c>
      <c r="G1276" s="6">
        <v>45.53</v>
      </c>
      <c r="H1276" s="6">
        <v>45.13</v>
      </c>
      <c r="I1276" s="6">
        <v>95</v>
      </c>
      <c r="J1276" s="6">
        <v>2600</v>
      </c>
      <c r="K1276" s="7">
        <f>(J1276-M1276)*税费参数!$B$12/(I1276*10000*(1+SUM(税费参数!$B$6:$B$8)))</f>
        <v>0.0246909646998853</v>
      </c>
      <c r="L1276" s="7">
        <f>J1276*税费参数!$B$12/(I1276*10000)</f>
        <v>0.0273684210526316</v>
      </c>
      <c r="M1276" s="6">
        <f>I1276*10000*SUM(税费参数!$B$9:$B$10)/税费参数!$B$11</f>
        <v>178.125</v>
      </c>
    </row>
    <row r="1277" ht="21" customHeight="1" spans="1:13">
      <c r="A1277" s="5" t="s">
        <v>14</v>
      </c>
      <c r="B1277" s="6" t="s">
        <v>108</v>
      </c>
      <c r="C1277" s="6" t="s">
        <v>152</v>
      </c>
      <c r="D1277" s="6" t="s">
        <v>153</v>
      </c>
      <c r="E1277" s="6" t="s">
        <v>959</v>
      </c>
      <c r="F1277" s="6" t="s">
        <v>1903</v>
      </c>
      <c r="G1277" s="6">
        <v>45.53</v>
      </c>
      <c r="H1277" s="6">
        <v>45.53</v>
      </c>
      <c r="I1277" s="6">
        <v>95</v>
      </c>
      <c r="J1277" s="6">
        <v>2700</v>
      </c>
      <c r="K1277" s="7">
        <f>(J1277-M1277)*税费参数!$B$12/(I1277*10000*(1+SUM(税费参数!$B$6:$B$8)))</f>
        <v>0.0257104625971709</v>
      </c>
      <c r="L1277" s="7">
        <f>J1277*税费参数!$B$12/(I1277*10000)</f>
        <v>0.0284210526315789</v>
      </c>
      <c r="M1277" s="6">
        <f>I1277*10000*SUM(税费参数!$B$9:$B$10)/税费参数!$B$11</f>
        <v>178.125</v>
      </c>
    </row>
    <row r="1278" ht="21" customHeight="1" spans="1:13">
      <c r="A1278" s="5" t="s">
        <v>14</v>
      </c>
      <c r="B1278" s="6" t="s">
        <v>108</v>
      </c>
      <c r="C1278" s="6" t="s">
        <v>152</v>
      </c>
      <c r="D1278" s="6" t="s">
        <v>153</v>
      </c>
      <c r="E1278" s="6" t="s">
        <v>959</v>
      </c>
      <c r="F1278" s="6" t="s">
        <v>1904</v>
      </c>
      <c r="G1278" s="6">
        <v>45.53</v>
      </c>
      <c r="H1278" s="6">
        <v>45.48</v>
      </c>
      <c r="I1278" s="6">
        <v>95</v>
      </c>
      <c r="J1278" s="6">
        <v>3000</v>
      </c>
      <c r="K1278" s="7">
        <f>(J1278-M1278)*税费参数!$B$12/(I1278*10000*(1+SUM(税费参数!$B$6:$B$8)))</f>
        <v>0.0287689562890277</v>
      </c>
      <c r="L1278" s="7">
        <f>J1278*税费参数!$B$12/(I1278*10000)</f>
        <v>0.0315789473684211</v>
      </c>
      <c r="M1278" s="6">
        <f>I1278*10000*SUM(税费参数!$B$9:$B$10)/税费参数!$B$11</f>
        <v>178.125</v>
      </c>
    </row>
    <row r="1279" ht="21" customHeight="1" spans="1:13">
      <c r="A1279" s="5" t="s">
        <v>14</v>
      </c>
      <c r="B1279" s="6" t="s">
        <v>108</v>
      </c>
      <c r="C1279" s="6" t="s">
        <v>152</v>
      </c>
      <c r="D1279" s="6" t="s">
        <v>153</v>
      </c>
      <c r="E1279" s="6" t="s">
        <v>959</v>
      </c>
      <c r="F1279" s="6" t="s">
        <v>1905</v>
      </c>
      <c r="G1279" s="6">
        <v>45.53</v>
      </c>
      <c r="H1279" s="6">
        <v>45.48</v>
      </c>
      <c r="I1279" s="6">
        <v>95</v>
      </c>
      <c r="J1279" s="6">
        <v>2700</v>
      </c>
      <c r="K1279" s="7">
        <f>(J1279-M1279)*税费参数!$B$12/(I1279*10000*(1+SUM(税费参数!$B$6:$B$8)))</f>
        <v>0.0257104625971709</v>
      </c>
      <c r="L1279" s="7">
        <f>J1279*税费参数!$B$12/(I1279*10000)</f>
        <v>0.0284210526315789</v>
      </c>
      <c r="M1279" s="6">
        <f>I1279*10000*SUM(税费参数!$B$9:$B$10)/税费参数!$B$11</f>
        <v>178.125</v>
      </c>
    </row>
    <row r="1280" ht="21" customHeight="1" spans="1:13">
      <c r="A1280" s="5" t="s">
        <v>14</v>
      </c>
      <c r="B1280" s="6" t="s">
        <v>108</v>
      </c>
      <c r="C1280" s="6" t="s">
        <v>152</v>
      </c>
      <c r="D1280" s="6" t="s">
        <v>153</v>
      </c>
      <c r="E1280" s="6" t="s">
        <v>959</v>
      </c>
      <c r="F1280" s="6" t="s">
        <v>1906</v>
      </c>
      <c r="G1280" s="6">
        <v>45.53</v>
      </c>
      <c r="H1280" s="6">
        <v>47.55</v>
      </c>
      <c r="I1280" s="6">
        <v>95</v>
      </c>
      <c r="J1280" s="6">
        <v>2600</v>
      </c>
      <c r="K1280" s="7">
        <f>(J1280-M1280)*税费参数!$B$12/(I1280*10000*(1+SUM(税费参数!$B$6:$B$8)))</f>
        <v>0.0246909646998853</v>
      </c>
      <c r="L1280" s="7">
        <f>J1280*税费参数!$B$12/(I1280*10000)</f>
        <v>0.0273684210526316</v>
      </c>
      <c r="M1280" s="6">
        <f>I1280*10000*SUM(税费参数!$B$9:$B$10)/税费参数!$B$11</f>
        <v>178.125</v>
      </c>
    </row>
    <row r="1281" ht="21" customHeight="1" spans="1:13">
      <c r="A1281" s="5" t="s">
        <v>14</v>
      </c>
      <c r="B1281" s="6" t="s">
        <v>107</v>
      </c>
      <c r="C1281" s="6" t="s">
        <v>159</v>
      </c>
      <c r="D1281" s="6" t="s">
        <v>160</v>
      </c>
      <c r="E1281" s="6" t="s">
        <v>983</v>
      </c>
      <c r="F1281" s="6" t="s">
        <v>1910</v>
      </c>
      <c r="G1281" s="6">
        <v>38.65</v>
      </c>
      <c r="H1281" s="6">
        <v>38.65</v>
      </c>
      <c r="I1281" s="6">
        <v>62</v>
      </c>
      <c r="J1281" s="6">
        <v>1800</v>
      </c>
      <c r="K1281" s="7">
        <f>(J1281-M1281)*税费参数!$B$12/(I1281*10000*(1+SUM(税费参数!$B$6:$B$8)))</f>
        <v>0.0263024291181754</v>
      </c>
      <c r="L1281" s="7">
        <f>J1281*税费参数!$B$12/(I1281*10000)</f>
        <v>0.0290322580645161</v>
      </c>
      <c r="M1281" s="6">
        <f>I1281*10000*SUM(税费参数!$B$9:$B$10)/税费参数!$B$11</f>
        <v>116.25</v>
      </c>
    </row>
    <row r="1282" ht="21" customHeight="1" spans="1:13">
      <c r="A1282" s="5" t="s">
        <v>16</v>
      </c>
      <c r="B1282" s="6" t="s">
        <v>125</v>
      </c>
      <c r="C1282" s="6" t="s">
        <v>152</v>
      </c>
      <c r="D1282" s="6" t="s">
        <v>160</v>
      </c>
      <c r="E1282" s="6" t="s">
        <v>1019</v>
      </c>
      <c r="F1282" s="6" t="s">
        <v>1911</v>
      </c>
      <c r="G1282" s="6">
        <v>41.02</v>
      </c>
      <c r="H1282" s="6">
        <v>41.02</v>
      </c>
      <c r="I1282" s="6">
        <v>90</v>
      </c>
      <c r="J1282" s="6">
        <v>1800</v>
      </c>
      <c r="K1282" s="7">
        <f>(J1282-M1282)*税费参数!$B$12/(I1282*10000*(1+SUM(税费参数!$B$6:$B$8)))</f>
        <v>0.0175544794188862</v>
      </c>
      <c r="L1282" s="7">
        <f>J1282*税费参数!$B$12/(I1282*10000)</f>
        <v>0.02</v>
      </c>
      <c r="M1282" s="6">
        <f>I1282*10000*SUM(税费参数!$B$9:$B$10)/税费参数!$B$11</f>
        <v>168.75</v>
      </c>
    </row>
    <row r="1283" ht="21" customHeight="1" spans="1:13">
      <c r="A1283" s="5" t="s">
        <v>16</v>
      </c>
      <c r="B1283" s="6" t="s">
        <v>125</v>
      </c>
      <c r="C1283" s="6" t="s">
        <v>152</v>
      </c>
      <c r="D1283" s="6" t="s">
        <v>160</v>
      </c>
      <c r="E1283" s="6" t="s">
        <v>987</v>
      </c>
      <c r="F1283" s="6" t="s">
        <v>1911</v>
      </c>
      <c r="G1283" s="6">
        <v>41.02</v>
      </c>
      <c r="H1283" s="6">
        <v>41.02</v>
      </c>
      <c r="I1283" s="6">
        <v>88.8</v>
      </c>
      <c r="J1283" s="6">
        <v>1800</v>
      </c>
      <c r="K1283" s="7">
        <f>(J1283-M1283)*税费参数!$B$12/(I1283*10000*(1+SUM(税费参数!$B$6:$B$8)))</f>
        <v>0.0178162423925136</v>
      </c>
      <c r="L1283" s="7">
        <f>J1283*税费参数!$B$12/(I1283*10000)</f>
        <v>0.0202702702702703</v>
      </c>
      <c r="M1283" s="6">
        <f>I1283*10000*SUM(税费参数!$B$9:$B$10)/税费参数!$B$11</f>
        <v>166.5</v>
      </c>
    </row>
    <row r="1284" ht="21" customHeight="1" spans="1:13">
      <c r="A1284" s="5" t="s">
        <v>16</v>
      </c>
      <c r="B1284" s="6" t="s">
        <v>125</v>
      </c>
      <c r="C1284" s="6" t="s">
        <v>152</v>
      </c>
      <c r="D1284" s="6" t="s">
        <v>160</v>
      </c>
      <c r="E1284" s="6" t="s">
        <v>1007</v>
      </c>
      <c r="F1284" s="6" t="s">
        <v>1911</v>
      </c>
      <c r="G1284" s="6">
        <v>41.02</v>
      </c>
      <c r="H1284" s="6">
        <v>41.02</v>
      </c>
      <c r="I1284" s="6">
        <v>85</v>
      </c>
      <c r="J1284" s="6">
        <v>1800</v>
      </c>
      <c r="K1284" s="7">
        <f>(J1284-M1284)*税费参数!$B$12/(I1284*10000*(1+SUM(税费参数!$B$6:$B$8)))</f>
        <v>0.0186939182452642</v>
      </c>
      <c r="L1284" s="7">
        <f>J1284*税费参数!$B$12/(I1284*10000)</f>
        <v>0.0211764705882353</v>
      </c>
      <c r="M1284" s="6">
        <f>I1284*10000*SUM(税费参数!$B$9:$B$10)/税费参数!$B$11</f>
        <v>159.375</v>
      </c>
    </row>
    <row r="1285" ht="21" customHeight="1" spans="1:13">
      <c r="A1285" s="5" t="s">
        <v>16</v>
      </c>
      <c r="B1285" s="6" t="s">
        <v>125</v>
      </c>
      <c r="C1285" s="6" t="s">
        <v>152</v>
      </c>
      <c r="D1285" s="6" t="s">
        <v>160</v>
      </c>
      <c r="E1285" s="6" t="s">
        <v>985</v>
      </c>
      <c r="F1285" s="6" t="s">
        <v>1911</v>
      </c>
      <c r="G1285" s="6">
        <v>45.72</v>
      </c>
      <c r="H1285" s="6">
        <v>41.02</v>
      </c>
      <c r="I1285" s="6">
        <v>118</v>
      </c>
      <c r="J1285" s="6">
        <v>1800</v>
      </c>
      <c r="K1285" s="7">
        <f>(J1285-M1285)*税费参数!$B$12/(I1285*10000*(1+SUM(税费参数!$B$6:$B$8)))</f>
        <v>0.0129580990684122</v>
      </c>
      <c r="L1285" s="7">
        <f>J1285*税费参数!$B$12/(I1285*10000)</f>
        <v>0.0152542372881356</v>
      </c>
      <c r="M1285" s="6">
        <f>I1285*10000*SUM(税费参数!$B$9:$B$10)/税费参数!$B$11</f>
        <v>221.25</v>
      </c>
    </row>
    <row r="1286" ht="21" customHeight="1" spans="1:13">
      <c r="A1286" s="5" t="s">
        <v>16</v>
      </c>
      <c r="B1286" s="6" t="s">
        <v>125</v>
      </c>
      <c r="C1286" s="6" t="s">
        <v>152</v>
      </c>
      <c r="D1286" s="6" t="s">
        <v>160</v>
      </c>
      <c r="E1286" s="6" t="s">
        <v>999</v>
      </c>
      <c r="F1286" s="6" t="s">
        <v>1911</v>
      </c>
      <c r="G1286" s="6">
        <v>45.72</v>
      </c>
      <c r="H1286" s="6">
        <v>41.02</v>
      </c>
      <c r="I1286" s="6">
        <v>115</v>
      </c>
      <c r="J1286" s="6">
        <v>1800</v>
      </c>
      <c r="K1286" s="7">
        <f>(J1286-M1286)*税费参数!$B$12/(I1286*10000*(1+SUM(税费参数!$B$6:$B$8)))</f>
        <v>0.0133435098431414</v>
      </c>
      <c r="L1286" s="7">
        <f>J1286*税费参数!$B$12/(I1286*10000)</f>
        <v>0.0156521739130435</v>
      </c>
      <c r="M1286" s="6">
        <f>I1286*10000*SUM(税费参数!$B$9:$B$10)/税费参数!$B$11</f>
        <v>215.625</v>
      </c>
    </row>
    <row r="1287" ht="21" customHeight="1" spans="1:13">
      <c r="A1287" s="5" t="s">
        <v>16</v>
      </c>
      <c r="B1287" s="6" t="s">
        <v>125</v>
      </c>
      <c r="C1287" s="6" t="s">
        <v>152</v>
      </c>
      <c r="D1287" s="6" t="s">
        <v>160</v>
      </c>
      <c r="E1287" s="6" t="s">
        <v>989</v>
      </c>
      <c r="F1287" s="6" t="s">
        <v>1911</v>
      </c>
      <c r="G1287" s="6">
        <v>45.72</v>
      </c>
      <c r="H1287" s="6">
        <v>41.02</v>
      </c>
      <c r="I1287" s="6">
        <v>119</v>
      </c>
      <c r="J1287" s="6">
        <v>1800</v>
      </c>
      <c r="K1287" s="7">
        <f>(J1287-M1287)*税费参数!$B$12/(I1287*10000*(1+SUM(税费参数!$B$6:$B$8)))</f>
        <v>0.0128339471381773</v>
      </c>
      <c r="L1287" s="7">
        <f>J1287*税费参数!$B$12/(I1287*10000)</f>
        <v>0.0151260504201681</v>
      </c>
      <c r="M1287" s="6">
        <f>I1287*10000*SUM(税费参数!$B$9:$B$10)/税费参数!$B$11</f>
        <v>223.125</v>
      </c>
    </row>
    <row r="1288" ht="21" customHeight="1" spans="1:13">
      <c r="A1288" s="5" t="s">
        <v>16</v>
      </c>
      <c r="B1288" s="6" t="s">
        <v>125</v>
      </c>
      <c r="C1288" s="6" t="s">
        <v>152</v>
      </c>
      <c r="D1288" s="6" t="s">
        <v>160</v>
      </c>
      <c r="E1288" s="6" t="s">
        <v>1013</v>
      </c>
      <c r="F1288" s="6" t="s">
        <v>1911</v>
      </c>
      <c r="G1288" s="6">
        <v>41.02</v>
      </c>
      <c r="H1288" s="6">
        <v>41.02</v>
      </c>
      <c r="I1288" s="6">
        <v>120</v>
      </c>
      <c r="J1288" s="6">
        <v>1800</v>
      </c>
      <c r="K1288" s="7">
        <f>(J1288-M1288)*税费参数!$B$12/(I1288*10000*(1+SUM(税费参数!$B$6:$B$8)))</f>
        <v>0.0127118644067797</v>
      </c>
      <c r="L1288" s="7">
        <f>J1288*税费参数!$B$12/(I1288*10000)</f>
        <v>0.015</v>
      </c>
      <c r="M1288" s="6">
        <f>I1288*10000*SUM(税费参数!$B$9:$B$10)/税费参数!$B$11</f>
        <v>225</v>
      </c>
    </row>
    <row r="1289" ht="21" customHeight="1" spans="1:13">
      <c r="A1289" s="5" t="s">
        <v>16</v>
      </c>
      <c r="B1289" s="6" t="s">
        <v>125</v>
      </c>
      <c r="C1289" s="6" t="s">
        <v>152</v>
      </c>
      <c r="D1289" s="6" t="s">
        <v>160</v>
      </c>
      <c r="E1289" s="6" t="s">
        <v>993</v>
      </c>
      <c r="F1289" s="6" t="s">
        <v>1911</v>
      </c>
      <c r="G1289" s="6">
        <v>45.72</v>
      </c>
      <c r="H1289" s="6">
        <v>41.02</v>
      </c>
      <c r="I1289" s="6">
        <v>120</v>
      </c>
      <c r="J1289" s="6">
        <v>1800</v>
      </c>
      <c r="K1289" s="7">
        <f>(J1289-M1289)*税费参数!$B$12/(I1289*10000*(1+SUM(税费参数!$B$6:$B$8)))</f>
        <v>0.0127118644067797</v>
      </c>
      <c r="L1289" s="7">
        <f>J1289*税费参数!$B$12/(I1289*10000)</f>
        <v>0.015</v>
      </c>
      <c r="M1289" s="6">
        <f>I1289*10000*SUM(税费参数!$B$9:$B$10)/税费参数!$B$11</f>
        <v>225</v>
      </c>
    </row>
    <row r="1290" ht="21" customHeight="1" spans="1:13">
      <c r="A1290" s="5" t="s">
        <v>16</v>
      </c>
      <c r="B1290" s="6" t="s">
        <v>125</v>
      </c>
      <c r="C1290" s="6" t="s">
        <v>152</v>
      </c>
      <c r="D1290" s="6" t="s">
        <v>160</v>
      </c>
      <c r="E1290" s="6" t="s">
        <v>1001</v>
      </c>
      <c r="F1290" s="6" t="s">
        <v>1911</v>
      </c>
      <c r="G1290" s="6">
        <v>43.78</v>
      </c>
      <c r="H1290" s="6">
        <v>41.02</v>
      </c>
      <c r="I1290" s="6">
        <v>110</v>
      </c>
      <c r="J1290" s="6">
        <v>1800</v>
      </c>
      <c r="K1290" s="7">
        <f>(J1290-M1290)*税费参数!$B$12/(I1290*10000*(1+SUM(税费参数!$B$6:$B$8)))</f>
        <v>0.0140325775918996</v>
      </c>
      <c r="L1290" s="7">
        <f>J1290*税费参数!$B$12/(I1290*10000)</f>
        <v>0.0163636363636364</v>
      </c>
      <c r="M1290" s="6">
        <f>I1290*10000*SUM(税费参数!$B$9:$B$10)/税费参数!$B$11</f>
        <v>206.25</v>
      </c>
    </row>
    <row r="1291" ht="21" customHeight="1" spans="1:13">
      <c r="A1291" s="5" t="s">
        <v>16</v>
      </c>
      <c r="B1291" s="6" t="s">
        <v>125</v>
      </c>
      <c r="C1291" s="6" t="s">
        <v>152</v>
      </c>
      <c r="D1291" s="6" t="s">
        <v>160</v>
      </c>
      <c r="E1291" s="6" t="s">
        <v>995</v>
      </c>
      <c r="F1291" s="6" t="s">
        <v>1911</v>
      </c>
      <c r="G1291" s="6">
        <v>41.02</v>
      </c>
      <c r="H1291" s="6">
        <v>41.02</v>
      </c>
      <c r="I1291" s="6">
        <v>116</v>
      </c>
      <c r="J1291" s="6">
        <v>1800</v>
      </c>
      <c r="K1291" s="7">
        <f>(J1291-M1291)*税费参数!$B$12/(I1291*10000*(1+SUM(税费参数!$B$6:$B$8)))</f>
        <v>0.0132128245804459</v>
      </c>
      <c r="L1291" s="7">
        <f>J1291*税费参数!$B$12/(I1291*10000)</f>
        <v>0.0155172413793103</v>
      </c>
      <c r="M1291" s="6">
        <f>I1291*10000*SUM(税费参数!$B$9:$B$10)/税费参数!$B$11</f>
        <v>217.5</v>
      </c>
    </row>
    <row r="1292" ht="21" customHeight="1" spans="1:13">
      <c r="A1292" s="5" t="s">
        <v>16</v>
      </c>
      <c r="B1292" s="6" t="s">
        <v>111</v>
      </c>
      <c r="C1292" s="6" t="s">
        <v>152</v>
      </c>
      <c r="D1292" s="6" t="s">
        <v>153</v>
      </c>
      <c r="E1292" s="6" t="s">
        <v>1037</v>
      </c>
      <c r="F1292" s="6" t="s">
        <v>1912</v>
      </c>
      <c r="G1292" s="6">
        <v>40.75</v>
      </c>
      <c r="H1292" s="6">
        <v>40.73</v>
      </c>
      <c r="I1292" s="6">
        <v>48</v>
      </c>
      <c r="J1292" s="6">
        <v>1700</v>
      </c>
      <c r="K1292" s="7">
        <f>(J1292-M1292)*税费参数!$B$12/(I1292*10000*(1+SUM(税费参数!$B$6:$B$8)))</f>
        <v>0.0324858757062147</v>
      </c>
      <c r="L1292" s="7">
        <f>J1292*税费参数!$B$12/(I1292*10000)</f>
        <v>0.0354166666666667</v>
      </c>
      <c r="M1292" s="6">
        <f>I1292*10000*SUM(税费参数!$B$9:$B$10)/税费参数!$B$11</f>
        <v>90</v>
      </c>
    </row>
    <row r="1293" ht="21" customHeight="1" spans="1:13">
      <c r="A1293" s="5" t="s">
        <v>16</v>
      </c>
      <c r="B1293" s="6" t="s">
        <v>111</v>
      </c>
      <c r="C1293" s="6" t="s">
        <v>152</v>
      </c>
      <c r="D1293" s="6" t="s">
        <v>153</v>
      </c>
      <c r="E1293" s="6" t="s">
        <v>1035</v>
      </c>
      <c r="F1293" s="6" t="s">
        <v>1912</v>
      </c>
      <c r="G1293" s="6">
        <v>40.45</v>
      </c>
      <c r="H1293" s="6">
        <v>40.73</v>
      </c>
      <c r="I1293" s="6">
        <v>55</v>
      </c>
      <c r="J1293" s="6">
        <v>1700</v>
      </c>
      <c r="K1293" s="7">
        <f>(J1293-M1293)*税费参数!$B$12/(I1293*10000*(1+SUM(税费参数!$B$6:$B$8)))</f>
        <v>0.0281201848998459</v>
      </c>
      <c r="L1293" s="7">
        <f>J1293*税费参数!$B$12/(I1293*10000)</f>
        <v>0.0309090909090909</v>
      </c>
      <c r="M1293" s="6">
        <f>I1293*10000*SUM(税费参数!$B$9:$B$10)/税费参数!$B$11</f>
        <v>103.125</v>
      </c>
    </row>
    <row r="1294" ht="21" customHeight="1" spans="1:13">
      <c r="A1294" s="5" t="s">
        <v>16</v>
      </c>
      <c r="B1294" s="6" t="s">
        <v>123</v>
      </c>
      <c r="C1294" s="6" t="s">
        <v>159</v>
      </c>
      <c r="D1294" s="6" t="s">
        <v>160</v>
      </c>
      <c r="E1294" s="6" t="s">
        <v>1067</v>
      </c>
      <c r="F1294" s="6" t="s">
        <v>1913</v>
      </c>
      <c r="G1294" s="6">
        <v>34.42</v>
      </c>
      <c r="H1294" s="6">
        <v>37.13</v>
      </c>
      <c r="I1294" s="6">
        <v>90</v>
      </c>
      <c r="J1294" s="6">
        <v>1550</v>
      </c>
      <c r="K1294" s="7">
        <f>(J1294-M1294)*税费参数!$B$12/(I1294*10000*(1+SUM(税费参数!$B$6:$B$8)))</f>
        <v>0.0148641377454937</v>
      </c>
      <c r="L1294" s="7">
        <f>J1294*税费参数!$B$12/(I1294*10000)</f>
        <v>0.0172222222222222</v>
      </c>
      <c r="M1294" s="6">
        <f>I1294*10000*SUM(税费参数!$B$9:$B$10)/税费参数!$B$11</f>
        <v>168.75</v>
      </c>
    </row>
    <row r="1295" ht="21" customHeight="1" spans="1:13">
      <c r="A1295" s="5" t="s">
        <v>16</v>
      </c>
      <c r="B1295" s="6" t="s">
        <v>123</v>
      </c>
      <c r="C1295" s="6" t="s">
        <v>159</v>
      </c>
      <c r="D1295" s="6" t="s">
        <v>160</v>
      </c>
      <c r="E1295" s="6" t="s">
        <v>1067</v>
      </c>
      <c r="F1295" s="6" t="s">
        <v>1914</v>
      </c>
      <c r="G1295" s="6">
        <v>34.42</v>
      </c>
      <c r="H1295" s="6">
        <v>37.3</v>
      </c>
      <c r="I1295" s="6">
        <v>90</v>
      </c>
      <c r="J1295" s="6">
        <v>1900</v>
      </c>
      <c r="K1295" s="7">
        <f>(J1295-M1295)*税费参数!$B$12/(I1295*10000*(1+SUM(税费参数!$B$6:$B$8)))</f>
        <v>0.0186306160882432</v>
      </c>
      <c r="L1295" s="7">
        <f>J1295*税费参数!$B$12/(I1295*10000)</f>
        <v>0.0211111111111111</v>
      </c>
      <c r="M1295" s="6">
        <f>I1295*10000*SUM(税费参数!$B$9:$B$10)/税费参数!$B$11</f>
        <v>168.75</v>
      </c>
    </row>
    <row r="1296" ht="21" customHeight="1" spans="1:13">
      <c r="A1296" s="5" t="s">
        <v>16</v>
      </c>
      <c r="B1296" s="6" t="s">
        <v>123</v>
      </c>
      <c r="C1296" s="6" t="s">
        <v>159</v>
      </c>
      <c r="D1296" s="6" t="s">
        <v>160</v>
      </c>
      <c r="E1296" s="6" t="s">
        <v>1067</v>
      </c>
      <c r="F1296" s="6" t="s">
        <v>1915</v>
      </c>
      <c r="G1296" s="6">
        <v>34.42</v>
      </c>
      <c r="H1296" s="6">
        <v>38.64</v>
      </c>
      <c r="I1296" s="6">
        <v>90</v>
      </c>
      <c r="J1296" s="6">
        <v>2100</v>
      </c>
      <c r="K1296" s="7">
        <f>(J1296-M1296)*税费参数!$B$12/(I1296*10000*(1+SUM(税费参数!$B$6:$B$8)))</f>
        <v>0.0207828894269572</v>
      </c>
      <c r="L1296" s="7">
        <f>J1296*税费参数!$B$12/(I1296*10000)</f>
        <v>0.0233333333333333</v>
      </c>
      <c r="M1296" s="6">
        <f>I1296*10000*SUM(税费参数!$B$9:$B$10)/税费参数!$B$11</f>
        <v>168.75</v>
      </c>
    </row>
    <row r="1297" ht="21" customHeight="1" spans="1:13">
      <c r="A1297" s="5" t="s">
        <v>16</v>
      </c>
      <c r="B1297" s="6" t="s">
        <v>123</v>
      </c>
      <c r="C1297" s="6" t="s">
        <v>159</v>
      </c>
      <c r="D1297" s="6" t="s">
        <v>160</v>
      </c>
      <c r="E1297" s="6" t="s">
        <v>1067</v>
      </c>
      <c r="F1297" s="6" t="s">
        <v>1916</v>
      </c>
      <c r="G1297" s="6">
        <v>34.42</v>
      </c>
      <c r="H1297" s="6">
        <v>34.42</v>
      </c>
      <c r="I1297" s="6">
        <v>90</v>
      </c>
      <c r="J1297" s="6">
        <v>1700</v>
      </c>
      <c r="K1297" s="7">
        <f>(J1297-M1297)*税费参数!$B$12/(I1297*10000*(1+SUM(税费参数!$B$6:$B$8)))</f>
        <v>0.0164783427495292</v>
      </c>
      <c r="L1297" s="7">
        <f>J1297*税费参数!$B$12/(I1297*10000)</f>
        <v>0.0188888888888889</v>
      </c>
      <c r="M1297" s="6">
        <f>I1297*10000*SUM(税费参数!$B$9:$B$10)/税费参数!$B$11</f>
        <v>168.75</v>
      </c>
    </row>
    <row r="1298" ht="21" customHeight="1" spans="1:13">
      <c r="A1298" s="5" t="s">
        <v>16</v>
      </c>
      <c r="B1298" s="6" t="s">
        <v>123</v>
      </c>
      <c r="C1298" s="6" t="s">
        <v>159</v>
      </c>
      <c r="D1298" s="6" t="s">
        <v>160</v>
      </c>
      <c r="E1298" s="6" t="s">
        <v>1067</v>
      </c>
      <c r="F1298" s="6" t="s">
        <v>1917</v>
      </c>
      <c r="G1298" s="6">
        <v>34.42</v>
      </c>
      <c r="H1298" s="6">
        <v>38.1</v>
      </c>
      <c r="I1298" s="6">
        <v>90</v>
      </c>
      <c r="J1298" s="6">
        <v>1600</v>
      </c>
      <c r="K1298" s="7">
        <f>(J1298-M1298)*税费参数!$B$12/(I1298*10000*(1+SUM(税费参数!$B$6:$B$8)))</f>
        <v>0.0154022060801722</v>
      </c>
      <c r="L1298" s="7">
        <f>J1298*税费参数!$B$12/(I1298*10000)</f>
        <v>0.0177777777777778</v>
      </c>
      <c r="M1298" s="6">
        <f>I1298*10000*SUM(税费参数!$B$9:$B$10)/税费参数!$B$11</f>
        <v>168.75</v>
      </c>
    </row>
    <row r="1299" ht="21" customHeight="1" spans="1:13">
      <c r="A1299" s="5" t="s">
        <v>16</v>
      </c>
      <c r="B1299" s="6" t="s">
        <v>123</v>
      </c>
      <c r="C1299" s="6" t="s">
        <v>159</v>
      </c>
      <c r="D1299" s="6" t="s">
        <v>160</v>
      </c>
      <c r="E1299" s="6" t="s">
        <v>1067</v>
      </c>
      <c r="F1299" s="6" t="s">
        <v>1918</v>
      </c>
      <c r="G1299" s="6">
        <v>34.42</v>
      </c>
      <c r="H1299" s="6">
        <v>37.23</v>
      </c>
      <c r="I1299" s="6">
        <v>90</v>
      </c>
      <c r="J1299" s="6">
        <v>1600</v>
      </c>
      <c r="K1299" s="7">
        <f>(J1299-M1299)*税费参数!$B$12/(I1299*10000*(1+SUM(税费参数!$B$6:$B$8)))</f>
        <v>0.0154022060801722</v>
      </c>
      <c r="L1299" s="7">
        <f>J1299*税费参数!$B$12/(I1299*10000)</f>
        <v>0.0177777777777778</v>
      </c>
      <c r="M1299" s="6">
        <f>I1299*10000*SUM(税费参数!$B$9:$B$10)/税费参数!$B$11</f>
        <v>168.75</v>
      </c>
    </row>
    <row r="1300" ht="21" customHeight="1" spans="1:13">
      <c r="A1300" s="5" t="s">
        <v>16</v>
      </c>
      <c r="B1300" s="6" t="s">
        <v>123</v>
      </c>
      <c r="C1300" s="6" t="s">
        <v>159</v>
      </c>
      <c r="D1300" s="6" t="s">
        <v>160</v>
      </c>
      <c r="E1300" s="6" t="s">
        <v>1067</v>
      </c>
      <c r="F1300" s="6" t="s">
        <v>1919</v>
      </c>
      <c r="G1300" s="6">
        <v>34.42</v>
      </c>
      <c r="H1300" s="6">
        <v>39.12</v>
      </c>
      <c r="I1300" s="6">
        <v>90</v>
      </c>
      <c r="J1300" s="6">
        <v>1900</v>
      </c>
      <c r="K1300" s="7">
        <f>(J1300-M1300)*税费参数!$B$12/(I1300*10000*(1+SUM(税费参数!$B$6:$B$8)))</f>
        <v>0.0186306160882432</v>
      </c>
      <c r="L1300" s="7">
        <f>J1300*税费参数!$B$12/(I1300*10000)</f>
        <v>0.0211111111111111</v>
      </c>
      <c r="M1300" s="6">
        <f>I1300*10000*SUM(税费参数!$B$9:$B$10)/税费参数!$B$11</f>
        <v>168.75</v>
      </c>
    </row>
    <row r="1301" ht="21" customHeight="1" spans="1:13">
      <c r="A1301" s="5" t="s">
        <v>16</v>
      </c>
      <c r="B1301" s="6" t="s">
        <v>123</v>
      </c>
      <c r="C1301" s="6" t="s">
        <v>159</v>
      </c>
      <c r="D1301" s="6" t="s">
        <v>160</v>
      </c>
      <c r="E1301" s="6" t="s">
        <v>1067</v>
      </c>
      <c r="F1301" s="6" t="s">
        <v>1920</v>
      </c>
      <c r="G1301" s="6">
        <v>34.42</v>
      </c>
      <c r="H1301" s="6">
        <v>37.36</v>
      </c>
      <c r="I1301" s="6">
        <v>90</v>
      </c>
      <c r="J1301" s="6">
        <v>1700</v>
      </c>
      <c r="K1301" s="7">
        <f>(J1301-M1301)*税费参数!$B$12/(I1301*10000*(1+SUM(税费参数!$B$6:$B$8)))</f>
        <v>0.0164783427495292</v>
      </c>
      <c r="L1301" s="7">
        <f>J1301*税费参数!$B$12/(I1301*10000)</f>
        <v>0.0188888888888889</v>
      </c>
      <c r="M1301" s="6">
        <f>I1301*10000*SUM(税费参数!$B$9:$B$10)/税费参数!$B$11</f>
        <v>168.75</v>
      </c>
    </row>
    <row r="1302" ht="21" customHeight="1" spans="1:13">
      <c r="A1302" s="5" t="s">
        <v>16</v>
      </c>
      <c r="B1302" s="6" t="s">
        <v>123</v>
      </c>
      <c r="C1302" s="6" t="s">
        <v>159</v>
      </c>
      <c r="D1302" s="6" t="s">
        <v>160</v>
      </c>
      <c r="E1302" s="6" t="s">
        <v>1067</v>
      </c>
      <c r="F1302" s="6" t="s">
        <v>1921</v>
      </c>
      <c r="G1302" s="6">
        <v>34.42</v>
      </c>
      <c r="H1302" s="6">
        <v>37.17</v>
      </c>
      <c r="I1302" s="6">
        <v>90</v>
      </c>
      <c r="J1302" s="6">
        <v>1700</v>
      </c>
      <c r="K1302" s="7">
        <f>(J1302-M1302)*税费参数!$B$12/(I1302*10000*(1+SUM(税费参数!$B$6:$B$8)))</f>
        <v>0.0164783427495292</v>
      </c>
      <c r="L1302" s="7">
        <f>J1302*税费参数!$B$12/(I1302*10000)</f>
        <v>0.0188888888888889</v>
      </c>
      <c r="M1302" s="6">
        <f>I1302*10000*SUM(税费参数!$B$9:$B$10)/税费参数!$B$11</f>
        <v>168.75</v>
      </c>
    </row>
    <row r="1303" ht="21" customHeight="1" spans="1:13">
      <c r="A1303" s="5" t="s">
        <v>16</v>
      </c>
      <c r="B1303" s="6" t="s">
        <v>123</v>
      </c>
      <c r="C1303" s="6" t="s">
        <v>159</v>
      </c>
      <c r="D1303" s="6" t="s">
        <v>160</v>
      </c>
      <c r="E1303" s="6" t="s">
        <v>1067</v>
      </c>
      <c r="F1303" s="6" t="s">
        <v>1922</v>
      </c>
      <c r="G1303" s="6">
        <v>34.42</v>
      </c>
      <c r="H1303" s="6">
        <v>35.89</v>
      </c>
      <c r="I1303" s="6">
        <v>90</v>
      </c>
      <c r="J1303" s="6">
        <v>1650</v>
      </c>
      <c r="K1303" s="7">
        <f>(J1303-M1303)*税费参数!$B$12/(I1303*10000*(1+SUM(税费参数!$B$6:$B$8)))</f>
        <v>0.0159402744148507</v>
      </c>
      <c r="L1303" s="7">
        <f>J1303*税费参数!$B$12/(I1303*10000)</f>
        <v>0.0183333333333333</v>
      </c>
      <c r="M1303" s="6">
        <f>I1303*10000*SUM(税费参数!$B$9:$B$10)/税费参数!$B$11</f>
        <v>168.75</v>
      </c>
    </row>
    <row r="1304" ht="21" customHeight="1" spans="1:13">
      <c r="A1304" s="5" t="s">
        <v>16</v>
      </c>
      <c r="B1304" s="6" t="s">
        <v>123</v>
      </c>
      <c r="C1304" s="6" t="s">
        <v>159</v>
      </c>
      <c r="D1304" s="6" t="s">
        <v>160</v>
      </c>
      <c r="E1304" s="6" t="s">
        <v>1067</v>
      </c>
      <c r="F1304" s="6" t="s">
        <v>1923</v>
      </c>
      <c r="G1304" s="6">
        <v>34.42</v>
      </c>
      <c r="H1304" s="6">
        <v>37.23</v>
      </c>
      <c r="I1304" s="6">
        <v>90</v>
      </c>
      <c r="J1304" s="6">
        <v>1700</v>
      </c>
      <c r="K1304" s="7">
        <f>(J1304-M1304)*税费参数!$B$12/(I1304*10000*(1+SUM(税费参数!$B$6:$B$8)))</f>
        <v>0.0164783427495292</v>
      </c>
      <c r="L1304" s="7">
        <f>J1304*税费参数!$B$12/(I1304*10000)</f>
        <v>0.0188888888888889</v>
      </c>
      <c r="M1304" s="6">
        <f>I1304*10000*SUM(税费参数!$B$9:$B$10)/税费参数!$B$11</f>
        <v>168.75</v>
      </c>
    </row>
    <row r="1305" ht="21" customHeight="1" spans="1:13">
      <c r="A1305" s="5" t="s">
        <v>16</v>
      </c>
      <c r="B1305" s="6" t="s">
        <v>123</v>
      </c>
      <c r="C1305" s="6" t="s">
        <v>159</v>
      </c>
      <c r="D1305" s="6" t="s">
        <v>160</v>
      </c>
      <c r="E1305" s="6" t="s">
        <v>1067</v>
      </c>
      <c r="F1305" s="6" t="s">
        <v>1924</v>
      </c>
      <c r="G1305" s="6">
        <v>34.42</v>
      </c>
      <c r="H1305" s="6">
        <v>34.82</v>
      </c>
      <c r="I1305" s="6">
        <v>90</v>
      </c>
      <c r="J1305" s="6">
        <v>1800</v>
      </c>
      <c r="K1305" s="7">
        <f>(J1305-M1305)*税费参数!$B$12/(I1305*10000*(1+SUM(税费参数!$B$6:$B$8)))</f>
        <v>0.0175544794188862</v>
      </c>
      <c r="L1305" s="7">
        <f>J1305*税费参数!$B$12/(I1305*10000)</f>
        <v>0.02</v>
      </c>
      <c r="M1305" s="6">
        <f>I1305*10000*SUM(税费参数!$B$9:$B$10)/税费参数!$B$11</f>
        <v>168.75</v>
      </c>
    </row>
    <row r="1306" ht="21" customHeight="1" spans="1:13">
      <c r="A1306" s="5" t="s">
        <v>16</v>
      </c>
      <c r="B1306" s="6" t="s">
        <v>123</v>
      </c>
      <c r="C1306" s="6" t="s">
        <v>159</v>
      </c>
      <c r="D1306" s="6" t="s">
        <v>160</v>
      </c>
      <c r="E1306" s="6" t="s">
        <v>1067</v>
      </c>
      <c r="F1306" s="6" t="s">
        <v>1925</v>
      </c>
      <c r="G1306" s="6">
        <v>34.42</v>
      </c>
      <c r="H1306" s="6">
        <v>39.48</v>
      </c>
      <c r="I1306" s="6">
        <v>90</v>
      </c>
      <c r="J1306" s="6">
        <v>1700</v>
      </c>
      <c r="K1306" s="7">
        <f>(J1306-M1306)*税费参数!$B$12/(I1306*10000*(1+SUM(税费参数!$B$6:$B$8)))</f>
        <v>0.0164783427495292</v>
      </c>
      <c r="L1306" s="7">
        <f>J1306*税费参数!$B$12/(I1306*10000)</f>
        <v>0.0188888888888889</v>
      </c>
      <c r="M1306" s="6">
        <f>I1306*10000*SUM(税费参数!$B$9:$B$10)/税费参数!$B$11</f>
        <v>168.75</v>
      </c>
    </row>
    <row r="1307" ht="21" customHeight="1" spans="1:13">
      <c r="A1307" s="5" t="s">
        <v>16</v>
      </c>
      <c r="B1307" s="6" t="s">
        <v>123</v>
      </c>
      <c r="C1307" s="6" t="s">
        <v>159</v>
      </c>
      <c r="D1307" s="6" t="s">
        <v>160</v>
      </c>
      <c r="E1307" s="6" t="s">
        <v>1067</v>
      </c>
      <c r="F1307" s="6" t="s">
        <v>1926</v>
      </c>
      <c r="G1307" s="6">
        <v>34.42</v>
      </c>
      <c r="H1307" s="6">
        <v>35</v>
      </c>
      <c r="I1307" s="6">
        <v>90</v>
      </c>
      <c r="J1307" s="6">
        <v>1680</v>
      </c>
      <c r="K1307" s="7">
        <f>(J1307-M1307)*税费参数!$B$12/(I1307*10000*(1+SUM(税费参数!$B$6:$B$8)))</f>
        <v>0.0162631154156578</v>
      </c>
      <c r="L1307" s="7">
        <f>J1307*税费参数!$B$12/(I1307*10000)</f>
        <v>0.0186666666666667</v>
      </c>
      <c r="M1307" s="6">
        <f>I1307*10000*SUM(税费参数!$B$9:$B$10)/税费参数!$B$11</f>
        <v>168.75</v>
      </c>
    </row>
    <row r="1308" ht="21" customHeight="1" spans="1:13">
      <c r="A1308" s="5" t="s">
        <v>16</v>
      </c>
      <c r="B1308" s="6" t="s">
        <v>123</v>
      </c>
      <c r="C1308" s="6" t="s">
        <v>159</v>
      </c>
      <c r="D1308" s="6" t="s">
        <v>160</v>
      </c>
      <c r="E1308" s="6" t="s">
        <v>1069</v>
      </c>
      <c r="F1308" s="6" t="s">
        <v>1913</v>
      </c>
      <c r="G1308" s="6">
        <v>37.44</v>
      </c>
      <c r="H1308" s="6">
        <v>37.13</v>
      </c>
      <c r="I1308" s="6">
        <v>90</v>
      </c>
      <c r="J1308" s="6">
        <v>1550</v>
      </c>
      <c r="K1308" s="7">
        <f>(J1308-M1308)*税费参数!$B$12/(I1308*10000*(1+SUM(税费参数!$B$6:$B$8)))</f>
        <v>0.0148641377454937</v>
      </c>
      <c r="L1308" s="7">
        <f>J1308*税费参数!$B$12/(I1308*10000)</f>
        <v>0.0172222222222222</v>
      </c>
      <c r="M1308" s="6">
        <f>I1308*10000*SUM(税费参数!$B$9:$B$10)/税费参数!$B$11</f>
        <v>168.75</v>
      </c>
    </row>
    <row r="1309" ht="21" customHeight="1" spans="1:13">
      <c r="A1309" s="5" t="s">
        <v>16</v>
      </c>
      <c r="B1309" s="6" t="s">
        <v>123</v>
      </c>
      <c r="C1309" s="6" t="s">
        <v>159</v>
      </c>
      <c r="D1309" s="6" t="s">
        <v>160</v>
      </c>
      <c r="E1309" s="6" t="s">
        <v>1069</v>
      </c>
      <c r="F1309" s="6" t="s">
        <v>1914</v>
      </c>
      <c r="G1309" s="6">
        <v>37.44</v>
      </c>
      <c r="H1309" s="6">
        <v>37.3</v>
      </c>
      <c r="I1309" s="6">
        <v>90</v>
      </c>
      <c r="J1309" s="6">
        <v>1900</v>
      </c>
      <c r="K1309" s="7">
        <f>(J1309-M1309)*税费参数!$B$12/(I1309*10000*(1+SUM(税费参数!$B$6:$B$8)))</f>
        <v>0.0186306160882432</v>
      </c>
      <c r="L1309" s="7">
        <f>J1309*税费参数!$B$12/(I1309*10000)</f>
        <v>0.0211111111111111</v>
      </c>
      <c r="M1309" s="6">
        <f>I1309*10000*SUM(税费参数!$B$9:$B$10)/税费参数!$B$11</f>
        <v>168.75</v>
      </c>
    </row>
    <row r="1310" ht="21" customHeight="1" spans="1:13">
      <c r="A1310" s="5" t="s">
        <v>16</v>
      </c>
      <c r="B1310" s="6" t="s">
        <v>123</v>
      </c>
      <c r="C1310" s="6" t="s">
        <v>159</v>
      </c>
      <c r="D1310" s="6" t="s">
        <v>160</v>
      </c>
      <c r="E1310" s="6" t="s">
        <v>1069</v>
      </c>
      <c r="F1310" s="6" t="s">
        <v>1915</v>
      </c>
      <c r="G1310" s="6">
        <v>37.44</v>
      </c>
      <c r="H1310" s="6">
        <v>38.64</v>
      </c>
      <c r="I1310" s="6">
        <v>90</v>
      </c>
      <c r="J1310" s="6">
        <v>2100</v>
      </c>
      <c r="K1310" s="7">
        <f>(J1310-M1310)*税费参数!$B$12/(I1310*10000*(1+SUM(税费参数!$B$6:$B$8)))</f>
        <v>0.0207828894269572</v>
      </c>
      <c r="L1310" s="7">
        <f>J1310*税费参数!$B$12/(I1310*10000)</f>
        <v>0.0233333333333333</v>
      </c>
      <c r="M1310" s="6">
        <f>I1310*10000*SUM(税费参数!$B$9:$B$10)/税费参数!$B$11</f>
        <v>168.75</v>
      </c>
    </row>
    <row r="1311" ht="21" customHeight="1" spans="1:13">
      <c r="A1311" s="5" t="s">
        <v>16</v>
      </c>
      <c r="B1311" s="6" t="s">
        <v>123</v>
      </c>
      <c r="C1311" s="6" t="s">
        <v>159</v>
      </c>
      <c r="D1311" s="6" t="s">
        <v>160</v>
      </c>
      <c r="E1311" s="6" t="s">
        <v>1069</v>
      </c>
      <c r="F1311" s="6" t="s">
        <v>1916</v>
      </c>
      <c r="G1311" s="6">
        <v>37.44</v>
      </c>
      <c r="H1311" s="6">
        <v>34.42</v>
      </c>
      <c r="I1311" s="6">
        <v>90</v>
      </c>
      <c r="J1311" s="6">
        <v>1700</v>
      </c>
      <c r="K1311" s="7">
        <f>(J1311-M1311)*税费参数!$B$12/(I1311*10000*(1+SUM(税费参数!$B$6:$B$8)))</f>
        <v>0.0164783427495292</v>
      </c>
      <c r="L1311" s="7">
        <f>J1311*税费参数!$B$12/(I1311*10000)</f>
        <v>0.0188888888888889</v>
      </c>
      <c r="M1311" s="6">
        <f>I1311*10000*SUM(税费参数!$B$9:$B$10)/税费参数!$B$11</f>
        <v>168.75</v>
      </c>
    </row>
    <row r="1312" ht="21" customHeight="1" spans="1:13">
      <c r="A1312" s="5" t="s">
        <v>16</v>
      </c>
      <c r="B1312" s="6" t="s">
        <v>123</v>
      </c>
      <c r="C1312" s="6" t="s">
        <v>159</v>
      </c>
      <c r="D1312" s="6" t="s">
        <v>160</v>
      </c>
      <c r="E1312" s="6" t="s">
        <v>1069</v>
      </c>
      <c r="F1312" s="6" t="s">
        <v>1917</v>
      </c>
      <c r="G1312" s="6">
        <v>37.44</v>
      </c>
      <c r="H1312" s="6">
        <v>38.1</v>
      </c>
      <c r="I1312" s="6">
        <v>90</v>
      </c>
      <c r="J1312" s="6">
        <v>1600</v>
      </c>
      <c r="K1312" s="7">
        <f>(J1312-M1312)*税费参数!$B$12/(I1312*10000*(1+SUM(税费参数!$B$6:$B$8)))</f>
        <v>0.0154022060801722</v>
      </c>
      <c r="L1312" s="7">
        <f>J1312*税费参数!$B$12/(I1312*10000)</f>
        <v>0.0177777777777778</v>
      </c>
      <c r="M1312" s="6">
        <f>I1312*10000*SUM(税费参数!$B$9:$B$10)/税费参数!$B$11</f>
        <v>168.75</v>
      </c>
    </row>
    <row r="1313" ht="21" customHeight="1" spans="1:13">
      <c r="A1313" s="5" t="s">
        <v>16</v>
      </c>
      <c r="B1313" s="6" t="s">
        <v>123</v>
      </c>
      <c r="C1313" s="6" t="s">
        <v>159</v>
      </c>
      <c r="D1313" s="6" t="s">
        <v>160</v>
      </c>
      <c r="E1313" s="6" t="s">
        <v>1069</v>
      </c>
      <c r="F1313" s="6" t="s">
        <v>1918</v>
      </c>
      <c r="G1313" s="6">
        <v>37.44</v>
      </c>
      <c r="H1313" s="6">
        <v>37.23</v>
      </c>
      <c r="I1313" s="6">
        <v>90</v>
      </c>
      <c r="J1313" s="6">
        <v>1600</v>
      </c>
      <c r="K1313" s="7">
        <f>(J1313-M1313)*税费参数!$B$12/(I1313*10000*(1+SUM(税费参数!$B$6:$B$8)))</f>
        <v>0.0154022060801722</v>
      </c>
      <c r="L1313" s="7">
        <f>J1313*税费参数!$B$12/(I1313*10000)</f>
        <v>0.0177777777777778</v>
      </c>
      <c r="M1313" s="6">
        <f>I1313*10000*SUM(税费参数!$B$9:$B$10)/税费参数!$B$11</f>
        <v>168.75</v>
      </c>
    </row>
    <row r="1314" ht="21" customHeight="1" spans="1:13">
      <c r="A1314" s="5" t="s">
        <v>16</v>
      </c>
      <c r="B1314" s="6" t="s">
        <v>123</v>
      </c>
      <c r="C1314" s="6" t="s">
        <v>159</v>
      </c>
      <c r="D1314" s="6" t="s">
        <v>160</v>
      </c>
      <c r="E1314" s="6" t="s">
        <v>1069</v>
      </c>
      <c r="F1314" s="6" t="s">
        <v>1919</v>
      </c>
      <c r="G1314" s="6">
        <v>37.44</v>
      </c>
      <c r="H1314" s="6">
        <v>39.12</v>
      </c>
      <c r="I1314" s="6">
        <v>90</v>
      </c>
      <c r="J1314" s="6">
        <v>1900</v>
      </c>
      <c r="K1314" s="7">
        <f>(J1314-M1314)*税费参数!$B$12/(I1314*10000*(1+SUM(税费参数!$B$6:$B$8)))</f>
        <v>0.0186306160882432</v>
      </c>
      <c r="L1314" s="7">
        <f>J1314*税费参数!$B$12/(I1314*10000)</f>
        <v>0.0211111111111111</v>
      </c>
      <c r="M1314" s="6">
        <f>I1314*10000*SUM(税费参数!$B$9:$B$10)/税费参数!$B$11</f>
        <v>168.75</v>
      </c>
    </row>
    <row r="1315" ht="21" customHeight="1" spans="1:13">
      <c r="A1315" s="5" t="s">
        <v>16</v>
      </c>
      <c r="B1315" s="6" t="s">
        <v>123</v>
      </c>
      <c r="C1315" s="6" t="s">
        <v>159</v>
      </c>
      <c r="D1315" s="6" t="s">
        <v>160</v>
      </c>
      <c r="E1315" s="6" t="s">
        <v>1069</v>
      </c>
      <c r="F1315" s="6" t="s">
        <v>1920</v>
      </c>
      <c r="G1315" s="6">
        <v>37.44</v>
      </c>
      <c r="H1315" s="6">
        <v>37.36</v>
      </c>
      <c r="I1315" s="6">
        <v>90</v>
      </c>
      <c r="J1315" s="6">
        <v>1700</v>
      </c>
      <c r="K1315" s="7">
        <f>(J1315-M1315)*税费参数!$B$12/(I1315*10000*(1+SUM(税费参数!$B$6:$B$8)))</f>
        <v>0.0164783427495292</v>
      </c>
      <c r="L1315" s="7">
        <f>J1315*税费参数!$B$12/(I1315*10000)</f>
        <v>0.0188888888888889</v>
      </c>
      <c r="M1315" s="6">
        <f>I1315*10000*SUM(税费参数!$B$9:$B$10)/税费参数!$B$11</f>
        <v>168.75</v>
      </c>
    </row>
    <row r="1316" ht="21" customHeight="1" spans="1:13">
      <c r="A1316" s="5" t="s">
        <v>16</v>
      </c>
      <c r="B1316" s="6" t="s">
        <v>123</v>
      </c>
      <c r="C1316" s="6" t="s">
        <v>159</v>
      </c>
      <c r="D1316" s="6" t="s">
        <v>160</v>
      </c>
      <c r="E1316" s="6" t="s">
        <v>1069</v>
      </c>
      <c r="F1316" s="6" t="s">
        <v>1927</v>
      </c>
      <c r="G1316" s="6">
        <v>37.44</v>
      </c>
      <c r="H1316" s="6">
        <v>39.78</v>
      </c>
      <c r="I1316" s="6">
        <v>90</v>
      </c>
      <c r="J1316" s="6">
        <v>1700</v>
      </c>
      <c r="K1316" s="7">
        <f>(J1316-M1316)*税费参数!$B$12/(I1316*10000*(1+SUM(税费参数!$B$6:$B$8)))</f>
        <v>0.0164783427495292</v>
      </c>
      <c r="L1316" s="7">
        <f>J1316*税费参数!$B$12/(I1316*10000)</f>
        <v>0.0188888888888889</v>
      </c>
      <c r="M1316" s="6">
        <f>I1316*10000*SUM(税费参数!$B$9:$B$10)/税费参数!$B$11</f>
        <v>168.75</v>
      </c>
    </row>
    <row r="1317" ht="21" customHeight="1" spans="1:13">
      <c r="A1317" s="5" t="s">
        <v>16</v>
      </c>
      <c r="B1317" s="6" t="s">
        <v>123</v>
      </c>
      <c r="C1317" s="6" t="s">
        <v>159</v>
      </c>
      <c r="D1317" s="6" t="s">
        <v>160</v>
      </c>
      <c r="E1317" s="6" t="s">
        <v>1069</v>
      </c>
      <c r="F1317" s="6" t="s">
        <v>1921</v>
      </c>
      <c r="G1317" s="6">
        <v>37.44</v>
      </c>
      <c r="H1317" s="6">
        <v>37.17</v>
      </c>
      <c r="I1317" s="6">
        <v>90</v>
      </c>
      <c r="J1317" s="6">
        <v>1700</v>
      </c>
      <c r="K1317" s="7">
        <f>(J1317-M1317)*税费参数!$B$12/(I1317*10000*(1+SUM(税费参数!$B$6:$B$8)))</f>
        <v>0.0164783427495292</v>
      </c>
      <c r="L1317" s="7">
        <f>J1317*税费参数!$B$12/(I1317*10000)</f>
        <v>0.0188888888888889</v>
      </c>
      <c r="M1317" s="6">
        <f>I1317*10000*SUM(税费参数!$B$9:$B$10)/税费参数!$B$11</f>
        <v>168.75</v>
      </c>
    </row>
    <row r="1318" ht="21" customHeight="1" spans="1:13">
      <c r="A1318" s="5" t="s">
        <v>16</v>
      </c>
      <c r="B1318" s="6" t="s">
        <v>123</v>
      </c>
      <c r="C1318" s="6" t="s">
        <v>159</v>
      </c>
      <c r="D1318" s="6" t="s">
        <v>160</v>
      </c>
      <c r="E1318" s="6" t="s">
        <v>1069</v>
      </c>
      <c r="F1318" s="6" t="s">
        <v>1922</v>
      </c>
      <c r="G1318" s="6">
        <v>37.44</v>
      </c>
      <c r="H1318" s="6">
        <v>35.89</v>
      </c>
      <c r="I1318" s="6">
        <v>90</v>
      </c>
      <c r="J1318" s="6">
        <v>1650</v>
      </c>
      <c r="K1318" s="7">
        <f>(J1318-M1318)*税费参数!$B$12/(I1318*10000*(1+SUM(税费参数!$B$6:$B$8)))</f>
        <v>0.0159402744148507</v>
      </c>
      <c r="L1318" s="7">
        <f>J1318*税费参数!$B$12/(I1318*10000)</f>
        <v>0.0183333333333333</v>
      </c>
      <c r="M1318" s="6">
        <f>I1318*10000*SUM(税费参数!$B$9:$B$10)/税费参数!$B$11</f>
        <v>168.75</v>
      </c>
    </row>
    <row r="1319" ht="21" customHeight="1" spans="1:13">
      <c r="A1319" s="5" t="s">
        <v>16</v>
      </c>
      <c r="B1319" s="6" t="s">
        <v>123</v>
      </c>
      <c r="C1319" s="6" t="s">
        <v>159</v>
      </c>
      <c r="D1319" s="6" t="s">
        <v>160</v>
      </c>
      <c r="E1319" s="6" t="s">
        <v>1069</v>
      </c>
      <c r="F1319" s="6" t="s">
        <v>1923</v>
      </c>
      <c r="G1319" s="6">
        <v>37.44</v>
      </c>
      <c r="H1319" s="6">
        <v>37.23</v>
      </c>
      <c r="I1319" s="6">
        <v>90</v>
      </c>
      <c r="J1319" s="6">
        <v>1700</v>
      </c>
      <c r="K1319" s="7">
        <f>(J1319-M1319)*税费参数!$B$12/(I1319*10000*(1+SUM(税费参数!$B$6:$B$8)))</f>
        <v>0.0164783427495292</v>
      </c>
      <c r="L1319" s="7">
        <f>J1319*税费参数!$B$12/(I1319*10000)</f>
        <v>0.0188888888888889</v>
      </c>
      <c r="M1319" s="6">
        <f>I1319*10000*SUM(税费参数!$B$9:$B$10)/税费参数!$B$11</f>
        <v>168.75</v>
      </c>
    </row>
    <row r="1320" ht="21" customHeight="1" spans="1:13">
      <c r="A1320" s="5" t="s">
        <v>16</v>
      </c>
      <c r="B1320" s="6" t="s">
        <v>123</v>
      </c>
      <c r="C1320" s="6" t="s">
        <v>159</v>
      </c>
      <c r="D1320" s="6" t="s">
        <v>160</v>
      </c>
      <c r="E1320" s="6" t="s">
        <v>1069</v>
      </c>
      <c r="F1320" s="6" t="s">
        <v>1924</v>
      </c>
      <c r="G1320" s="6">
        <v>37.44</v>
      </c>
      <c r="H1320" s="6">
        <v>34.82</v>
      </c>
      <c r="I1320" s="6">
        <v>90</v>
      </c>
      <c r="J1320" s="6">
        <v>1800</v>
      </c>
      <c r="K1320" s="7">
        <f>(J1320-M1320)*税费参数!$B$12/(I1320*10000*(1+SUM(税费参数!$B$6:$B$8)))</f>
        <v>0.0175544794188862</v>
      </c>
      <c r="L1320" s="7">
        <f>J1320*税费参数!$B$12/(I1320*10000)</f>
        <v>0.02</v>
      </c>
      <c r="M1320" s="6">
        <f>I1320*10000*SUM(税费参数!$B$9:$B$10)/税费参数!$B$11</f>
        <v>168.75</v>
      </c>
    </row>
    <row r="1321" ht="21" customHeight="1" spans="1:13">
      <c r="A1321" s="5" t="s">
        <v>16</v>
      </c>
      <c r="B1321" s="6" t="s">
        <v>123</v>
      </c>
      <c r="C1321" s="6" t="s">
        <v>159</v>
      </c>
      <c r="D1321" s="6" t="s">
        <v>160</v>
      </c>
      <c r="E1321" s="6" t="s">
        <v>1069</v>
      </c>
      <c r="F1321" s="6" t="s">
        <v>1925</v>
      </c>
      <c r="G1321" s="6">
        <v>37.44</v>
      </c>
      <c r="H1321" s="6">
        <v>39.48</v>
      </c>
      <c r="I1321" s="6">
        <v>90</v>
      </c>
      <c r="J1321" s="6">
        <v>1700</v>
      </c>
      <c r="K1321" s="7">
        <f>(J1321-M1321)*税费参数!$B$12/(I1321*10000*(1+SUM(税费参数!$B$6:$B$8)))</f>
        <v>0.0164783427495292</v>
      </c>
      <c r="L1321" s="7">
        <f>J1321*税费参数!$B$12/(I1321*10000)</f>
        <v>0.0188888888888889</v>
      </c>
      <c r="M1321" s="6">
        <f>I1321*10000*SUM(税费参数!$B$9:$B$10)/税费参数!$B$11</f>
        <v>168.75</v>
      </c>
    </row>
    <row r="1322" ht="21" customHeight="1" spans="1:13">
      <c r="A1322" s="5" t="s">
        <v>16</v>
      </c>
      <c r="B1322" s="6" t="s">
        <v>123</v>
      </c>
      <c r="C1322" s="6" t="s">
        <v>159</v>
      </c>
      <c r="D1322" s="6" t="s">
        <v>160</v>
      </c>
      <c r="E1322" s="6" t="s">
        <v>1069</v>
      </c>
      <c r="F1322" s="6" t="s">
        <v>1926</v>
      </c>
      <c r="G1322" s="6">
        <v>37.44</v>
      </c>
      <c r="H1322" s="6">
        <v>35</v>
      </c>
      <c r="I1322" s="6">
        <v>90</v>
      </c>
      <c r="J1322" s="6">
        <v>1680</v>
      </c>
      <c r="K1322" s="7">
        <f>(J1322-M1322)*税费参数!$B$12/(I1322*10000*(1+SUM(税费参数!$B$6:$B$8)))</f>
        <v>0.0162631154156578</v>
      </c>
      <c r="L1322" s="7">
        <f>J1322*税费参数!$B$12/(I1322*10000)</f>
        <v>0.0186666666666667</v>
      </c>
      <c r="M1322" s="6">
        <f>I1322*10000*SUM(税费参数!$B$9:$B$10)/税费参数!$B$11</f>
        <v>168.75</v>
      </c>
    </row>
    <row r="1323" ht="21" customHeight="1" spans="1:13">
      <c r="A1323" s="5" t="s">
        <v>16</v>
      </c>
      <c r="B1323" s="6" t="s">
        <v>123</v>
      </c>
      <c r="C1323" s="6" t="s">
        <v>159</v>
      </c>
      <c r="D1323" s="6" t="s">
        <v>160</v>
      </c>
      <c r="E1323" s="6" t="s">
        <v>1077</v>
      </c>
      <c r="F1323" s="6" t="s">
        <v>1913</v>
      </c>
      <c r="G1323" s="6">
        <v>37.27</v>
      </c>
      <c r="H1323" s="6">
        <v>37.13</v>
      </c>
      <c r="I1323" s="6">
        <v>98</v>
      </c>
      <c r="J1323" s="6">
        <v>1550</v>
      </c>
      <c r="K1323" s="7">
        <f>(J1323-M1323)*税费参数!$B$12/(I1323*10000*(1+SUM(税费参数!$B$6:$B$8)))</f>
        <v>0.0135024954291644</v>
      </c>
      <c r="L1323" s="7">
        <f>J1323*税费参数!$B$12/(I1323*10000)</f>
        <v>0.0158163265306122</v>
      </c>
      <c r="M1323" s="6">
        <f>I1323*10000*SUM(税费参数!$B$9:$B$10)/税费参数!$B$11</f>
        <v>183.75</v>
      </c>
    </row>
    <row r="1324" ht="21" customHeight="1" spans="1:13">
      <c r="A1324" s="5" t="s">
        <v>16</v>
      </c>
      <c r="B1324" s="6" t="s">
        <v>123</v>
      </c>
      <c r="C1324" s="6" t="s">
        <v>159</v>
      </c>
      <c r="D1324" s="6" t="s">
        <v>160</v>
      </c>
      <c r="E1324" s="6" t="s">
        <v>1077</v>
      </c>
      <c r="F1324" s="6" t="s">
        <v>1914</v>
      </c>
      <c r="G1324" s="6">
        <v>37.27</v>
      </c>
      <c r="H1324" s="6">
        <v>37.3</v>
      </c>
      <c r="I1324" s="6">
        <v>98</v>
      </c>
      <c r="J1324" s="6">
        <v>1900</v>
      </c>
      <c r="K1324" s="7">
        <f>(J1324-M1324)*税费参数!$B$12/(I1324*10000*(1+SUM(税费参数!$B$6:$B$8)))</f>
        <v>0.0169615061520976</v>
      </c>
      <c r="L1324" s="7">
        <f>J1324*税费参数!$B$12/(I1324*10000)</f>
        <v>0.0193877551020408</v>
      </c>
      <c r="M1324" s="6">
        <f>I1324*10000*SUM(税费参数!$B$9:$B$10)/税费参数!$B$11</f>
        <v>183.75</v>
      </c>
    </row>
    <row r="1325" ht="21" customHeight="1" spans="1:13">
      <c r="A1325" s="5" t="s">
        <v>16</v>
      </c>
      <c r="B1325" s="6" t="s">
        <v>123</v>
      </c>
      <c r="C1325" s="6" t="s">
        <v>159</v>
      </c>
      <c r="D1325" s="6" t="s">
        <v>160</v>
      </c>
      <c r="E1325" s="6" t="s">
        <v>1077</v>
      </c>
      <c r="F1325" s="6" t="s">
        <v>1915</v>
      </c>
      <c r="G1325" s="6">
        <v>37.27</v>
      </c>
      <c r="H1325" s="6">
        <v>38.64</v>
      </c>
      <c r="I1325" s="6">
        <v>98</v>
      </c>
      <c r="J1325" s="6">
        <v>2100</v>
      </c>
      <c r="K1325" s="7">
        <f>(J1325-M1325)*税费参数!$B$12/(I1325*10000*(1+SUM(税费参数!$B$6:$B$8)))</f>
        <v>0.0189380837080595</v>
      </c>
      <c r="L1325" s="7">
        <f>J1325*税费参数!$B$12/(I1325*10000)</f>
        <v>0.0214285714285714</v>
      </c>
      <c r="M1325" s="6">
        <f>I1325*10000*SUM(税费参数!$B$9:$B$10)/税费参数!$B$11</f>
        <v>183.75</v>
      </c>
    </row>
    <row r="1326" ht="21" customHeight="1" spans="1:13">
      <c r="A1326" s="5" t="s">
        <v>16</v>
      </c>
      <c r="B1326" s="6" t="s">
        <v>123</v>
      </c>
      <c r="C1326" s="6" t="s">
        <v>159</v>
      </c>
      <c r="D1326" s="6" t="s">
        <v>160</v>
      </c>
      <c r="E1326" s="6" t="s">
        <v>1077</v>
      </c>
      <c r="F1326" s="6" t="s">
        <v>1916</v>
      </c>
      <c r="G1326" s="6">
        <v>37.27</v>
      </c>
      <c r="H1326" s="6">
        <v>34.42</v>
      </c>
      <c r="I1326" s="6">
        <v>98</v>
      </c>
      <c r="J1326" s="6">
        <v>1700</v>
      </c>
      <c r="K1326" s="7">
        <f>(J1326-M1326)*税费参数!$B$12/(I1326*10000*(1+SUM(税费参数!$B$6:$B$8)))</f>
        <v>0.0149849285961358</v>
      </c>
      <c r="L1326" s="7">
        <f>J1326*税费参数!$B$12/(I1326*10000)</f>
        <v>0.0173469387755102</v>
      </c>
      <c r="M1326" s="6">
        <f>I1326*10000*SUM(税费参数!$B$9:$B$10)/税费参数!$B$11</f>
        <v>183.75</v>
      </c>
    </row>
    <row r="1327" ht="21" customHeight="1" spans="1:13">
      <c r="A1327" s="5" t="s">
        <v>16</v>
      </c>
      <c r="B1327" s="6" t="s">
        <v>123</v>
      </c>
      <c r="C1327" s="6" t="s">
        <v>159</v>
      </c>
      <c r="D1327" s="6" t="s">
        <v>160</v>
      </c>
      <c r="E1327" s="6" t="s">
        <v>1077</v>
      </c>
      <c r="F1327" s="6" t="s">
        <v>1917</v>
      </c>
      <c r="G1327" s="6">
        <v>37.27</v>
      </c>
      <c r="H1327" s="6">
        <v>38.1</v>
      </c>
      <c r="I1327" s="6">
        <v>98</v>
      </c>
      <c r="J1327" s="6">
        <v>1600</v>
      </c>
      <c r="K1327" s="7">
        <f>(J1327-M1327)*税费参数!$B$12/(I1327*10000*(1+SUM(税费参数!$B$6:$B$8)))</f>
        <v>0.0139966398181549</v>
      </c>
      <c r="L1327" s="7">
        <f>J1327*税费参数!$B$12/(I1327*10000)</f>
        <v>0.0163265306122449</v>
      </c>
      <c r="M1327" s="6">
        <f>I1327*10000*SUM(税费参数!$B$9:$B$10)/税费参数!$B$11</f>
        <v>183.75</v>
      </c>
    </row>
    <row r="1328" ht="21" customHeight="1" spans="1:13">
      <c r="A1328" s="5" t="s">
        <v>16</v>
      </c>
      <c r="B1328" s="6" t="s">
        <v>123</v>
      </c>
      <c r="C1328" s="6" t="s">
        <v>159</v>
      </c>
      <c r="D1328" s="6" t="s">
        <v>160</v>
      </c>
      <c r="E1328" s="6" t="s">
        <v>1077</v>
      </c>
      <c r="F1328" s="6" t="s">
        <v>1918</v>
      </c>
      <c r="G1328" s="6">
        <v>37.27</v>
      </c>
      <c r="H1328" s="6">
        <v>37.23</v>
      </c>
      <c r="I1328" s="6">
        <v>98</v>
      </c>
      <c r="J1328" s="6">
        <v>1600</v>
      </c>
      <c r="K1328" s="7">
        <f>(J1328-M1328)*税费参数!$B$12/(I1328*10000*(1+SUM(税费参数!$B$6:$B$8)))</f>
        <v>0.0139966398181549</v>
      </c>
      <c r="L1328" s="7">
        <f>J1328*税费参数!$B$12/(I1328*10000)</f>
        <v>0.0163265306122449</v>
      </c>
      <c r="M1328" s="6">
        <f>I1328*10000*SUM(税费参数!$B$9:$B$10)/税费参数!$B$11</f>
        <v>183.75</v>
      </c>
    </row>
    <row r="1329" ht="21" customHeight="1" spans="1:13">
      <c r="A1329" s="5" t="s">
        <v>16</v>
      </c>
      <c r="B1329" s="6" t="s">
        <v>123</v>
      </c>
      <c r="C1329" s="6" t="s">
        <v>159</v>
      </c>
      <c r="D1329" s="6" t="s">
        <v>160</v>
      </c>
      <c r="E1329" s="6" t="s">
        <v>1077</v>
      </c>
      <c r="F1329" s="6" t="s">
        <v>1919</v>
      </c>
      <c r="G1329" s="6">
        <v>37.27</v>
      </c>
      <c r="H1329" s="6">
        <v>39.12</v>
      </c>
      <c r="I1329" s="6">
        <v>98</v>
      </c>
      <c r="J1329" s="6">
        <v>1900</v>
      </c>
      <c r="K1329" s="7">
        <f>(J1329-M1329)*税费参数!$B$12/(I1329*10000*(1+SUM(税费参数!$B$6:$B$8)))</f>
        <v>0.0169615061520976</v>
      </c>
      <c r="L1329" s="7">
        <f>J1329*税费参数!$B$12/(I1329*10000)</f>
        <v>0.0193877551020408</v>
      </c>
      <c r="M1329" s="6">
        <f>I1329*10000*SUM(税费参数!$B$9:$B$10)/税费参数!$B$11</f>
        <v>183.75</v>
      </c>
    </row>
    <row r="1330" ht="21" customHeight="1" spans="1:13">
      <c r="A1330" s="5" t="s">
        <v>16</v>
      </c>
      <c r="B1330" s="6" t="s">
        <v>123</v>
      </c>
      <c r="C1330" s="6" t="s">
        <v>159</v>
      </c>
      <c r="D1330" s="6" t="s">
        <v>160</v>
      </c>
      <c r="E1330" s="6" t="s">
        <v>1077</v>
      </c>
      <c r="F1330" s="6" t="s">
        <v>1920</v>
      </c>
      <c r="G1330" s="6">
        <v>37.27</v>
      </c>
      <c r="H1330" s="6">
        <v>37.36</v>
      </c>
      <c r="I1330" s="6">
        <v>98</v>
      </c>
      <c r="J1330" s="6">
        <v>1700</v>
      </c>
      <c r="K1330" s="7">
        <f>(J1330-M1330)*税费参数!$B$12/(I1330*10000*(1+SUM(税费参数!$B$6:$B$8)))</f>
        <v>0.0149849285961358</v>
      </c>
      <c r="L1330" s="7">
        <f>J1330*税费参数!$B$12/(I1330*10000)</f>
        <v>0.0173469387755102</v>
      </c>
      <c r="M1330" s="6">
        <f>I1330*10000*SUM(税费参数!$B$9:$B$10)/税费参数!$B$11</f>
        <v>183.75</v>
      </c>
    </row>
    <row r="1331" ht="21" customHeight="1" spans="1:13">
      <c r="A1331" s="5" t="s">
        <v>16</v>
      </c>
      <c r="B1331" s="6" t="s">
        <v>123</v>
      </c>
      <c r="C1331" s="6" t="s">
        <v>159</v>
      </c>
      <c r="D1331" s="6" t="s">
        <v>160</v>
      </c>
      <c r="E1331" s="6" t="s">
        <v>1077</v>
      </c>
      <c r="F1331" s="6" t="s">
        <v>1927</v>
      </c>
      <c r="G1331" s="6">
        <v>37.27</v>
      </c>
      <c r="H1331" s="6">
        <v>39.78</v>
      </c>
      <c r="I1331" s="6">
        <v>98</v>
      </c>
      <c r="J1331" s="6">
        <v>1700</v>
      </c>
      <c r="K1331" s="7">
        <f>(J1331-M1331)*税费参数!$B$12/(I1331*10000*(1+SUM(税费参数!$B$6:$B$8)))</f>
        <v>0.0149849285961358</v>
      </c>
      <c r="L1331" s="7">
        <f>J1331*税费参数!$B$12/(I1331*10000)</f>
        <v>0.0173469387755102</v>
      </c>
      <c r="M1331" s="6">
        <f>I1331*10000*SUM(税费参数!$B$9:$B$10)/税费参数!$B$11</f>
        <v>183.75</v>
      </c>
    </row>
    <row r="1332" ht="21" customHeight="1" spans="1:13">
      <c r="A1332" s="5" t="s">
        <v>16</v>
      </c>
      <c r="B1332" s="6" t="s">
        <v>123</v>
      </c>
      <c r="C1332" s="6" t="s">
        <v>159</v>
      </c>
      <c r="D1332" s="6" t="s">
        <v>160</v>
      </c>
      <c r="E1332" s="6" t="s">
        <v>1077</v>
      </c>
      <c r="F1332" s="6" t="s">
        <v>1921</v>
      </c>
      <c r="G1332" s="6">
        <v>37.27</v>
      </c>
      <c r="H1332" s="6">
        <v>37.17</v>
      </c>
      <c r="I1332" s="6">
        <v>98</v>
      </c>
      <c r="J1332" s="6">
        <v>1700</v>
      </c>
      <c r="K1332" s="7">
        <f>(J1332-M1332)*税费参数!$B$12/(I1332*10000*(1+SUM(税费参数!$B$6:$B$8)))</f>
        <v>0.0149849285961358</v>
      </c>
      <c r="L1332" s="7">
        <f>J1332*税费参数!$B$12/(I1332*10000)</f>
        <v>0.0173469387755102</v>
      </c>
      <c r="M1332" s="6">
        <f>I1332*10000*SUM(税费参数!$B$9:$B$10)/税费参数!$B$11</f>
        <v>183.75</v>
      </c>
    </row>
    <row r="1333" ht="21" customHeight="1" spans="1:13">
      <c r="A1333" s="5" t="s">
        <v>16</v>
      </c>
      <c r="B1333" s="6" t="s">
        <v>123</v>
      </c>
      <c r="C1333" s="6" t="s">
        <v>159</v>
      </c>
      <c r="D1333" s="6" t="s">
        <v>160</v>
      </c>
      <c r="E1333" s="6" t="s">
        <v>1077</v>
      </c>
      <c r="F1333" s="6" t="s">
        <v>1922</v>
      </c>
      <c r="G1333" s="6">
        <v>37.27</v>
      </c>
      <c r="H1333" s="6">
        <v>35.89</v>
      </c>
      <c r="I1333" s="6">
        <v>98</v>
      </c>
      <c r="J1333" s="6">
        <v>1650</v>
      </c>
      <c r="K1333" s="7">
        <f>(J1333-M1333)*税费参数!$B$12/(I1333*10000*(1+SUM(税费参数!$B$6:$B$8)))</f>
        <v>0.0144907842071453</v>
      </c>
      <c r="L1333" s="7">
        <f>J1333*税费参数!$B$12/(I1333*10000)</f>
        <v>0.0168367346938776</v>
      </c>
      <c r="M1333" s="6">
        <f>I1333*10000*SUM(税费参数!$B$9:$B$10)/税费参数!$B$11</f>
        <v>183.75</v>
      </c>
    </row>
    <row r="1334" ht="21" customHeight="1" spans="1:13">
      <c r="A1334" s="5" t="s">
        <v>16</v>
      </c>
      <c r="B1334" s="6" t="s">
        <v>123</v>
      </c>
      <c r="C1334" s="6" t="s">
        <v>159</v>
      </c>
      <c r="D1334" s="6" t="s">
        <v>160</v>
      </c>
      <c r="E1334" s="6" t="s">
        <v>1077</v>
      </c>
      <c r="F1334" s="6" t="s">
        <v>1923</v>
      </c>
      <c r="G1334" s="6">
        <v>37.27</v>
      </c>
      <c r="H1334" s="6">
        <v>37.23</v>
      </c>
      <c r="I1334" s="6">
        <v>98</v>
      </c>
      <c r="J1334" s="6">
        <v>1700</v>
      </c>
      <c r="K1334" s="7">
        <f>(J1334-M1334)*税费参数!$B$12/(I1334*10000*(1+SUM(税费参数!$B$6:$B$8)))</f>
        <v>0.0149849285961358</v>
      </c>
      <c r="L1334" s="7">
        <f>J1334*税费参数!$B$12/(I1334*10000)</f>
        <v>0.0173469387755102</v>
      </c>
      <c r="M1334" s="6">
        <f>I1334*10000*SUM(税费参数!$B$9:$B$10)/税费参数!$B$11</f>
        <v>183.75</v>
      </c>
    </row>
    <row r="1335" ht="21" customHeight="1" spans="1:13">
      <c r="A1335" s="5" t="s">
        <v>16</v>
      </c>
      <c r="B1335" s="6" t="s">
        <v>123</v>
      </c>
      <c r="C1335" s="6" t="s">
        <v>159</v>
      </c>
      <c r="D1335" s="6" t="s">
        <v>160</v>
      </c>
      <c r="E1335" s="6" t="s">
        <v>1077</v>
      </c>
      <c r="F1335" s="6" t="s">
        <v>1924</v>
      </c>
      <c r="G1335" s="6">
        <v>37.27</v>
      </c>
      <c r="H1335" s="6">
        <v>34.82</v>
      </c>
      <c r="I1335" s="6">
        <v>98</v>
      </c>
      <c r="J1335" s="6">
        <v>1800</v>
      </c>
      <c r="K1335" s="7">
        <f>(J1335-M1335)*税费参数!$B$12/(I1335*10000*(1+SUM(税费参数!$B$6:$B$8)))</f>
        <v>0.0159732173741167</v>
      </c>
      <c r="L1335" s="7">
        <f>J1335*税费参数!$B$12/(I1335*10000)</f>
        <v>0.0183673469387755</v>
      </c>
      <c r="M1335" s="6">
        <f>I1335*10000*SUM(税费参数!$B$9:$B$10)/税费参数!$B$11</f>
        <v>183.75</v>
      </c>
    </row>
    <row r="1336" ht="21" customHeight="1" spans="1:13">
      <c r="A1336" s="5" t="s">
        <v>16</v>
      </c>
      <c r="B1336" s="6" t="s">
        <v>123</v>
      </c>
      <c r="C1336" s="6" t="s">
        <v>159</v>
      </c>
      <c r="D1336" s="6" t="s">
        <v>160</v>
      </c>
      <c r="E1336" s="6" t="s">
        <v>1077</v>
      </c>
      <c r="F1336" s="6" t="s">
        <v>1925</v>
      </c>
      <c r="G1336" s="6">
        <v>37.27</v>
      </c>
      <c r="H1336" s="6">
        <v>39.48</v>
      </c>
      <c r="I1336" s="6">
        <v>98</v>
      </c>
      <c r="J1336" s="6">
        <v>1700</v>
      </c>
      <c r="K1336" s="7">
        <f>(J1336-M1336)*税费参数!$B$12/(I1336*10000*(1+SUM(税费参数!$B$6:$B$8)))</f>
        <v>0.0149849285961358</v>
      </c>
      <c r="L1336" s="7">
        <f>J1336*税费参数!$B$12/(I1336*10000)</f>
        <v>0.0173469387755102</v>
      </c>
      <c r="M1336" s="6">
        <f>I1336*10000*SUM(税费参数!$B$9:$B$10)/税费参数!$B$11</f>
        <v>183.75</v>
      </c>
    </row>
    <row r="1337" ht="21" customHeight="1" spans="1:13">
      <c r="A1337" s="5" t="s">
        <v>16</v>
      </c>
      <c r="B1337" s="6" t="s">
        <v>123</v>
      </c>
      <c r="C1337" s="6" t="s">
        <v>159</v>
      </c>
      <c r="D1337" s="6" t="s">
        <v>160</v>
      </c>
      <c r="E1337" s="6" t="s">
        <v>1077</v>
      </c>
      <c r="F1337" s="6" t="s">
        <v>1926</v>
      </c>
      <c r="G1337" s="6">
        <v>37.27</v>
      </c>
      <c r="H1337" s="6">
        <v>35</v>
      </c>
      <c r="I1337" s="6">
        <v>98</v>
      </c>
      <c r="J1337" s="6">
        <v>1680</v>
      </c>
      <c r="K1337" s="7">
        <f>(J1337-M1337)*税费参数!$B$12/(I1337*10000*(1+SUM(税费参数!$B$6:$B$8)))</f>
        <v>0.0147872708405396</v>
      </c>
      <c r="L1337" s="7">
        <f>J1337*税费参数!$B$12/(I1337*10000)</f>
        <v>0.0171428571428571</v>
      </c>
      <c r="M1337" s="6">
        <f>I1337*10000*SUM(税费参数!$B$9:$B$10)/税费参数!$B$11</f>
        <v>183.75</v>
      </c>
    </row>
    <row r="1338" ht="21" customHeight="1" spans="1:13">
      <c r="A1338" s="5" t="s">
        <v>16</v>
      </c>
      <c r="B1338" s="6" t="s">
        <v>123</v>
      </c>
      <c r="C1338" s="6" t="s">
        <v>159</v>
      </c>
      <c r="D1338" s="6" t="s">
        <v>160</v>
      </c>
      <c r="E1338" s="6" t="s">
        <v>1075</v>
      </c>
      <c r="F1338" s="6" t="s">
        <v>1913</v>
      </c>
      <c r="G1338" s="6">
        <v>37.96</v>
      </c>
      <c r="H1338" s="6">
        <v>37.13</v>
      </c>
      <c r="I1338" s="6">
        <v>115</v>
      </c>
      <c r="J1338" s="6">
        <v>1550</v>
      </c>
      <c r="K1338" s="7">
        <f>(J1338-M1338)*税费参数!$B$12/(I1338*10000*(1+SUM(税费参数!$B$6:$B$8)))</f>
        <v>0.011238025055269</v>
      </c>
      <c r="L1338" s="7">
        <f>J1338*税费参数!$B$12/(I1338*10000)</f>
        <v>0.0134782608695652</v>
      </c>
      <c r="M1338" s="6">
        <f>I1338*10000*SUM(税费参数!$B$9:$B$10)/税费参数!$B$11</f>
        <v>215.625</v>
      </c>
    </row>
    <row r="1339" ht="21" customHeight="1" spans="1:13">
      <c r="A1339" s="5" t="s">
        <v>16</v>
      </c>
      <c r="B1339" s="6" t="s">
        <v>123</v>
      </c>
      <c r="C1339" s="6" t="s">
        <v>159</v>
      </c>
      <c r="D1339" s="6" t="s">
        <v>160</v>
      </c>
      <c r="E1339" s="6" t="s">
        <v>1075</v>
      </c>
      <c r="F1339" s="6" t="s">
        <v>1914</v>
      </c>
      <c r="G1339" s="6">
        <v>37.96</v>
      </c>
      <c r="H1339" s="6">
        <v>37.3</v>
      </c>
      <c r="I1339" s="6">
        <v>115</v>
      </c>
      <c r="J1339" s="6">
        <v>1900</v>
      </c>
      <c r="K1339" s="7">
        <f>(J1339-M1339)*税费参数!$B$12/(I1339*10000*(1+SUM(税费参数!$B$6:$B$8)))</f>
        <v>0.0141857037582903</v>
      </c>
      <c r="L1339" s="7">
        <f>J1339*税费参数!$B$12/(I1339*10000)</f>
        <v>0.0165217391304348</v>
      </c>
      <c r="M1339" s="6">
        <f>I1339*10000*SUM(税费参数!$B$9:$B$10)/税费参数!$B$11</f>
        <v>215.625</v>
      </c>
    </row>
    <row r="1340" ht="21" customHeight="1" spans="1:13">
      <c r="A1340" s="5" t="s">
        <v>16</v>
      </c>
      <c r="B1340" s="6" t="s">
        <v>123</v>
      </c>
      <c r="C1340" s="6" t="s">
        <v>159</v>
      </c>
      <c r="D1340" s="6" t="s">
        <v>160</v>
      </c>
      <c r="E1340" s="6" t="s">
        <v>1075</v>
      </c>
      <c r="F1340" s="6" t="s">
        <v>1915</v>
      </c>
      <c r="G1340" s="6">
        <v>37.96</v>
      </c>
      <c r="H1340" s="6">
        <v>38.64</v>
      </c>
      <c r="I1340" s="6">
        <v>115</v>
      </c>
      <c r="J1340" s="6">
        <v>2100</v>
      </c>
      <c r="K1340" s="7">
        <f>(J1340-M1340)*税费参数!$B$12/(I1340*10000*(1+SUM(税费参数!$B$6:$B$8)))</f>
        <v>0.0158700915885883</v>
      </c>
      <c r="L1340" s="7">
        <f>J1340*税费参数!$B$12/(I1340*10000)</f>
        <v>0.0182608695652174</v>
      </c>
      <c r="M1340" s="6">
        <f>I1340*10000*SUM(税费参数!$B$9:$B$10)/税费参数!$B$11</f>
        <v>215.625</v>
      </c>
    </row>
    <row r="1341" ht="21" customHeight="1" spans="1:13">
      <c r="A1341" s="5" t="s">
        <v>16</v>
      </c>
      <c r="B1341" s="6" t="s">
        <v>123</v>
      </c>
      <c r="C1341" s="6" t="s">
        <v>159</v>
      </c>
      <c r="D1341" s="6" t="s">
        <v>160</v>
      </c>
      <c r="E1341" s="6" t="s">
        <v>1075</v>
      </c>
      <c r="F1341" s="6" t="s">
        <v>1916</v>
      </c>
      <c r="G1341" s="6">
        <v>37.96</v>
      </c>
      <c r="H1341" s="6">
        <v>34.42</v>
      </c>
      <c r="I1341" s="6">
        <v>115</v>
      </c>
      <c r="J1341" s="6">
        <v>1700</v>
      </c>
      <c r="K1341" s="7">
        <f>(J1341-M1341)*税费参数!$B$12/(I1341*10000*(1+SUM(税费参数!$B$6:$B$8)))</f>
        <v>0.0125013159279924</v>
      </c>
      <c r="L1341" s="7">
        <f>J1341*税费参数!$B$12/(I1341*10000)</f>
        <v>0.0147826086956522</v>
      </c>
      <c r="M1341" s="6">
        <f>I1341*10000*SUM(税费参数!$B$9:$B$10)/税费参数!$B$11</f>
        <v>215.625</v>
      </c>
    </row>
    <row r="1342" ht="21" customHeight="1" spans="1:13">
      <c r="A1342" s="5" t="s">
        <v>16</v>
      </c>
      <c r="B1342" s="6" t="s">
        <v>123</v>
      </c>
      <c r="C1342" s="6" t="s">
        <v>159</v>
      </c>
      <c r="D1342" s="6" t="s">
        <v>160</v>
      </c>
      <c r="E1342" s="6" t="s">
        <v>1075</v>
      </c>
      <c r="F1342" s="6" t="s">
        <v>1917</v>
      </c>
      <c r="G1342" s="6">
        <v>37.96</v>
      </c>
      <c r="H1342" s="6">
        <v>38.1</v>
      </c>
      <c r="I1342" s="6">
        <v>115</v>
      </c>
      <c r="J1342" s="6">
        <v>1600</v>
      </c>
      <c r="K1342" s="7">
        <f>(J1342-M1342)*税费参数!$B$12/(I1342*10000*(1+SUM(税费参数!$B$6:$B$8)))</f>
        <v>0.0116591220128435</v>
      </c>
      <c r="L1342" s="7">
        <f>J1342*税费参数!$B$12/(I1342*10000)</f>
        <v>0.0139130434782609</v>
      </c>
      <c r="M1342" s="6">
        <f>I1342*10000*SUM(税费参数!$B$9:$B$10)/税费参数!$B$11</f>
        <v>215.625</v>
      </c>
    </row>
    <row r="1343" ht="21" customHeight="1" spans="1:13">
      <c r="A1343" s="5" t="s">
        <v>16</v>
      </c>
      <c r="B1343" s="6" t="s">
        <v>123</v>
      </c>
      <c r="C1343" s="6" t="s">
        <v>159</v>
      </c>
      <c r="D1343" s="6" t="s">
        <v>160</v>
      </c>
      <c r="E1343" s="6" t="s">
        <v>1075</v>
      </c>
      <c r="F1343" s="6" t="s">
        <v>1918</v>
      </c>
      <c r="G1343" s="6">
        <v>37.96</v>
      </c>
      <c r="H1343" s="6">
        <v>37.23</v>
      </c>
      <c r="I1343" s="6">
        <v>115</v>
      </c>
      <c r="J1343" s="6">
        <v>1600</v>
      </c>
      <c r="K1343" s="7">
        <f>(J1343-M1343)*税费参数!$B$12/(I1343*10000*(1+SUM(税费参数!$B$6:$B$8)))</f>
        <v>0.0116591220128435</v>
      </c>
      <c r="L1343" s="7">
        <f>J1343*税费参数!$B$12/(I1343*10000)</f>
        <v>0.0139130434782609</v>
      </c>
      <c r="M1343" s="6">
        <f>I1343*10000*SUM(税费参数!$B$9:$B$10)/税费参数!$B$11</f>
        <v>215.625</v>
      </c>
    </row>
    <row r="1344" ht="21" customHeight="1" spans="1:13">
      <c r="A1344" s="5" t="s">
        <v>16</v>
      </c>
      <c r="B1344" s="6" t="s">
        <v>123</v>
      </c>
      <c r="C1344" s="6" t="s">
        <v>159</v>
      </c>
      <c r="D1344" s="6" t="s">
        <v>160</v>
      </c>
      <c r="E1344" s="6" t="s">
        <v>1075</v>
      </c>
      <c r="F1344" s="6" t="s">
        <v>1919</v>
      </c>
      <c r="G1344" s="6">
        <v>37.96</v>
      </c>
      <c r="H1344" s="6">
        <v>39.12</v>
      </c>
      <c r="I1344" s="6">
        <v>115</v>
      </c>
      <c r="J1344" s="6">
        <v>1900</v>
      </c>
      <c r="K1344" s="7">
        <f>(J1344-M1344)*税费参数!$B$12/(I1344*10000*(1+SUM(税费参数!$B$6:$B$8)))</f>
        <v>0.0141857037582903</v>
      </c>
      <c r="L1344" s="7">
        <f>J1344*税费参数!$B$12/(I1344*10000)</f>
        <v>0.0165217391304348</v>
      </c>
      <c r="M1344" s="6">
        <f>I1344*10000*SUM(税费参数!$B$9:$B$10)/税费参数!$B$11</f>
        <v>215.625</v>
      </c>
    </row>
    <row r="1345" ht="21" customHeight="1" spans="1:13">
      <c r="A1345" s="5" t="s">
        <v>16</v>
      </c>
      <c r="B1345" s="6" t="s">
        <v>123</v>
      </c>
      <c r="C1345" s="6" t="s">
        <v>159</v>
      </c>
      <c r="D1345" s="6" t="s">
        <v>160</v>
      </c>
      <c r="E1345" s="6" t="s">
        <v>1075</v>
      </c>
      <c r="F1345" s="6" t="s">
        <v>1920</v>
      </c>
      <c r="G1345" s="6">
        <v>37.96</v>
      </c>
      <c r="H1345" s="6">
        <v>37.36</v>
      </c>
      <c r="I1345" s="6">
        <v>115</v>
      </c>
      <c r="J1345" s="6">
        <v>1700</v>
      </c>
      <c r="K1345" s="7">
        <f>(J1345-M1345)*税费参数!$B$12/(I1345*10000*(1+SUM(税费参数!$B$6:$B$8)))</f>
        <v>0.0125013159279924</v>
      </c>
      <c r="L1345" s="7">
        <f>J1345*税费参数!$B$12/(I1345*10000)</f>
        <v>0.0147826086956522</v>
      </c>
      <c r="M1345" s="6">
        <f>I1345*10000*SUM(税费参数!$B$9:$B$10)/税费参数!$B$11</f>
        <v>215.625</v>
      </c>
    </row>
    <row r="1346" ht="21" customHeight="1" spans="1:13">
      <c r="A1346" s="5" t="s">
        <v>16</v>
      </c>
      <c r="B1346" s="6" t="s">
        <v>123</v>
      </c>
      <c r="C1346" s="6" t="s">
        <v>159</v>
      </c>
      <c r="D1346" s="6" t="s">
        <v>160</v>
      </c>
      <c r="E1346" s="6" t="s">
        <v>1075</v>
      </c>
      <c r="F1346" s="6" t="s">
        <v>1927</v>
      </c>
      <c r="G1346" s="6">
        <v>37.96</v>
      </c>
      <c r="H1346" s="6">
        <v>39.78</v>
      </c>
      <c r="I1346" s="6">
        <v>115</v>
      </c>
      <c r="J1346" s="6">
        <v>1700</v>
      </c>
      <c r="K1346" s="7">
        <f>(J1346-M1346)*税费参数!$B$12/(I1346*10000*(1+SUM(税费参数!$B$6:$B$8)))</f>
        <v>0.0125013159279924</v>
      </c>
      <c r="L1346" s="7">
        <f>J1346*税费参数!$B$12/(I1346*10000)</f>
        <v>0.0147826086956522</v>
      </c>
      <c r="M1346" s="6">
        <f>I1346*10000*SUM(税费参数!$B$9:$B$10)/税费参数!$B$11</f>
        <v>215.625</v>
      </c>
    </row>
    <row r="1347" ht="21" customHeight="1" spans="1:13">
      <c r="A1347" s="5" t="s">
        <v>16</v>
      </c>
      <c r="B1347" s="6" t="s">
        <v>123</v>
      </c>
      <c r="C1347" s="6" t="s">
        <v>159</v>
      </c>
      <c r="D1347" s="6" t="s">
        <v>160</v>
      </c>
      <c r="E1347" s="6" t="s">
        <v>1075</v>
      </c>
      <c r="F1347" s="6" t="s">
        <v>1921</v>
      </c>
      <c r="G1347" s="6">
        <v>37.96</v>
      </c>
      <c r="H1347" s="6">
        <v>37.17</v>
      </c>
      <c r="I1347" s="6">
        <v>115</v>
      </c>
      <c r="J1347" s="6">
        <v>1700</v>
      </c>
      <c r="K1347" s="7">
        <f>(J1347-M1347)*税费参数!$B$12/(I1347*10000*(1+SUM(税费参数!$B$6:$B$8)))</f>
        <v>0.0125013159279924</v>
      </c>
      <c r="L1347" s="7">
        <f>J1347*税费参数!$B$12/(I1347*10000)</f>
        <v>0.0147826086956522</v>
      </c>
      <c r="M1347" s="6">
        <f>I1347*10000*SUM(税费参数!$B$9:$B$10)/税费参数!$B$11</f>
        <v>215.625</v>
      </c>
    </row>
    <row r="1348" ht="21" customHeight="1" spans="1:13">
      <c r="A1348" s="5" t="s">
        <v>16</v>
      </c>
      <c r="B1348" s="6" t="s">
        <v>123</v>
      </c>
      <c r="C1348" s="6" t="s">
        <v>159</v>
      </c>
      <c r="D1348" s="6" t="s">
        <v>160</v>
      </c>
      <c r="E1348" s="6" t="s">
        <v>1075</v>
      </c>
      <c r="F1348" s="6" t="s">
        <v>1922</v>
      </c>
      <c r="G1348" s="6">
        <v>37.96</v>
      </c>
      <c r="H1348" s="6">
        <v>35.89</v>
      </c>
      <c r="I1348" s="6">
        <v>115</v>
      </c>
      <c r="J1348" s="6">
        <v>1650</v>
      </c>
      <c r="K1348" s="7">
        <f>(J1348-M1348)*税费参数!$B$12/(I1348*10000*(1+SUM(税费参数!$B$6:$B$8)))</f>
        <v>0.0120802189704179</v>
      </c>
      <c r="L1348" s="7">
        <f>J1348*税费参数!$B$12/(I1348*10000)</f>
        <v>0.0143478260869565</v>
      </c>
      <c r="M1348" s="6">
        <f>I1348*10000*SUM(税费参数!$B$9:$B$10)/税费参数!$B$11</f>
        <v>215.625</v>
      </c>
    </row>
    <row r="1349" ht="21" customHeight="1" spans="1:13">
      <c r="A1349" s="5" t="s">
        <v>16</v>
      </c>
      <c r="B1349" s="6" t="s">
        <v>123</v>
      </c>
      <c r="C1349" s="6" t="s">
        <v>159</v>
      </c>
      <c r="D1349" s="6" t="s">
        <v>160</v>
      </c>
      <c r="E1349" s="6" t="s">
        <v>1075</v>
      </c>
      <c r="F1349" s="6" t="s">
        <v>1923</v>
      </c>
      <c r="G1349" s="6">
        <v>37.96</v>
      </c>
      <c r="H1349" s="6">
        <v>37.23</v>
      </c>
      <c r="I1349" s="6">
        <v>115</v>
      </c>
      <c r="J1349" s="6">
        <v>1700</v>
      </c>
      <c r="K1349" s="7">
        <f>(J1349-M1349)*税费参数!$B$12/(I1349*10000*(1+SUM(税费参数!$B$6:$B$8)))</f>
        <v>0.0125013159279924</v>
      </c>
      <c r="L1349" s="7">
        <f>J1349*税费参数!$B$12/(I1349*10000)</f>
        <v>0.0147826086956522</v>
      </c>
      <c r="M1349" s="6">
        <f>I1349*10000*SUM(税费参数!$B$9:$B$10)/税费参数!$B$11</f>
        <v>215.625</v>
      </c>
    </row>
    <row r="1350" ht="21" customHeight="1" spans="1:13">
      <c r="A1350" s="5" t="s">
        <v>16</v>
      </c>
      <c r="B1350" s="6" t="s">
        <v>123</v>
      </c>
      <c r="C1350" s="6" t="s">
        <v>159</v>
      </c>
      <c r="D1350" s="6" t="s">
        <v>160</v>
      </c>
      <c r="E1350" s="6" t="s">
        <v>1075</v>
      </c>
      <c r="F1350" s="6" t="s">
        <v>1924</v>
      </c>
      <c r="G1350" s="6">
        <v>37.96</v>
      </c>
      <c r="H1350" s="6">
        <v>34.82</v>
      </c>
      <c r="I1350" s="6">
        <v>115</v>
      </c>
      <c r="J1350" s="6">
        <v>1800</v>
      </c>
      <c r="K1350" s="7">
        <f>(J1350-M1350)*税费参数!$B$12/(I1350*10000*(1+SUM(税费参数!$B$6:$B$8)))</f>
        <v>0.0133435098431414</v>
      </c>
      <c r="L1350" s="7">
        <f>J1350*税费参数!$B$12/(I1350*10000)</f>
        <v>0.0156521739130435</v>
      </c>
      <c r="M1350" s="6">
        <f>I1350*10000*SUM(税费参数!$B$9:$B$10)/税费参数!$B$11</f>
        <v>215.625</v>
      </c>
    </row>
    <row r="1351" ht="21" customHeight="1" spans="1:13">
      <c r="A1351" s="5" t="s">
        <v>16</v>
      </c>
      <c r="B1351" s="6" t="s">
        <v>123</v>
      </c>
      <c r="C1351" s="6" t="s">
        <v>159</v>
      </c>
      <c r="D1351" s="6" t="s">
        <v>160</v>
      </c>
      <c r="E1351" s="6" t="s">
        <v>1075</v>
      </c>
      <c r="F1351" s="6" t="s">
        <v>1925</v>
      </c>
      <c r="G1351" s="6">
        <v>37.96</v>
      </c>
      <c r="H1351" s="6">
        <v>39.48</v>
      </c>
      <c r="I1351" s="6">
        <v>115</v>
      </c>
      <c r="J1351" s="6">
        <v>1700</v>
      </c>
      <c r="K1351" s="7">
        <f>(J1351-M1351)*税费参数!$B$12/(I1351*10000*(1+SUM(税费参数!$B$6:$B$8)))</f>
        <v>0.0125013159279924</v>
      </c>
      <c r="L1351" s="7">
        <f>J1351*税费参数!$B$12/(I1351*10000)</f>
        <v>0.0147826086956522</v>
      </c>
      <c r="M1351" s="6">
        <f>I1351*10000*SUM(税费参数!$B$9:$B$10)/税费参数!$B$11</f>
        <v>215.625</v>
      </c>
    </row>
    <row r="1352" ht="21" customHeight="1" spans="1:13">
      <c r="A1352" s="5" t="s">
        <v>16</v>
      </c>
      <c r="B1352" s="6" t="s">
        <v>123</v>
      </c>
      <c r="C1352" s="6" t="s">
        <v>159</v>
      </c>
      <c r="D1352" s="6" t="s">
        <v>160</v>
      </c>
      <c r="E1352" s="6" t="s">
        <v>1075</v>
      </c>
      <c r="F1352" s="6" t="s">
        <v>1926</v>
      </c>
      <c r="G1352" s="6">
        <v>37.96</v>
      </c>
      <c r="H1352" s="6">
        <v>35</v>
      </c>
      <c r="I1352" s="6">
        <v>115</v>
      </c>
      <c r="J1352" s="6">
        <v>1680</v>
      </c>
      <c r="K1352" s="7">
        <f>(J1352-M1352)*税费参数!$B$12/(I1352*10000*(1+SUM(税费参数!$B$6:$B$8)))</f>
        <v>0.0123328771449626</v>
      </c>
      <c r="L1352" s="7">
        <f>J1352*税费参数!$B$12/(I1352*10000)</f>
        <v>0.0146086956521739</v>
      </c>
      <c r="M1352" s="6">
        <f>I1352*10000*SUM(税费参数!$B$9:$B$10)/税费参数!$B$11</f>
        <v>215.625</v>
      </c>
    </row>
    <row r="1353" ht="21" customHeight="1" spans="1:13">
      <c r="A1353" s="5" t="s">
        <v>16</v>
      </c>
      <c r="B1353" s="6" t="s">
        <v>123</v>
      </c>
      <c r="C1353" s="6" t="s">
        <v>159</v>
      </c>
      <c r="D1353" s="6" t="s">
        <v>160</v>
      </c>
      <c r="E1353" s="6" t="s">
        <v>1073</v>
      </c>
      <c r="F1353" s="6" t="s">
        <v>1913</v>
      </c>
      <c r="G1353" s="6">
        <v>35.89</v>
      </c>
      <c r="H1353" s="6">
        <v>37.13</v>
      </c>
      <c r="I1353" s="6">
        <v>108</v>
      </c>
      <c r="J1353" s="6">
        <v>1550</v>
      </c>
      <c r="K1353" s="7">
        <f>(J1353-M1353)*税费参数!$B$12/(I1353*10000*(1+SUM(税费参数!$B$6:$B$8)))</f>
        <v>0.0120841180163214</v>
      </c>
      <c r="L1353" s="7">
        <f>J1353*税费参数!$B$12/(I1353*10000)</f>
        <v>0.0143518518518519</v>
      </c>
      <c r="M1353" s="6">
        <f>I1353*10000*SUM(税费参数!$B$9:$B$10)/税费参数!$B$11</f>
        <v>202.5</v>
      </c>
    </row>
    <row r="1354" ht="21" customHeight="1" spans="1:13">
      <c r="A1354" s="5" t="s">
        <v>16</v>
      </c>
      <c r="B1354" s="6" t="s">
        <v>123</v>
      </c>
      <c r="C1354" s="6" t="s">
        <v>159</v>
      </c>
      <c r="D1354" s="6" t="s">
        <v>160</v>
      </c>
      <c r="E1354" s="6" t="s">
        <v>1073</v>
      </c>
      <c r="F1354" s="6" t="s">
        <v>1914</v>
      </c>
      <c r="G1354" s="6">
        <v>35.89</v>
      </c>
      <c r="H1354" s="6">
        <v>37.3</v>
      </c>
      <c r="I1354" s="6">
        <v>108</v>
      </c>
      <c r="J1354" s="6">
        <v>1900</v>
      </c>
      <c r="K1354" s="7">
        <f>(J1354-M1354)*税费参数!$B$12/(I1354*10000*(1+SUM(税费参数!$B$6:$B$8)))</f>
        <v>0.0152228499686127</v>
      </c>
      <c r="L1354" s="7">
        <f>J1354*税费参数!$B$12/(I1354*10000)</f>
        <v>0.0175925925925926</v>
      </c>
      <c r="M1354" s="6">
        <f>I1354*10000*SUM(税费参数!$B$9:$B$10)/税费参数!$B$11</f>
        <v>202.5</v>
      </c>
    </row>
    <row r="1355" ht="21" customHeight="1" spans="1:13">
      <c r="A1355" s="5" t="s">
        <v>16</v>
      </c>
      <c r="B1355" s="6" t="s">
        <v>123</v>
      </c>
      <c r="C1355" s="6" t="s">
        <v>159</v>
      </c>
      <c r="D1355" s="6" t="s">
        <v>160</v>
      </c>
      <c r="E1355" s="6" t="s">
        <v>1073</v>
      </c>
      <c r="F1355" s="6" t="s">
        <v>1915</v>
      </c>
      <c r="G1355" s="6">
        <v>35.89</v>
      </c>
      <c r="H1355" s="6">
        <v>38.64</v>
      </c>
      <c r="I1355" s="6">
        <v>108</v>
      </c>
      <c r="J1355" s="6">
        <v>2100</v>
      </c>
      <c r="K1355" s="7">
        <f>(J1355-M1355)*税费参数!$B$12/(I1355*10000*(1+SUM(税费参数!$B$6:$B$8)))</f>
        <v>0.0170164110842077</v>
      </c>
      <c r="L1355" s="7">
        <f>J1355*税费参数!$B$12/(I1355*10000)</f>
        <v>0.0194444444444444</v>
      </c>
      <c r="M1355" s="6">
        <f>I1355*10000*SUM(税费参数!$B$9:$B$10)/税费参数!$B$11</f>
        <v>202.5</v>
      </c>
    </row>
    <row r="1356" ht="21" customHeight="1" spans="1:13">
      <c r="A1356" s="5" t="s">
        <v>16</v>
      </c>
      <c r="B1356" s="6" t="s">
        <v>123</v>
      </c>
      <c r="C1356" s="6" t="s">
        <v>159</v>
      </c>
      <c r="D1356" s="6" t="s">
        <v>160</v>
      </c>
      <c r="E1356" s="6" t="s">
        <v>1073</v>
      </c>
      <c r="F1356" s="6" t="s">
        <v>1916</v>
      </c>
      <c r="G1356" s="6">
        <v>35.89</v>
      </c>
      <c r="H1356" s="6">
        <v>34.42</v>
      </c>
      <c r="I1356" s="6">
        <v>108</v>
      </c>
      <c r="J1356" s="6">
        <v>1700</v>
      </c>
      <c r="K1356" s="7">
        <f>(J1356-M1356)*税费参数!$B$12/(I1356*10000*(1+SUM(税费参数!$B$6:$B$8)))</f>
        <v>0.0134292888530177</v>
      </c>
      <c r="L1356" s="7">
        <f>J1356*税费参数!$B$12/(I1356*10000)</f>
        <v>0.0157407407407407</v>
      </c>
      <c r="M1356" s="6">
        <f>I1356*10000*SUM(税费参数!$B$9:$B$10)/税费参数!$B$11</f>
        <v>202.5</v>
      </c>
    </row>
    <row r="1357" ht="21" customHeight="1" spans="1:13">
      <c r="A1357" s="5" t="s">
        <v>16</v>
      </c>
      <c r="B1357" s="6" t="s">
        <v>123</v>
      </c>
      <c r="C1357" s="6" t="s">
        <v>159</v>
      </c>
      <c r="D1357" s="6" t="s">
        <v>160</v>
      </c>
      <c r="E1357" s="6" t="s">
        <v>1073</v>
      </c>
      <c r="F1357" s="6" t="s">
        <v>1917</v>
      </c>
      <c r="G1357" s="6">
        <v>35.89</v>
      </c>
      <c r="H1357" s="6">
        <v>38.1</v>
      </c>
      <c r="I1357" s="6">
        <v>108</v>
      </c>
      <c r="J1357" s="6">
        <v>1600</v>
      </c>
      <c r="K1357" s="7">
        <f>(J1357-M1357)*税费参数!$B$12/(I1357*10000*(1+SUM(税费参数!$B$6:$B$8)))</f>
        <v>0.0125325082952202</v>
      </c>
      <c r="L1357" s="7">
        <f>J1357*税费参数!$B$12/(I1357*10000)</f>
        <v>0.0148148148148148</v>
      </c>
      <c r="M1357" s="6">
        <f>I1357*10000*SUM(税费参数!$B$9:$B$10)/税费参数!$B$11</f>
        <v>202.5</v>
      </c>
    </row>
    <row r="1358" ht="21" customHeight="1" spans="1:13">
      <c r="A1358" s="5" t="s">
        <v>16</v>
      </c>
      <c r="B1358" s="6" t="s">
        <v>123</v>
      </c>
      <c r="C1358" s="6" t="s">
        <v>159</v>
      </c>
      <c r="D1358" s="6" t="s">
        <v>160</v>
      </c>
      <c r="E1358" s="6" t="s">
        <v>1073</v>
      </c>
      <c r="F1358" s="6" t="s">
        <v>1918</v>
      </c>
      <c r="G1358" s="6">
        <v>35.89</v>
      </c>
      <c r="H1358" s="6">
        <v>37.23</v>
      </c>
      <c r="I1358" s="6">
        <v>108</v>
      </c>
      <c r="J1358" s="6">
        <v>1600</v>
      </c>
      <c r="K1358" s="7">
        <f>(J1358-M1358)*税费参数!$B$12/(I1358*10000*(1+SUM(税费参数!$B$6:$B$8)))</f>
        <v>0.0125325082952202</v>
      </c>
      <c r="L1358" s="7">
        <f>J1358*税费参数!$B$12/(I1358*10000)</f>
        <v>0.0148148148148148</v>
      </c>
      <c r="M1358" s="6">
        <f>I1358*10000*SUM(税费参数!$B$9:$B$10)/税费参数!$B$11</f>
        <v>202.5</v>
      </c>
    </row>
    <row r="1359" ht="21" customHeight="1" spans="1:13">
      <c r="A1359" s="5" t="s">
        <v>16</v>
      </c>
      <c r="B1359" s="6" t="s">
        <v>123</v>
      </c>
      <c r="C1359" s="6" t="s">
        <v>159</v>
      </c>
      <c r="D1359" s="6" t="s">
        <v>160</v>
      </c>
      <c r="E1359" s="6" t="s">
        <v>1073</v>
      </c>
      <c r="F1359" s="6" t="s">
        <v>1919</v>
      </c>
      <c r="G1359" s="6">
        <v>35.89</v>
      </c>
      <c r="H1359" s="6">
        <v>39.12</v>
      </c>
      <c r="I1359" s="6">
        <v>108</v>
      </c>
      <c r="J1359" s="6">
        <v>1900</v>
      </c>
      <c r="K1359" s="7">
        <f>(J1359-M1359)*税费参数!$B$12/(I1359*10000*(1+SUM(税费参数!$B$6:$B$8)))</f>
        <v>0.0152228499686127</v>
      </c>
      <c r="L1359" s="7">
        <f>J1359*税费参数!$B$12/(I1359*10000)</f>
        <v>0.0175925925925926</v>
      </c>
      <c r="M1359" s="6">
        <f>I1359*10000*SUM(税费参数!$B$9:$B$10)/税费参数!$B$11</f>
        <v>202.5</v>
      </c>
    </row>
    <row r="1360" ht="21" customHeight="1" spans="1:13">
      <c r="A1360" s="5" t="s">
        <v>16</v>
      </c>
      <c r="B1360" s="6" t="s">
        <v>123</v>
      </c>
      <c r="C1360" s="6" t="s">
        <v>159</v>
      </c>
      <c r="D1360" s="6" t="s">
        <v>160</v>
      </c>
      <c r="E1360" s="6" t="s">
        <v>1073</v>
      </c>
      <c r="F1360" s="6" t="s">
        <v>1920</v>
      </c>
      <c r="G1360" s="6">
        <v>35.89</v>
      </c>
      <c r="H1360" s="6">
        <v>37.36</v>
      </c>
      <c r="I1360" s="6">
        <v>108</v>
      </c>
      <c r="J1360" s="6">
        <v>1700</v>
      </c>
      <c r="K1360" s="7">
        <f>(J1360-M1360)*税费参数!$B$12/(I1360*10000*(1+SUM(税费参数!$B$6:$B$8)))</f>
        <v>0.0134292888530177</v>
      </c>
      <c r="L1360" s="7">
        <f>J1360*税费参数!$B$12/(I1360*10000)</f>
        <v>0.0157407407407407</v>
      </c>
      <c r="M1360" s="6">
        <f>I1360*10000*SUM(税费参数!$B$9:$B$10)/税费参数!$B$11</f>
        <v>202.5</v>
      </c>
    </row>
    <row r="1361" ht="21" customHeight="1" spans="1:13">
      <c r="A1361" s="5" t="s">
        <v>16</v>
      </c>
      <c r="B1361" s="6" t="s">
        <v>123</v>
      </c>
      <c r="C1361" s="6" t="s">
        <v>159</v>
      </c>
      <c r="D1361" s="6" t="s">
        <v>160</v>
      </c>
      <c r="E1361" s="6" t="s">
        <v>1073</v>
      </c>
      <c r="F1361" s="6" t="s">
        <v>1927</v>
      </c>
      <c r="G1361" s="6">
        <v>35.89</v>
      </c>
      <c r="H1361" s="6">
        <v>39.78</v>
      </c>
      <c r="I1361" s="6">
        <v>108</v>
      </c>
      <c r="J1361" s="6">
        <v>1700</v>
      </c>
      <c r="K1361" s="7">
        <f>(J1361-M1361)*税费参数!$B$12/(I1361*10000*(1+SUM(税费参数!$B$6:$B$8)))</f>
        <v>0.0134292888530177</v>
      </c>
      <c r="L1361" s="7">
        <f>J1361*税费参数!$B$12/(I1361*10000)</f>
        <v>0.0157407407407407</v>
      </c>
      <c r="M1361" s="6">
        <f>I1361*10000*SUM(税费参数!$B$9:$B$10)/税费参数!$B$11</f>
        <v>202.5</v>
      </c>
    </row>
    <row r="1362" ht="21" customHeight="1" spans="1:13">
      <c r="A1362" s="5" t="s">
        <v>16</v>
      </c>
      <c r="B1362" s="6" t="s">
        <v>123</v>
      </c>
      <c r="C1362" s="6" t="s">
        <v>159</v>
      </c>
      <c r="D1362" s="6" t="s">
        <v>160</v>
      </c>
      <c r="E1362" s="6" t="s">
        <v>1073</v>
      </c>
      <c r="F1362" s="6" t="s">
        <v>1921</v>
      </c>
      <c r="G1362" s="6">
        <v>35.89</v>
      </c>
      <c r="H1362" s="6">
        <v>37.17</v>
      </c>
      <c r="I1362" s="6">
        <v>108</v>
      </c>
      <c r="J1362" s="6">
        <v>1700</v>
      </c>
      <c r="K1362" s="7">
        <f>(J1362-M1362)*税费参数!$B$12/(I1362*10000*(1+SUM(税费参数!$B$6:$B$8)))</f>
        <v>0.0134292888530177</v>
      </c>
      <c r="L1362" s="7">
        <f>J1362*税费参数!$B$12/(I1362*10000)</f>
        <v>0.0157407407407407</v>
      </c>
      <c r="M1362" s="6">
        <f>I1362*10000*SUM(税费参数!$B$9:$B$10)/税费参数!$B$11</f>
        <v>202.5</v>
      </c>
    </row>
    <row r="1363" ht="21" customHeight="1" spans="1:13">
      <c r="A1363" s="5" t="s">
        <v>16</v>
      </c>
      <c r="B1363" s="6" t="s">
        <v>123</v>
      </c>
      <c r="C1363" s="6" t="s">
        <v>159</v>
      </c>
      <c r="D1363" s="6" t="s">
        <v>160</v>
      </c>
      <c r="E1363" s="6" t="s">
        <v>1073</v>
      </c>
      <c r="F1363" s="6" t="s">
        <v>1922</v>
      </c>
      <c r="G1363" s="6">
        <v>35.89</v>
      </c>
      <c r="H1363" s="6">
        <v>35.89</v>
      </c>
      <c r="I1363" s="6">
        <v>108</v>
      </c>
      <c r="J1363" s="6">
        <v>1650</v>
      </c>
      <c r="K1363" s="7">
        <f>(J1363-M1363)*税费参数!$B$12/(I1363*10000*(1+SUM(税费参数!$B$6:$B$8)))</f>
        <v>0.0129808985741189</v>
      </c>
      <c r="L1363" s="7">
        <f>J1363*税费参数!$B$12/(I1363*10000)</f>
        <v>0.0152777777777778</v>
      </c>
      <c r="M1363" s="6">
        <f>I1363*10000*SUM(税费参数!$B$9:$B$10)/税费参数!$B$11</f>
        <v>202.5</v>
      </c>
    </row>
    <row r="1364" ht="21" customHeight="1" spans="1:13">
      <c r="A1364" s="5" t="s">
        <v>16</v>
      </c>
      <c r="B1364" s="6" t="s">
        <v>123</v>
      </c>
      <c r="C1364" s="6" t="s">
        <v>159</v>
      </c>
      <c r="D1364" s="6" t="s">
        <v>160</v>
      </c>
      <c r="E1364" s="6" t="s">
        <v>1073</v>
      </c>
      <c r="F1364" s="6" t="s">
        <v>1923</v>
      </c>
      <c r="G1364" s="6">
        <v>35.89</v>
      </c>
      <c r="H1364" s="6">
        <v>37.23</v>
      </c>
      <c r="I1364" s="6">
        <v>108</v>
      </c>
      <c r="J1364" s="6">
        <v>1700</v>
      </c>
      <c r="K1364" s="7">
        <f>(J1364-M1364)*税费参数!$B$12/(I1364*10000*(1+SUM(税费参数!$B$6:$B$8)))</f>
        <v>0.0134292888530177</v>
      </c>
      <c r="L1364" s="7">
        <f>J1364*税费参数!$B$12/(I1364*10000)</f>
        <v>0.0157407407407407</v>
      </c>
      <c r="M1364" s="6">
        <f>I1364*10000*SUM(税费参数!$B$9:$B$10)/税费参数!$B$11</f>
        <v>202.5</v>
      </c>
    </row>
    <row r="1365" ht="21" customHeight="1" spans="1:13">
      <c r="A1365" s="5" t="s">
        <v>16</v>
      </c>
      <c r="B1365" s="6" t="s">
        <v>123</v>
      </c>
      <c r="C1365" s="6" t="s">
        <v>159</v>
      </c>
      <c r="D1365" s="6" t="s">
        <v>160</v>
      </c>
      <c r="E1365" s="6" t="s">
        <v>1073</v>
      </c>
      <c r="F1365" s="6" t="s">
        <v>1924</v>
      </c>
      <c r="G1365" s="6">
        <v>35.89</v>
      </c>
      <c r="H1365" s="6">
        <v>34.82</v>
      </c>
      <c r="I1365" s="6">
        <v>108</v>
      </c>
      <c r="J1365" s="6">
        <v>1800</v>
      </c>
      <c r="K1365" s="7">
        <f>(J1365-M1365)*税费参数!$B$12/(I1365*10000*(1+SUM(税费参数!$B$6:$B$8)))</f>
        <v>0.0143260694108152</v>
      </c>
      <c r="L1365" s="7">
        <f>J1365*税费参数!$B$12/(I1365*10000)</f>
        <v>0.0166666666666667</v>
      </c>
      <c r="M1365" s="6">
        <f>I1365*10000*SUM(税费参数!$B$9:$B$10)/税费参数!$B$11</f>
        <v>202.5</v>
      </c>
    </row>
    <row r="1366" ht="21" customHeight="1" spans="1:13">
      <c r="A1366" s="5" t="s">
        <v>16</v>
      </c>
      <c r="B1366" s="6" t="s">
        <v>123</v>
      </c>
      <c r="C1366" s="6" t="s">
        <v>159</v>
      </c>
      <c r="D1366" s="6" t="s">
        <v>160</v>
      </c>
      <c r="E1366" s="6" t="s">
        <v>1073</v>
      </c>
      <c r="F1366" s="6" t="s">
        <v>1925</v>
      </c>
      <c r="G1366" s="6">
        <v>35.89</v>
      </c>
      <c r="H1366" s="6">
        <v>39.48</v>
      </c>
      <c r="I1366" s="6">
        <v>108</v>
      </c>
      <c r="J1366" s="6">
        <v>1700</v>
      </c>
      <c r="K1366" s="7">
        <f>(J1366-M1366)*税费参数!$B$12/(I1366*10000*(1+SUM(税费参数!$B$6:$B$8)))</f>
        <v>0.0134292888530177</v>
      </c>
      <c r="L1366" s="7">
        <f>J1366*税费参数!$B$12/(I1366*10000)</f>
        <v>0.0157407407407407</v>
      </c>
      <c r="M1366" s="6">
        <f>I1366*10000*SUM(税费参数!$B$9:$B$10)/税费参数!$B$11</f>
        <v>202.5</v>
      </c>
    </row>
    <row r="1367" ht="21" customHeight="1" spans="1:13">
      <c r="A1367" s="5" t="s">
        <v>16</v>
      </c>
      <c r="B1367" s="6" t="s">
        <v>123</v>
      </c>
      <c r="C1367" s="6" t="s">
        <v>159</v>
      </c>
      <c r="D1367" s="6" t="s">
        <v>160</v>
      </c>
      <c r="E1367" s="6" t="s">
        <v>1073</v>
      </c>
      <c r="F1367" s="6" t="s">
        <v>1926</v>
      </c>
      <c r="G1367" s="6">
        <v>35.89</v>
      </c>
      <c r="H1367" s="6">
        <v>35</v>
      </c>
      <c r="I1367" s="6">
        <v>108</v>
      </c>
      <c r="J1367" s="6">
        <v>1680</v>
      </c>
      <c r="K1367" s="7">
        <f>(J1367-M1367)*税费参数!$B$12/(I1367*10000*(1+SUM(税费参数!$B$6:$B$8)))</f>
        <v>0.0132499327414582</v>
      </c>
      <c r="L1367" s="7">
        <f>J1367*税费参数!$B$12/(I1367*10000)</f>
        <v>0.0155555555555556</v>
      </c>
      <c r="M1367" s="6">
        <f>I1367*10000*SUM(税费参数!$B$9:$B$10)/税费参数!$B$11</f>
        <v>202.5</v>
      </c>
    </row>
    <row r="1368" ht="21" customHeight="1" spans="1:13">
      <c r="A1368" s="5" t="s">
        <v>16</v>
      </c>
      <c r="B1368" s="6" t="s">
        <v>123</v>
      </c>
      <c r="C1368" s="6" t="s">
        <v>159</v>
      </c>
      <c r="D1368" s="6" t="s">
        <v>160</v>
      </c>
      <c r="E1368" s="6" t="s">
        <v>1071</v>
      </c>
      <c r="F1368" s="6" t="s">
        <v>1913</v>
      </c>
      <c r="G1368" s="6">
        <v>38.04</v>
      </c>
      <c r="H1368" s="6">
        <v>37.13</v>
      </c>
      <c r="I1368" s="6">
        <v>94</v>
      </c>
      <c r="J1368" s="6">
        <v>1550</v>
      </c>
      <c r="K1368" s="7">
        <f>(J1368-M1368)*税费参数!$B$12/(I1368*10000*(1+SUM(税费参数!$B$6:$B$8)))</f>
        <v>0.0141543454742157</v>
      </c>
      <c r="L1368" s="7">
        <f>J1368*税费参数!$B$12/(I1368*10000)</f>
        <v>0.0164893617021277</v>
      </c>
      <c r="M1368" s="6">
        <f>I1368*10000*SUM(税费参数!$B$9:$B$10)/税费参数!$B$11</f>
        <v>176.25</v>
      </c>
    </row>
    <row r="1369" ht="21" customHeight="1" spans="1:13">
      <c r="A1369" s="5" t="s">
        <v>16</v>
      </c>
      <c r="B1369" s="6" t="s">
        <v>123</v>
      </c>
      <c r="C1369" s="6" t="s">
        <v>159</v>
      </c>
      <c r="D1369" s="6" t="s">
        <v>160</v>
      </c>
      <c r="E1369" s="6" t="s">
        <v>1071</v>
      </c>
      <c r="F1369" s="6" t="s">
        <v>1914</v>
      </c>
      <c r="G1369" s="6">
        <v>38.04</v>
      </c>
      <c r="H1369" s="6">
        <v>37.3</v>
      </c>
      <c r="I1369" s="6">
        <v>94</v>
      </c>
      <c r="J1369" s="6">
        <v>1900</v>
      </c>
      <c r="K1369" s="7">
        <f>(J1369-M1369)*税费参数!$B$12/(I1369*10000*(1+SUM(税费参数!$B$6:$B$8)))</f>
        <v>0.0177605481428056</v>
      </c>
      <c r="L1369" s="7">
        <f>J1369*税费参数!$B$12/(I1369*10000)</f>
        <v>0.0202127659574468</v>
      </c>
      <c r="M1369" s="6">
        <f>I1369*10000*SUM(税费参数!$B$9:$B$10)/税费参数!$B$11</f>
        <v>176.25</v>
      </c>
    </row>
    <row r="1370" ht="21" customHeight="1" spans="1:13">
      <c r="A1370" s="5" t="s">
        <v>16</v>
      </c>
      <c r="B1370" s="6" t="s">
        <v>123</v>
      </c>
      <c r="C1370" s="6" t="s">
        <v>159</v>
      </c>
      <c r="D1370" s="6" t="s">
        <v>160</v>
      </c>
      <c r="E1370" s="6" t="s">
        <v>1071</v>
      </c>
      <c r="F1370" s="6" t="s">
        <v>1915</v>
      </c>
      <c r="G1370" s="6">
        <v>38.04</v>
      </c>
      <c r="H1370" s="6">
        <v>38.64</v>
      </c>
      <c r="I1370" s="6">
        <v>94</v>
      </c>
      <c r="J1370" s="6">
        <v>2100</v>
      </c>
      <c r="K1370" s="7">
        <f>(J1370-M1370)*税费参数!$B$12/(I1370*10000*(1+SUM(税费参数!$B$6:$B$8)))</f>
        <v>0.0198212353819999</v>
      </c>
      <c r="L1370" s="7">
        <f>J1370*税费参数!$B$12/(I1370*10000)</f>
        <v>0.0223404255319149</v>
      </c>
      <c r="M1370" s="6">
        <f>I1370*10000*SUM(税费参数!$B$9:$B$10)/税费参数!$B$11</f>
        <v>176.25</v>
      </c>
    </row>
    <row r="1371" ht="21" customHeight="1" spans="1:13">
      <c r="A1371" s="5" t="s">
        <v>16</v>
      </c>
      <c r="B1371" s="6" t="s">
        <v>123</v>
      </c>
      <c r="C1371" s="6" t="s">
        <v>159</v>
      </c>
      <c r="D1371" s="6" t="s">
        <v>160</v>
      </c>
      <c r="E1371" s="6" t="s">
        <v>1071</v>
      </c>
      <c r="F1371" s="6" t="s">
        <v>1916</v>
      </c>
      <c r="G1371" s="6">
        <v>38.04</v>
      </c>
      <c r="H1371" s="6">
        <v>34.42</v>
      </c>
      <c r="I1371" s="6">
        <v>94</v>
      </c>
      <c r="J1371" s="6">
        <v>1700</v>
      </c>
      <c r="K1371" s="7">
        <f>(J1371-M1371)*税费参数!$B$12/(I1371*10000*(1+SUM(税费参数!$B$6:$B$8)))</f>
        <v>0.0156998609036114</v>
      </c>
      <c r="L1371" s="7">
        <f>J1371*税费参数!$B$12/(I1371*10000)</f>
        <v>0.0180851063829787</v>
      </c>
      <c r="M1371" s="6">
        <f>I1371*10000*SUM(税费参数!$B$9:$B$10)/税费参数!$B$11</f>
        <v>176.25</v>
      </c>
    </row>
    <row r="1372" ht="21" customHeight="1" spans="1:13">
      <c r="A1372" s="5" t="s">
        <v>16</v>
      </c>
      <c r="B1372" s="6" t="s">
        <v>123</v>
      </c>
      <c r="C1372" s="6" t="s">
        <v>159</v>
      </c>
      <c r="D1372" s="6" t="s">
        <v>160</v>
      </c>
      <c r="E1372" s="6" t="s">
        <v>1071</v>
      </c>
      <c r="F1372" s="6" t="s">
        <v>1917</v>
      </c>
      <c r="G1372" s="6">
        <v>38.04</v>
      </c>
      <c r="H1372" s="6">
        <v>38.1</v>
      </c>
      <c r="I1372" s="6">
        <v>94</v>
      </c>
      <c r="J1372" s="6">
        <v>1600</v>
      </c>
      <c r="K1372" s="7">
        <f>(J1372-M1372)*税费参数!$B$12/(I1372*10000*(1+SUM(税费参数!$B$6:$B$8)))</f>
        <v>0.0146695172840142</v>
      </c>
      <c r="L1372" s="7">
        <f>J1372*税费参数!$B$12/(I1372*10000)</f>
        <v>0.0170212765957447</v>
      </c>
      <c r="M1372" s="6">
        <f>I1372*10000*SUM(税费参数!$B$9:$B$10)/税费参数!$B$11</f>
        <v>176.25</v>
      </c>
    </row>
    <row r="1373" ht="21" customHeight="1" spans="1:13">
      <c r="A1373" s="5" t="s">
        <v>16</v>
      </c>
      <c r="B1373" s="6" t="s">
        <v>123</v>
      </c>
      <c r="C1373" s="6" t="s">
        <v>159</v>
      </c>
      <c r="D1373" s="6" t="s">
        <v>160</v>
      </c>
      <c r="E1373" s="6" t="s">
        <v>1071</v>
      </c>
      <c r="F1373" s="6" t="s">
        <v>1918</v>
      </c>
      <c r="G1373" s="6">
        <v>38.04</v>
      </c>
      <c r="H1373" s="6">
        <v>37.23</v>
      </c>
      <c r="I1373" s="6">
        <v>94</v>
      </c>
      <c r="J1373" s="6">
        <v>1600</v>
      </c>
      <c r="K1373" s="7">
        <f>(J1373-M1373)*税费参数!$B$12/(I1373*10000*(1+SUM(税费参数!$B$6:$B$8)))</f>
        <v>0.0146695172840142</v>
      </c>
      <c r="L1373" s="7">
        <f>J1373*税费参数!$B$12/(I1373*10000)</f>
        <v>0.0170212765957447</v>
      </c>
      <c r="M1373" s="6">
        <f>I1373*10000*SUM(税费参数!$B$9:$B$10)/税费参数!$B$11</f>
        <v>176.25</v>
      </c>
    </row>
    <row r="1374" ht="21" customHeight="1" spans="1:13">
      <c r="A1374" s="5" t="s">
        <v>16</v>
      </c>
      <c r="B1374" s="6" t="s">
        <v>123</v>
      </c>
      <c r="C1374" s="6" t="s">
        <v>159</v>
      </c>
      <c r="D1374" s="6" t="s">
        <v>160</v>
      </c>
      <c r="E1374" s="6" t="s">
        <v>1071</v>
      </c>
      <c r="F1374" s="6" t="s">
        <v>1919</v>
      </c>
      <c r="G1374" s="6">
        <v>38.04</v>
      </c>
      <c r="H1374" s="6">
        <v>39.12</v>
      </c>
      <c r="I1374" s="6">
        <v>94</v>
      </c>
      <c r="J1374" s="6">
        <v>1900</v>
      </c>
      <c r="K1374" s="7">
        <f>(J1374-M1374)*税费参数!$B$12/(I1374*10000*(1+SUM(税费参数!$B$6:$B$8)))</f>
        <v>0.0177605481428056</v>
      </c>
      <c r="L1374" s="7">
        <f>J1374*税费参数!$B$12/(I1374*10000)</f>
        <v>0.0202127659574468</v>
      </c>
      <c r="M1374" s="6">
        <f>I1374*10000*SUM(税费参数!$B$9:$B$10)/税费参数!$B$11</f>
        <v>176.25</v>
      </c>
    </row>
    <row r="1375" ht="21" customHeight="1" spans="1:13">
      <c r="A1375" s="5" t="s">
        <v>16</v>
      </c>
      <c r="B1375" s="6" t="s">
        <v>123</v>
      </c>
      <c r="C1375" s="6" t="s">
        <v>159</v>
      </c>
      <c r="D1375" s="6" t="s">
        <v>160</v>
      </c>
      <c r="E1375" s="6" t="s">
        <v>1071</v>
      </c>
      <c r="F1375" s="6" t="s">
        <v>1920</v>
      </c>
      <c r="G1375" s="6">
        <v>38.04</v>
      </c>
      <c r="H1375" s="6">
        <v>37.36</v>
      </c>
      <c r="I1375" s="6">
        <v>94</v>
      </c>
      <c r="J1375" s="6">
        <v>1700</v>
      </c>
      <c r="K1375" s="7">
        <f>(J1375-M1375)*税费参数!$B$12/(I1375*10000*(1+SUM(税费参数!$B$6:$B$8)))</f>
        <v>0.0156998609036114</v>
      </c>
      <c r="L1375" s="7">
        <f>J1375*税费参数!$B$12/(I1375*10000)</f>
        <v>0.0180851063829787</v>
      </c>
      <c r="M1375" s="6">
        <f>I1375*10000*SUM(税费参数!$B$9:$B$10)/税费参数!$B$11</f>
        <v>176.25</v>
      </c>
    </row>
    <row r="1376" ht="21" customHeight="1" spans="1:13">
      <c r="A1376" s="5" t="s">
        <v>16</v>
      </c>
      <c r="B1376" s="6" t="s">
        <v>123</v>
      </c>
      <c r="C1376" s="6" t="s">
        <v>159</v>
      </c>
      <c r="D1376" s="6" t="s">
        <v>160</v>
      </c>
      <c r="E1376" s="6" t="s">
        <v>1071</v>
      </c>
      <c r="F1376" s="6" t="s">
        <v>1927</v>
      </c>
      <c r="G1376" s="6">
        <v>38.04</v>
      </c>
      <c r="H1376" s="6">
        <v>39.78</v>
      </c>
      <c r="I1376" s="6">
        <v>94</v>
      </c>
      <c r="J1376" s="6">
        <v>1700</v>
      </c>
      <c r="K1376" s="7">
        <f>(J1376-M1376)*税费参数!$B$12/(I1376*10000*(1+SUM(税费参数!$B$6:$B$8)))</f>
        <v>0.0156998609036114</v>
      </c>
      <c r="L1376" s="7">
        <f>J1376*税费参数!$B$12/(I1376*10000)</f>
        <v>0.0180851063829787</v>
      </c>
      <c r="M1376" s="6">
        <f>I1376*10000*SUM(税费参数!$B$9:$B$10)/税费参数!$B$11</f>
        <v>176.25</v>
      </c>
    </row>
    <row r="1377" ht="21" customHeight="1" spans="1:13">
      <c r="A1377" s="5" t="s">
        <v>16</v>
      </c>
      <c r="B1377" s="6" t="s">
        <v>123</v>
      </c>
      <c r="C1377" s="6" t="s">
        <v>159</v>
      </c>
      <c r="D1377" s="6" t="s">
        <v>160</v>
      </c>
      <c r="E1377" s="6" t="s">
        <v>1071</v>
      </c>
      <c r="F1377" s="6" t="s">
        <v>1921</v>
      </c>
      <c r="G1377" s="6">
        <v>38.04</v>
      </c>
      <c r="H1377" s="6">
        <v>37.17</v>
      </c>
      <c r="I1377" s="6">
        <v>94</v>
      </c>
      <c r="J1377" s="6">
        <v>1700</v>
      </c>
      <c r="K1377" s="7">
        <f>(J1377-M1377)*税费参数!$B$12/(I1377*10000*(1+SUM(税费参数!$B$6:$B$8)))</f>
        <v>0.0156998609036114</v>
      </c>
      <c r="L1377" s="7">
        <f>J1377*税费参数!$B$12/(I1377*10000)</f>
        <v>0.0180851063829787</v>
      </c>
      <c r="M1377" s="6">
        <f>I1377*10000*SUM(税费参数!$B$9:$B$10)/税费参数!$B$11</f>
        <v>176.25</v>
      </c>
    </row>
    <row r="1378" ht="21" customHeight="1" spans="1:13">
      <c r="A1378" s="5" t="s">
        <v>16</v>
      </c>
      <c r="B1378" s="6" t="s">
        <v>123</v>
      </c>
      <c r="C1378" s="6" t="s">
        <v>159</v>
      </c>
      <c r="D1378" s="6" t="s">
        <v>160</v>
      </c>
      <c r="E1378" s="6" t="s">
        <v>1071</v>
      </c>
      <c r="F1378" s="6" t="s">
        <v>1922</v>
      </c>
      <c r="G1378" s="6">
        <v>38.04</v>
      </c>
      <c r="H1378" s="6">
        <v>35.89</v>
      </c>
      <c r="I1378" s="6">
        <v>94</v>
      </c>
      <c r="J1378" s="6">
        <v>1650</v>
      </c>
      <c r="K1378" s="7">
        <f>(J1378-M1378)*税费参数!$B$12/(I1378*10000*(1+SUM(税费参数!$B$6:$B$8)))</f>
        <v>0.0151846890938128</v>
      </c>
      <c r="L1378" s="7">
        <f>J1378*税费参数!$B$12/(I1378*10000)</f>
        <v>0.0175531914893617</v>
      </c>
      <c r="M1378" s="6">
        <f>I1378*10000*SUM(税费参数!$B$9:$B$10)/税费参数!$B$11</f>
        <v>176.25</v>
      </c>
    </row>
    <row r="1379" ht="21" customHeight="1" spans="1:13">
      <c r="A1379" s="5" t="s">
        <v>16</v>
      </c>
      <c r="B1379" s="6" t="s">
        <v>123</v>
      </c>
      <c r="C1379" s="6" t="s">
        <v>159</v>
      </c>
      <c r="D1379" s="6" t="s">
        <v>160</v>
      </c>
      <c r="E1379" s="6" t="s">
        <v>1071</v>
      </c>
      <c r="F1379" s="6" t="s">
        <v>1923</v>
      </c>
      <c r="G1379" s="6">
        <v>38.04</v>
      </c>
      <c r="H1379" s="6">
        <v>37.23</v>
      </c>
      <c r="I1379" s="6">
        <v>94</v>
      </c>
      <c r="J1379" s="6">
        <v>1700</v>
      </c>
      <c r="K1379" s="7">
        <f>(J1379-M1379)*税费参数!$B$12/(I1379*10000*(1+SUM(税费参数!$B$6:$B$8)))</f>
        <v>0.0156998609036114</v>
      </c>
      <c r="L1379" s="7">
        <f>J1379*税费参数!$B$12/(I1379*10000)</f>
        <v>0.0180851063829787</v>
      </c>
      <c r="M1379" s="6">
        <f>I1379*10000*SUM(税费参数!$B$9:$B$10)/税费参数!$B$11</f>
        <v>176.25</v>
      </c>
    </row>
    <row r="1380" ht="21" customHeight="1" spans="1:13">
      <c r="A1380" s="5" t="s">
        <v>16</v>
      </c>
      <c r="B1380" s="6" t="s">
        <v>123</v>
      </c>
      <c r="C1380" s="6" t="s">
        <v>159</v>
      </c>
      <c r="D1380" s="6" t="s">
        <v>160</v>
      </c>
      <c r="E1380" s="6" t="s">
        <v>1071</v>
      </c>
      <c r="F1380" s="6" t="s">
        <v>1924</v>
      </c>
      <c r="G1380" s="6">
        <v>38.04</v>
      </c>
      <c r="H1380" s="6">
        <v>34.82</v>
      </c>
      <c r="I1380" s="6">
        <v>94</v>
      </c>
      <c r="J1380" s="6">
        <v>1800</v>
      </c>
      <c r="K1380" s="7">
        <f>(J1380-M1380)*税费参数!$B$12/(I1380*10000*(1+SUM(税费参数!$B$6:$B$8)))</f>
        <v>0.0167302045232085</v>
      </c>
      <c r="L1380" s="7">
        <f>J1380*税费参数!$B$12/(I1380*10000)</f>
        <v>0.0191489361702128</v>
      </c>
      <c r="M1380" s="6">
        <f>I1380*10000*SUM(税费参数!$B$9:$B$10)/税费参数!$B$11</f>
        <v>176.25</v>
      </c>
    </row>
    <row r="1381" ht="21" customHeight="1" spans="1:13">
      <c r="A1381" s="5" t="s">
        <v>16</v>
      </c>
      <c r="B1381" s="6" t="s">
        <v>123</v>
      </c>
      <c r="C1381" s="6" t="s">
        <v>159</v>
      </c>
      <c r="D1381" s="6" t="s">
        <v>160</v>
      </c>
      <c r="E1381" s="6" t="s">
        <v>1071</v>
      </c>
      <c r="F1381" s="6" t="s">
        <v>1925</v>
      </c>
      <c r="G1381" s="6">
        <v>38.04</v>
      </c>
      <c r="H1381" s="6">
        <v>39.48</v>
      </c>
      <c r="I1381" s="6">
        <v>94</v>
      </c>
      <c r="J1381" s="6">
        <v>1700</v>
      </c>
      <c r="K1381" s="7">
        <f>(J1381-M1381)*税费参数!$B$12/(I1381*10000*(1+SUM(税费参数!$B$6:$B$8)))</f>
        <v>0.0156998609036114</v>
      </c>
      <c r="L1381" s="7">
        <f>J1381*税费参数!$B$12/(I1381*10000)</f>
        <v>0.0180851063829787</v>
      </c>
      <c r="M1381" s="6">
        <f>I1381*10000*SUM(税费参数!$B$9:$B$10)/税费参数!$B$11</f>
        <v>176.25</v>
      </c>
    </row>
    <row r="1382" ht="21" customHeight="1" spans="1:13">
      <c r="A1382" s="5" t="s">
        <v>16</v>
      </c>
      <c r="B1382" s="6" t="s">
        <v>123</v>
      </c>
      <c r="C1382" s="6" t="s">
        <v>159</v>
      </c>
      <c r="D1382" s="6" t="s">
        <v>160</v>
      </c>
      <c r="E1382" s="6" t="s">
        <v>1071</v>
      </c>
      <c r="F1382" s="6" t="s">
        <v>1926</v>
      </c>
      <c r="G1382" s="6">
        <v>38.04</v>
      </c>
      <c r="H1382" s="6">
        <v>35</v>
      </c>
      <c r="I1382" s="6">
        <v>94</v>
      </c>
      <c r="J1382" s="6">
        <v>1680</v>
      </c>
      <c r="K1382" s="7">
        <f>(J1382-M1382)*税费参数!$B$12/(I1382*10000*(1+SUM(税费参数!$B$6:$B$8)))</f>
        <v>0.0154937921796919</v>
      </c>
      <c r="L1382" s="7">
        <f>J1382*税费参数!$B$12/(I1382*10000)</f>
        <v>0.0178723404255319</v>
      </c>
      <c r="M1382" s="6">
        <f>I1382*10000*SUM(税费参数!$B$9:$B$10)/税费参数!$B$11</f>
        <v>176.25</v>
      </c>
    </row>
    <row r="1383" ht="21" customHeight="1" spans="1:13">
      <c r="A1383" s="5" t="s">
        <v>16</v>
      </c>
      <c r="B1383" s="6" t="s">
        <v>123</v>
      </c>
      <c r="C1383" s="6" t="s">
        <v>152</v>
      </c>
      <c r="D1383" s="6" t="s">
        <v>160</v>
      </c>
      <c r="E1383" s="6" t="s">
        <v>1039</v>
      </c>
      <c r="F1383" s="6" t="s">
        <v>1928</v>
      </c>
      <c r="G1383" s="6">
        <v>40.35</v>
      </c>
      <c r="H1383" s="6">
        <v>40.54</v>
      </c>
      <c r="I1383" s="6">
        <v>89</v>
      </c>
      <c r="J1383" s="6">
        <v>2500</v>
      </c>
      <c r="K1383" s="7">
        <f>(J1383-M1383)*税费参数!$B$12/(I1383*10000*(1+SUM(税费参数!$B$6:$B$8)))</f>
        <v>0.0253897216856653</v>
      </c>
      <c r="L1383" s="7">
        <f>J1383*税费参数!$B$12/(I1383*10000)</f>
        <v>0.0280898876404494</v>
      </c>
      <c r="M1383" s="6">
        <f>I1383*10000*SUM(税费参数!$B$9:$B$10)/税费参数!$B$11</f>
        <v>166.875</v>
      </c>
    </row>
    <row r="1384" ht="21" customHeight="1" spans="1:13">
      <c r="A1384" s="5" t="s">
        <v>16</v>
      </c>
      <c r="B1384" s="6" t="s">
        <v>123</v>
      </c>
      <c r="C1384" s="6" t="s">
        <v>152</v>
      </c>
      <c r="D1384" s="6" t="s">
        <v>160</v>
      </c>
      <c r="E1384" s="6" t="s">
        <v>1039</v>
      </c>
      <c r="F1384" s="6" t="s">
        <v>1929</v>
      </c>
      <c r="G1384" s="6">
        <v>40.35</v>
      </c>
      <c r="H1384" s="6">
        <v>40.02</v>
      </c>
      <c r="I1384" s="6">
        <v>89</v>
      </c>
      <c r="J1384" s="6">
        <v>2000</v>
      </c>
      <c r="K1384" s="7">
        <f>(J1384-M1384)*税费参数!$B$12/(I1384*10000*(1+SUM(税费参数!$B$6:$B$8)))</f>
        <v>0.0199485812226243</v>
      </c>
      <c r="L1384" s="7">
        <f>J1384*税费参数!$B$12/(I1384*10000)</f>
        <v>0.0224719101123595</v>
      </c>
      <c r="M1384" s="6">
        <f>I1384*10000*SUM(税费参数!$B$9:$B$10)/税费参数!$B$11</f>
        <v>166.875</v>
      </c>
    </row>
    <row r="1385" ht="21" customHeight="1" spans="1:13">
      <c r="A1385" s="5" t="s">
        <v>16</v>
      </c>
      <c r="B1385" s="6" t="s">
        <v>123</v>
      </c>
      <c r="C1385" s="6" t="s">
        <v>152</v>
      </c>
      <c r="D1385" s="6" t="s">
        <v>160</v>
      </c>
      <c r="E1385" s="6" t="s">
        <v>1039</v>
      </c>
      <c r="F1385" s="6" t="s">
        <v>1930</v>
      </c>
      <c r="G1385" s="6">
        <v>40.35</v>
      </c>
      <c r="H1385" s="6">
        <v>40.34</v>
      </c>
      <c r="I1385" s="6">
        <v>89</v>
      </c>
      <c r="J1385" s="6">
        <v>1800</v>
      </c>
      <c r="K1385" s="7">
        <f>(J1385-M1385)*税费参数!$B$12/(I1385*10000*(1+SUM(税费参数!$B$6:$B$8)))</f>
        <v>0.0177721250374078</v>
      </c>
      <c r="L1385" s="7">
        <f>J1385*税费参数!$B$12/(I1385*10000)</f>
        <v>0.0202247191011236</v>
      </c>
      <c r="M1385" s="6">
        <f>I1385*10000*SUM(税费参数!$B$9:$B$10)/税费参数!$B$11</f>
        <v>166.875</v>
      </c>
    </row>
    <row r="1386" ht="21" customHeight="1" spans="1:13">
      <c r="A1386" s="5" t="s">
        <v>16</v>
      </c>
      <c r="B1386" s="6" t="s">
        <v>123</v>
      </c>
      <c r="C1386" s="6" t="s">
        <v>152</v>
      </c>
      <c r="D1386" s="6" t="s">
        <v>160</v>
      </c>
      <c r="E1386" s="6" t="s">
        <v>1039</v>
      </c>
      <c r="F1386" s="6" t="s">
        <v>1931</v>
      </c>
      <c r="G1386" s="6">
        <v>40.35</v>
      </c>
      <c r="H1386" s="6">
        <v>40.02</v>
      </c>
      <c r="I1386" s="6">
        <v>89</v>
      </c>
      <c r="J1386" s="6">
        <v>1600</v>
      </c>
      <c r="K1386" s="7">
        <f>(J1386-M1386)*税费参数!$B$12/(I1386*10000*(1+SUM(税费参数!$B$6:$B$8)))</f>
        <v>0.0155956688521914</v>
      </c>
      <c r="L1386" s="7">
        <f>J1386*税费参数!$B$12/(I1386*10000)</f>
        <v>0.0179775280898876</v>
      </c>
      <c r="M1386" s="6">
        <f>I1386*10000*SUM(税费参数!$B$9:$B$10)/税费参数!$B$11</f>
        <v>166.875</v>
      </c>
    </row>
    <row r="1387" ht="21" customHeight="1" spans="1:13">
      <c r="A1387" s="5" t="s">
        <v>16</v>
      </c>
      <c r="B1387" s="6" t="s">
        <v>123</v>
      </c>
      <c r="C1387" s="6" t="s">
        <v>152</v>
      </c>
      <c r="D1387" s="6" t="s">
        <v>160</v>
      </c>
      <c r="E1387" s="6" t="s">
        <v>1039</v>
      </c>
      <c r="F1387" s="6" t="s">
        <v>1932</v>
      </c>
      <c r="G1387" s="6">
        <v>40.35</v>
      </c>
      <c r="H1387" s="6">
        <v>40.02</v>
      </c>
      <c r="I1387" s="6">
        <v>89</v>
      </c>
      <c r="J1387" s="6">
        <v>1800</v>
      </c>
      <c r="K1387" s="7">
        <f>(J1387-M1387)*税费参数!$B$12/(I1387*10000*(1+SUM(税费参数!$B$6:$B$8)))</f>
        <v>0.0177721250374078</v>
      </c>
      <c r="L1387" s="7">
        <f>J1387*税费参数!$B$12/(I1387*10000)</f>
        <v>0.0202247191011236</v>
      </c>
      <c r="M1387" s="6">
        <f>I1387*10000*SUM(税费参数!$B$9:$B$10)/税费参数!$B$11</f>
        <v>166.875</v>
      </c>
    </row>
    <row r="1388" ht="21" customHeight="1" spans="1:13">
      <c r="A1388" s="5" t="s">
        <v>16</v>
      </c>
      <c r="B1388" s="6" t="s">
        <v>123</v>
      </c>
      <c r="C1388" s="6" t="s">
        <v>152</v>
      </c>
      <c r="D1388" s="6" t="s">
        <v>160</v>
      </c>
      <c r="E1388" s="6" t="s">
        <v>1039</v>
      </c>
      <c r="F1388" s="6" t="s">
        <v>1933</v>
      </c>
      <c r="G1388" s="6">
        <v>40.35</v>
      </c>
      <c r="H1388" s="6">
        <v>41.29</v>
      </c>
      <c r="I1388" s="6">
        <v>89</v>
      </c>
      <c r="J1388" s="6">
        <v>1900</v>
      </c>
      <c r="K1388" s="7">
        <f>(J1388-M1388)*税费参数!$B$12/(I1388*10000*(1+SUM(税费参数!$B$6:$B$8)))</f>
        <v>0.018860353130016</v>
      </c>
      <c r="L1388" s="7">
        <f>J1388*税费参数!$B$12/(I1388*10000)</f>
        <v>0.0213483146067416</v>
      </c>
      <c r="M1388" s="6">
        <f>I1388*10000*SUM(税费参数!$B$9:$B$10)/税费参数!$B$11</f>
        <v>166.875</v>
      </c>
    </row>
    <row r="1389" ht="21" customHeight="1" spans="1:13">
      <c r="A1389" s="5" t="s">
        <v>16</v>
      </c>
      <c r="B1389" s="6" t="s">
        <v>123</v>
      </c>
      <c r="C1389" s="6" t="s">
        <v>152</v>
      </c>
      <c r="D1389" s="6" t="s">
        <v>160</v>
      </c>
      <c r="E1389" s="6" t="s">
        <v>1047</v>
      </c>
      <c r="F1389" s="6" t="s">
        <v>1928</v>
      </c>
      <c r="G1389" s="6">
        <v>40.1</v>
      </c>
      <c r="H1389" s="6">
        <v>40.54</v>
      </c>
      <c r="I1389" s="6">
        <v>96</v>
      </c>
      <c r="J1389" s="6">
        <v>2500</v>
      </c>
      <c r="K1389" s="7">
        <f>(J1389-M1389)*税费参数!$B$12/(I1389*10000*(1+SUM(税费参数!$B$6:$B$8)))</f>
        <v>0.0234059725585149</v>
      </c>
      <c r="L1389" s="7">
        <f>J1389*税费参数!$B$12/(I1389*10000)</f>
        <v>0.0260416666666667</v>
      </c>
      <c r="M1389" s="6">
        <f>I1389*10000*SUM(税费参数!$B$9:$B$10)/税费参数!$B$11</f>
        <v>180</v>
      </c>
    </row>
    <row r="1390" ht="21" customHeight="1" spans="1:13">
      <c r="A1390" s="5" t="s">
        <v>16</v>
      </c>
      <c r="B1390" s="6" t="s">
        <v>123</v>
      </c>
      <c r="C1390" s="6" t="s">
        <v>152</v>
      </c>
      <c r="D1390" s="6" t="s">
        <v>160</v>
      </c>
      <c r="E1390" s="6" t="s">
        <v>1047</v>
      </c>
      <c r="F1390" s="6" t="s">
        <v>1929</v>
      </c>
      <c r="G1390" s="6">
        <v>40.1</v>
      </c>
      <c r="H1390" s="6">
        <v>40.02</v>
      </c>
      <c r="I1390" s="6">
        <v>96</v>
      </c>
      <c r="J1390" s="6">
        <v>2000</v>
      </c>
      <c r="K1390" s="7">
        <f>(J1390-M1390)*税费参数!$B$12/(I1390*10000*(1+SUM(税费参数!$B$6:$B$8)))</f>
        <v>0.018361581920904</v>
      </c>
      <c r="L1390" s="7">
        <f>J1390*税费参数!$B$12/(I1390*10000)</f>
        <v>0.0208333333333333</v>
      </c>
      <c r="M1390" s="6">
        <f>I1390*10000*SUM(税费参数!$B$9:$B$10)/税费参数!$B$11</f>
        <v>180</v>
      </c>
    </row>
    <row r="1391" ht="21" customHeight="1" spans="1:13">
      <c r="A1391" s="5" t="s">
        <v>16</v>
      </c>
      <c r="B1391" s="6" t="s">
        <v>123</v>
      </c>
      <c r="C1391" s="6" t="s">
        <v>152</v>
      </c>
      <c r="D1391" s="6" t="s">
        <v>160</v>
      </c>
      <c r="E1391" s="6" t="s">
        <v>1047</v>
      </c>
      <c r="F1391" s="6" t="s">
        <v>1930</v>
      </c>
      <c r="G1391" s="6">
        <v>40.1</v>
      </c>
      <c r="H1391" s="6">
        <v>40.34</v>
      </c>
      <c r="I1391" s="6">
        <v>96</v>
      </c>
      <c r="J1391" s="6">
        <v>1800</v>
      </c>
      <c r="K1391" s="7">
        <f>(J1391-M1391)*税费参数!$B$12/(I1391*10000*(1+SUM(税费参数!$B$6:$B$8)))</f>
        <v>0.0163438256658596</v>
      </c>
      <c r="L1391" s="7">
        <f>J1391*税费参数!$B$12/(I1391*10000)</f>
        <v>0.01875</v>
      </c>
      <c r="M1391" s="6">
        <f>I1391*10000*SUM(税费参数!$B$9:$B$10)/税费参数!$B$11</f>
        <v>180</v>
      </c>
    </row>
    <row r="1392" ht="21" customHeight="1" spans="1:13">
      <c r="A1392" s="5" t="s">
        <v>16</v>
      </c>
      <c r="B1392" s="6" t="s">
        <v>123</v>
      </c>
      <c r="C1392" s="6" t="s">
        <v>152</v>
      </c>
      <c r="D1392" s="6" t="s">
        <v>160</v>
      </c>
      <c r="E1392" s="6" t="s">
        <v>1047</v>
      </c>
      <c r="F1392" s="6" t="s">
        <v>1931</v>
      </c>
      <c r="G1392" s="6">
        <v>40.1</v>
      </c>
      <c r="H1392" s="6">
        <v>40.02</v>
      </c>
      <c r="I1392" s="6">
        <v>96</v>
      </c>
      <c r="J1392" s="6">
        <v>1600</v>
      </c>
      <c r="K1392" s="7">
        <f>(J1392-M1392)*税费参数!$B$12/(I1392*10000*(1+SUM(税费参数!$B$6:$B$8)))</f>
        <v>0.0143260694108152</v>
      </c>
      <c r="L1392" s="7">
        <f>J1392*税费参数!$B$12/(I1392*10000)</f>
        <v>0.0166666666666667</v>
      </c>
      <c r="M1392" s="6">
        <f>I1392*10000*SUM(税费参数!$B$9:$B$10)/税费参数!$B$11</f>
        <v>180</v>
      </c>
    </row>
    <row r="1393" ht="21" customHeight="1" spans="1:13">
      <c r="A1393" s="5" t="s">
        <v>16</v>
      </c>
      <c r="B1393" s="6" t="s">
        <v>123</v>
      </c>
      <c r="C1393" s="6" t="s">
        <v>152</v>
      </c>
      <c r="D1393" s="6" t="s">
        <v>160</v>
      </c>
      <c r="E1393" s="6" t="s">
        <v>1047</v>
      </c>
      <c r="F1393" s="6" t="s">
        <v>1932</v>
      </c>
      <c r="G1393" s="6">
        <v>40.1</v>
      </c>
      <c r="H1393" s="6">
        <v>40.02</v>
      </c>
      <c r="I1393" s="6">
        <v>96</v>
      </c>
      <c r="J1393" s="6">
        <v>1800</v>
      </c>
      <c r="K1393" s="7">
        <f>(J1393-M1393)*税费参数!$B$12/(I1393*10000*(1+SUM(税费参数!$B$6:$B$8)))</f>
        <v>0.0163438256658596</v>
      </c>
      <c r="L1393" s="7">
        <f>J1393*税费参数!$B$12/(I1393*10000)</f>
        <v>0.01875</v>
      </c>
      <c r="M1393" s="6">
        <f>I1393*10000*SUM(税费参数!$B$9:$B$10)/税费参数!$B$11</f>
        <v>180</v>
      </c>
    </row>
    <row r="1394" ht="21" customHeight="1" spans="1:13">
      <c r="A1394" s="5" t="s">
        <v>16</v>
      </c>
      <c r="B1394" s="6" t="s">
        <v>123</v>
      </c>
      <c r="C1394" s="6" t="s">
        <v>152</v>
      </c>
      <c r="D1394" s="6" t="s">
        <v>160</v>
      </c>
      <c r="E1394" s="6" t="s">
        <v>1047</v>
      </c>
      <c r="F1394" s="6" t="s">
        <v>1933</v>
      </c>
      <c r="G1394" s="6">
        <v>40.1</v>
      </c>
      <c r="H1394" s="6">
        <v>41.29</v>
      </c>
      <c r="I1394" s="6">
        <v>96</v>
      </c>
      <c r="J1394" s="6">
        <v>1900</v>
      </c>
      <c r="K1394" s="7">
        <f>(J1394-M1394)*税费参数!$B$12/(I1394*10000*(1+SUM(税费参数!$B$6:$B$8)))</f>
        <v>0.0173527037933818</v>
      </c>
      <c r="L1394" s="7">
        <f>J1394*税费参数!$B$12/(I1394*10000)</f>
        <v>0.0197916666666667</v>
      </c>
      <c r="M1394" s="6">
        <f>I1394*10000*SUM(税费参数!$B$9:$B$10)/税费参数!$B$11</f>
        <v>180</v>
      </c>
    </row>
    <row r="1395" ht="21" customHeight="1" spans="1:13">
      <c r="A1395" s="5" t="s">
        <v>16</v>
      </c>
      <c r="B1395" s="6" t="s">
        <v>123</v>
      </c>
      <c r="C1395" s="6" t="s">
        <v>152</v>
      </c>
      <c r="D1395" s="6" t="s">
        <v>160</v>
      </c>
      <c r="E1395" s="6" t="s">
        <v>1045</v>
      </c>
      <c r="F1395" s="6" t="s">
        <v>1928</v>
      </c>
      <c r="G1395" s="6">
        <v>40.31</v>
      </c>
      <c r="H1395" s="6">
        <v>40.54</v>
      </c>
      <c r="I1395" s="6">
        <v>103</v>
      </c>
      <c r="J1395" s="6">
        <v>2500</v>
      </c>
      <c r="K1395" s="7">
        <f>(J1395-M1395)*税费参数!$B$12/(I1395*10000*(1+SUM(税费参数!$B$6:$B$8)))</f>
        <v>0.0216918592350549</v>
      </c>
      <c r="L1395" s="7">
        <f>J1395*税费参数!$B$12/(I1395*10000)</f>
        <v>0.0242718446601942</v>
      </c>
      <c r="M1395" s="6">
        <f>I1395*10000*SUM(税费参数!$B$9:$B$10)/税费参数!$B$11</f>
        <v>193.125</v>
      </c>
    </row>
    <row r="1396" ht="21" customHeight="1" spans="1:13">
      <c r="A1396" s="5" t="s">
        <v>16</v>
      </c>
      <c r="B1396" s="6" t="s">
        <v>123</v>
      </c>
      <c r="C1396" s="6" t="s">
        <v>152</v>
      </c>
      <c r="D1396" s="6" t="s">
        <v>160</v>
      </c>
      <c r="E1396" s="6" t="s">
        <v>1045</v>
      </c>
      <c r="F1396" s="6" t="s">
        <v>1929</v>
      </c>
      <c r="G1396" s="6">
        <v>40.31</v>
      </c>
      <c r="H1396" s="6">
        <v>40.02</v>
      </c>
      <c r="I1396" s="6">
        <v>103</v>
      </c>
      <c r="J1396" s="6">
        <v>2000</v>
      </c>
      <c r="K1396" s="7">
        <f>(J1396-M1396)*税费参数!$B$12/(I1396*10000*(1+SUM(税费参数!$B$6:$B$8)))</f>
        <v>0.0169902912621359</v>
      </c>
      <c r="L1396" s="7">
        <f>J1396*税费参数!$B$12/(I1396*10000)</f>
        <v>0.0194174757281553</v>
      </c>
      <c r="M1396" s="6">
        <f>I1396*10000*SUM(税费参数!$B$9:$B$10)/税费参数!$B$11</f>
        <v>193.125</v>
      </c>
    </row>
    <row r="1397" ht="21" customHeight="1" spans="1:13">
      <c r="A1397" s="5" t="s">
        <v>16</v>
      </c>
      <c r="B1397" s="6" t="s">
        <v>123</v>
      </c>
      <c r="C1397" s="6" t="s">
        <v>152</v>
      </c>
      <c r="D1397" s="6" t="s">
        <v>160</v>
      </c>
      <c r="E1397" s="6" t="s">
        <v>1045</v>
      </c>
      <c r="F1397" s="6" t="s">
        <v>1930</v>
      </c>
      <c r="G1397" s="6">
        <v>40.31</v>
      </c>
      <c r="H1397" s="6">
        <v>40.34</v>
      </c>
      <c r="I1397" s="6">
        <v>103</v>
      </c>
      <c r="J1397" s="6">
        <v>1800</v>
      </c>
      <c r="K1397" s="7">
        <f>(J1397-M1397)*税费参数!$B$12/(I1397*10000*(1+SUM(税费参数!$B$6:$B$8)))</f>
        <v>0.0151096640729683</v>
      </c>
      <c r="L1397" s="7">
        <f>J1397*税费参数!$B$12/(I1397*10000)</f>
        <v>0.0174757281553398</v>
      </c>
      <c r="M1397" s="6">
        <f>I1397*10000*SUM(税费参数!$B$9:$B$10)/税费参数!$B$11</f>
        <v>193.125</v>
      </c>
    </row>
    <row r="1398" ht="21" customHeight="1" spans="1:13">
      <c r="A1398" s="5" t="s">
        <v>16</v>
      </c>
      <c r="B1398" s="6" t="s">
        <v>123</v>
      </c>
      <c r="C1398" s="6" t="s">
        <v>152</v>
      </c>
      <c r="D1398" s="6" t="s">
        <v>160</v>
      </c>
      <c r="E1398" s="6" t="s">
        <v>1045</v>
      </c>
      <c r="F1398" s="6" t="s">
        <v>1931</v>
      </c>
      <c r="G1398" s="6">
        <v>40.31</v>
      </c>
      <c r="H1398" s="6">
        <v>40.02</v>
      </c>
      <c r="I1398" s="6">
        <v>103</v>
      </c>
      <c r="J1398" s="6">
        <v>1600</v>
      </c>
      <c r="K1398" s="7">
        <f>(J1398-M1398)*税费参数!$B$12/(I1398*10000*(1+SUM(税费参数!$B$6:$B$8)))</f>
        <v>0.0132290368838007</v>
      </c>
      <c r="L1398" s="7">
        <f>J1398*税费参数!$B$12/(I1398*10000)</f>
        <v>0.0155339805825243</v>
      </c>
      <c r="M1398" s="6">
        <f>I1398*10000*SUM(税费参数!$B$9:$B$10)/税费参数!$B$11</f>
        <v>193.125</v>
      </c>
    </row>
    <row r="1399" ht="21" customHeight="1" spans="1:13">
      <c r="A1399" s="5" t="s">
        <v>16</v>
      </c>
      <c r="B1399" s="6" t="s">
        <v>123</v>
      </c>
      <c r="C1399" s="6" t="s">
        <v>152</v>
      </c>
      <c r="D1399" s="6" t="s">
        <v>160</v>
      </c>
      <c r="E1399" s="6" t="s">
        <v>1045</v>
      </c>
      <c r="F1399" s="6" t="s">
        <v>1932</v>
      </c>
      <c r="G1399" s="6">
        <v>40.31</v>
      </c>
      <c r="H1399" s="6">
        <v>40.02</v>
      </c>
      <c r="I1399" s="6">
        <v>103</v>
      </c>
      <c r="J1399" s="6">
        <v>1800</v>
      </c>
      <c r="K1399" s="7">
        <f>(J1399-M1399)*税费参数!$B$12/(I1399*10000*(1+SUM(税费参数!$B$6:$B$8)))</f>
        <v>0.0151096640729683</v>
      </c>
      <c r="L1399" s="7">
        <f>J1399*税费参数!$B$12/(I1399*10000)</f>
        <v>0.0174757281553398</v>
      </c>
      <c r="M1399" s="6">
        <f>I1399*10000*SUM(税费参数!$B$9:$B$10)/税费参数!$B$11</f>
        <v>193.125</v>
      </c>
    </row>
    <row r="1400" ht="21" customHeight="1" spans="1:13">
      <c r="A1400" s="5" t="s">
        <v>16</v>
      </c>
      <c r="B1400" s="6" t="s">
        <v>123</v>
      </c>
      <c r="C1400" s="6" t="s">
        <v>152</v>
      </c>
      <c r="D1400" s="6" t="s">
        <v>160</v>
      </c>
      <c r="E1400" s="6" t="s">
        <v>1045</v>
      </c>
      <c r="F1400" s="6" t="s">
        <v>1933</v>
      </c>
      <c r="G1400" s="6">
        <v>40.31</v>
      </c>
      <c r="H1400" s="6">
        <v>41.29</v>
      </c>
      <c r="I1400" s="6">
        <v>103</v>
      </c>
      <c r="J1400" s="6">
        <v>1900</v>
      </c>
      <c r="K1400" s="7">
        <f>(J1400-M1400)*税费参数!$B$12/(I1400*10000*(1+SUM(税费参数!$B$6:$B$8)))</f>
        <v>0.0160499776675521</v>
      </c>
      <c r="L1400" s="7">
        <f>J1400*税费参数!$B$12/(I1400*10000)</f>
        <v>0.0184466019417476</v>
      </c>
      <c r="M1400" s="6">
        <f>I1400*10000*SUM(税费参数!$B$9:$B$10)/税费参数!$B$11</f>
        <v>193.125</v>
      </c>
    </row>
    <row r="1401" ht="21" customHeight="1" spans="1:13">
      <c r="A1401" s="5" t="s">
        <v>16</v>
      </c>
      <c r="B1401" s="6" t="s">
        <v>123</v>
      </c>
      <c r="C1401" s="6" t="s">
        <v>152</v>
      </c>
      <c r="D1401" s="6" t="s">
        <v>160</v>
      </c>
      <c r="E1401" s="6" t="s">
        <v>1043</v>
      </c>
      <c r="F1401" s="6" t="s">
        <v>1928</v>
      </c>
      <c r="G1401" s="6">
        <v>40.12</v>
      </c>
      <c r="H1401" s="6">
        <v>40.54</v>
      </c>
      <c r="I1401" s="6">
        <v>116</v>
      </c>
      <c r="J1401" s="6">
        <v>2500</v>
      </c>
      <c r="K1401" s="7">
        <f>(J1401-M1401)*税费参数!$B$12/(I1401*10000*(1+SUM(税费参数!$B$6:$B$8)))</f>
        <v>0.0190573599398848</v>
      </c>
      <c r="L1401" s="7">
        <f>J1401*税费参数!$B$12/(I1401*10000)</f>
        <v>0.021551724137931</v>
      </c>
      <c r="M1401" s="6">
        <f>I1401*10000*SUM(税费参数!$B$9:$B$10)/税费参数!$B$11</f>
        <v>217.5</v>
      </c>
    </row>
    <row r="1402" ht="21" customHeight="1" spans="1:13">
      <c r="A1402" s="5" t="s">
        <v>16</v>
      </c>
      <c r="B1402" s="6" t="s">
        <v>123</v>
      </c>
      <c r="C1402" s="6" t="s">
        <v>152</v>
      </c>
      <c r="D1402" s="6" t="s">
        <v>160</v>
      </c>
      <c r="E1402" s="6" t="s">
        <v>1043</v>
      </c>
      <c r="F1402" s="6" t="s">
        <v>1929</v>
      </c>
      <c r="G1402" s="6">
        <v>40.12</v>
      </c>
      <c r="H1402" s="6">
        <v>40.02</v>
      </c>
      <c r="I1402" s="6">
        <v>116</v>
      </c>
      <c r="J1402" s="6">
        <v>2000</v>
      </c>
      <c r="K1402" s="7">
        <f>(J1402-M1402)*税费参数!$B$12/(I1402*10000*(1+SUM(税费参数!$B$6:$B$8)))</f>
        <v>0.0148826918259998</v>
      </c>
      <c r="L1402" s="7">
        <f>J1402*税费参数!$B$12/(I1402*10000)</f>
        <v>0.0172413793103448</v>
      </c>
      <c r="M1402" s="6">
        <f>I1402*10000*SUM(税费参数!$B$9:$B$10)/税费参数!$B$11</f>
        <v>217.5</v>
      </c>
    </row>
    <row r="1403" ht="21" customHeight="1" spans="1:13">
      <c r="A1403" s="5" t="s">
        <v>16</v>
      </c>
      <c r="B1403" s="6" t="s">
        <v>123</v>
      </c>
      <c r="C1403" s="6" t="s">
        <v>152</v>
      </c>
      <c r="D1403" s="6" t="s">
        <v>160</v>
      </c>
      <c r="E1403" s="6" t="s">
        <v>1043</v>
      </c>
      <c r="F1403" s="6" t="s">
        <v>1930</v>
      </c>
      <c r="G1403" s="6">
        <v>40.12</v>
      </c>
      <c r="H1403" s="6">
        <v>40.34</v>
      </c>
      <c r="I1403" s="6">
        <v>116</v>
      </c>
      <c r="J1403" s="6">
        <v>1800</v>
      </c>
      <c r="K1403" s="7">
        <f>(J1403-M1403)*税费参数!$B$12/(I1403*10000*(1+SUM(税费参数!$B$6:$B$8)))</f>
        <v>0.0132128245804459</v>
      </c>
      <c r="L1403" s="7">
        <f>J1403*税费参数!$B$12/(I1403*10000)</f>
        <v>0.0155172413793103</v>
      </c>
      <c r="M1403" s="6">
        <f>I1403*10000*SUM(税费参数!$B$9:$B$10)/税费参数!$B$11</f>
        <v>217.5</v>
      </c>
    </row>
    <row r="1404" ht="21" customHeight="1" spans="1:13">
      <c r="A1404" s="5" t="s">
        <v>16</v>
      </c>
      <c r="B1404" s="6" t="s">
        <v>123</v>
      </c>
      <c r="C1404" s="6" t="s">
        <v>152</v>
      </c>
      <c r="D1404" s="6" t="s">
        <v>160</v>
      </c>
      <c r="E1404" s="6" t="s">
        <v>1043</v>
      </c>
      <c r="F1404" s="6" t="s">
        <v>1931</v>
      </c>
      <c r="G1404" s="6">
        <v>40.12</v>
      </c>
      <c r="H1404" s="6">
        <v>40.02</v>
      </c>
      <c r="I1404" s="6">
        <v>116</v>
      </c>
      <c r="J1404" s="6">
        <v>1600</v>
      </c>
      <c r="K1404" s="7">
        <f>(J1404-M1404)*税费参数!$B$12/(I1404*10000*(1+SUM(税费参数!$B$6:$B$8)))</f>
        <v>0.0115429573348919</v>
      </c>
      <c r="L1404" s="7">
        <f>J1404*税费参数!$B$12/(I1404*10000)</f>
        <v>0.0137931034482759</v>
      </c>
      <c r="M1404" s="6">
        <f>I1404*10000*SUM(税费参数!$B$9:$B$10)/税费参数!$B$11</f>
        <v>217.5</v>
      </c>
    </row>
    <row r="1405" ht="21" customHeight="1" spans="1:13">
      <c r="A1405" s="5" t="s">
        <v>16</v>
      </c>
      <c r="B1405" s="6" t="s">
        <v>123</v>
      </c>
      <c r="C1405" s="6" t="s">
        <v>152</v>
      </c>
      <c r="D1405" s="6" t="s">
        <v>160</v>
      </c>
      <c r="E1405" s="6" t="s">
        <v>1043</v>
      </c>
      <c r="F1405" s="6" t="s">
        <v>1932</v>
      </c>
      <c r="G1405" s="6">
        <v>40.12</v>
      </c>
      <c r="H1405" s="6">
        <v>40.02</v>
      </c>
      <c r="I1405" s="6">
        <v>116</v>
      </c>
      <c r="J1405" s="6">
        <v>1800</v>
      </c>
      <c r="K1405" s="7">
        <f>(J1405-M1405)*税费参数!$B$12/(I1405*10000*(1+SUM(税费参数!$B$6:$B$8)))</f>
        <v>0.0132128245804459</v>
      </c>
      <c r="L1405" s="7">
        <f>J1405*税费参数!$B$12/(I1405*10000)</f>
        <v>0.0155172413793103</v>
      </c>
      <c r="M1405" s="6">
        <f>I1405*10000*SUM(税费参数!$B$9:$B$10)/税费参数!$B$11</f>
        <v>217.5</v>
      </c>
    </row>
    <row r="1406" ht="21" customHeight="1" spans="1:13">
      <c r="A1406" s="5" t="s">
        <v>16</v>
      </c>
      <c r="B1406" s="6" t="s">
        <v>123</v>
      </c>
      <c r="C1406" s="6" t="s">
        <v>152</v>
      </c>
      <c r="D1406" s="6" t="s">
        <v>160</v>
      </c>
      <c r="E1406" s="6" t="s">
        <v>1043</v>
      </c>
      <c r="F1406" s="6" t="s">
        <v>1933</v>
      </c>
      <c r="G1406" s="6">
        <v>40.12</v>
      </c>
      <c r="H1406" s="6">
        <v>41.29</v>
      </c>
      <c r="I1406" s="6">
        <v>116</v>
      </c>
      <c r="J1406" s="6">
        <v>1900</v>
      </c>
      <c r="K1406" s="7">
        <f>(J1406-M1406)*税费参数!$B$12/(I1406*10000*(1+SUM(税费参数!$B$6:$B$8)))</f>
        <v>0.0140477582032228</v>
      </c>
      <c r="L1406" s="7">
        <f>J1406*税费参数!$B$12/(I1406*10000)</f>
        <v>0.0163793103448276</v>
      </c>
      <c r="M1406" s="6">
        <f>I1406*10000*SUM(税费参数!$B$9:$B$10)/税费参数!$B$11</f>
        <v>217.5</v>
      </c>
    </row>
    <row r="1407" ht="21" customHeight="1" spans="1:13">
      <c r="A1407" s="5" t="s">
        <v>16</v>
      </c>
      <c r="B1407" s="6" t="s">
        <v>123</v>
      </c>
      <c r="C1407" s="6" t="s">
        <v>152</v>
      </c>
      <c r="D1407" s="6" t="s">
        <v>160</v>
      </c>
      <c r="E1407" s="6" t="s">
        <v>1041</v>
      </c>
      <c r="F1407" s="6" t="s">
        <v>1928</v>
      </c>
      <c r="G1407" s="6">
        <v>40.02</v>
      </c>
      <c r="H1407" s="6">
        <v>40.54</v>
      </c>
      <c r="I1407" s="6">
        <v>110</v>
      </c>
      <c r="J1407" s="6">
        <v>2500</v>
      </c>
      <c r="K1407" s="7">
        <f>(J1407-M1407)*税费参数!$B$12/(I1407*10000*(1+SUM(税费参数!$B$6:$B$8)))</f>
        <v>0.0201959057891261</v>
      </c>
      <c r="L1407" s="7">
        <f>J1407*税费参数!$B$12/(I1407*10000)</f>
        <v>0.0227272727272727</v>
      </c>
      <c r="M1407" s="6">
        <f>I1407*10000*SUM(税费参数!$B$9:$B$10)/税费参数!$B$11</f>
        <v>206.25</v>
      </c>
    </row>
    <row r="1408" ht="21" customHeight="1" spans="1:13">
      <c r="A1408" s="5" t="s">
        <v>16</v>
      </c>
      <c r="B1408" s="6" t="s">
        <v>123</v>
      </c>
      <c r="C1408" s="6" t="s">
        <v>152</v>
      </c>
      <c r="D1408" s="6" t="s">
        <v>160</v>
      </c>
      <c r="E1408" s="6" t="s">
        <v>1041</v>
      </c>
      <c r="F1408" s="6" t="s">
        <v>1929</v>
      </c>
      <c r="G1408" s="6">
        <v>40.02</v>
      </c>
      <c r="H1408" s="6">
        <v>40.02</v>
      </c>
      <c r="I1408" s="6">
        <v>110</v>
      </c>
      <c r="J1408" s="6">
        <v>2000</v>
      </c>
      <c r="K1408" s="7">
        <f>(J1408-M1408)*税费参数!$B$12/(I1408*10000*(1+SUM(税费参数!$B$6:$B$8)))</f>
        <v>0.0157935285053929</v>
      </c>
      <c r="L1408" s="7">
        <f>J1408*税费参数!$B$12/(I1408*10000)</f>
        <v>0.0181818181818182</v>
      </c>
      <c r="M1408" s="6">
        <f>I1408*10000*SUM(税费参数!$B$9:$B$10)/税费参数!$B$11</f>
        <v>206.25</v>
      </c>
    </row>
    <row r="1409" ht="21" customHeight="1" spans="1:13">
      <c r="A1409" s="5" t="s">
        <v>16</v>
      </c>
      <c r="B1409" s="6" t="s">
        <v>123</v>
      </c>
      <c r="C1409" s="6" t="s">
        <v>152</v>
      </c>
      <c r="D1409" s="6" t="s">
        <v>160</v>
      </c>
      <c r="E1409" s="6" t="s">
        <v>1041</v>
      </c>
      <c r="F1409" s="6" t="s">
        <v>1930</v>
      </c>
      <c r="G1409" s="6">
        <v>40.02</v>
      </c>
      <c r="H1409" s="6">
        <v>40.34</v>
      </c>
      <c r="I1409" s="6">
        <v>110</v>
      </c>
      <c r="J1409" s="6">
        <v>1800</v>
      </c>
      <c r="K1409" s="7">
        <f>(J1409-M1409)*税费参数!$B$12/(I1409*10000*(1+SUM(税费参数!$B$6:$B$8)))</f>
        <v>0.0140325775918996</v>
      </c>
      <c r="L1409" s="7">
        <f>J1409*税费参数!$B$12/(I1409*10000)</f>
        <v>0.0163636363636364</v>
      </c>
      <c r="M1409" s="6">
        <f>I1409*10000*SUM(税费参数!$B$9:$B$10)/税费参数!$B$11</f>
        <v>206.25</v>
      </c>
    </row>
    <row r="1410" ht="21" customHeight="1" spans="1:13">
      <c r="A1410" s="5" t="s">
        <v>16</v>
      </c>
      <c r="B1410" s="6" t="s">
        <v>123</v>
      </c>
      <c r="C1410" s="6" t="s">
        <v>152</v>
      </c>
      <c r="D1410" s="6" t="s">
        <v>160</v>
      </c>
      <c r="E1410" s="6" t="s">
        <v>1041</v>
      </c>
      <c r="F1410" s="6" t="s">
        <v>1931</v>
      </c>
      <c r="G1410" s="6">
        <v>40.02</v>
      </c>
      <c r="H1410" s="6">
        <v>40.02</v>
      </c>
      <c r="I1410" s="6">
        <v>110</v>
      </c>
      <c r="J1410" s="6">
        <v>1600</v>
      </c>
      <c r="K1410" s="7">
        <f>(J1410-M1410)*税费参数!$B$12/(I1410*10000*(1+SUM(税费参数!$B$6:$B$8)))</f>
        <v>0.0122716266784063</v>
      </c>
      <c r="L1410" s="7">
        <f>J1410*税费参数!$B$12/(I1410*10000)</f>
        <v>0.0145454545454545</v>
      </c>
      <c r="M1410" s="6">
        <f>I1410*10000*SUM(税费参数!$B$9:$B$10)/税费参数!$B$11</f>
        <v>206.25</v>
      </c>
    </row>
    <row r="1411" ht="21" customHeight="1" spans="1:13">
      <c r="A1411" s="5" t="s">
        <v>16</v>
      </c>
      <c r="B1411" s="6" t="s">
        <v>123</v>
      </c>
      <c r="C1411" s="6" t="s">
        <v>152</v>
      </c>
      <c r="D1411" s="6" t="s">
        <v>160</v>
      </c>
      <c r="E1411" s="6" t="s">
        <v>1041</v>
      </c>
      <c r="F1411" s="6" t="s">
        <v>1932</v>
      </c>
      <c r="G1411" s="6">
        <v>40.02</v>
      </c>
      <c r="H1411" s="6">
        <v>40.02</v>
      </c>
      <c r="I1411" s="6">
        <v>110</v>
      </c>
      <c r="J1411" s="6">
        <v>1800</v>
      </c>
      <c r="K1411" s="7">
        <f>(J1411-M1411)*税费参数!$B$12/(I1411*10000*(1+SUM(税费参数!$B$6:$B$8)))</f>
        <v>0.0140325775918996</v>
      </c>
      <c r="L1411" s="7">
        <f>J1411*税费参数!$B$12/(I1411*10000)</f>
        <v>0.0163636363636364</v>
      </c>
      <c r="M1411" s="6">
        <f>I1411*10000*SUM(税费参数!$B$9:$B$10)/税费参数!$B$11</f>
        <v>206.25</v>
      </c>
    </row>
    <row r="1412" ht="21" customHeight="1" spans="1:13">
      <c r="A1412" s="5" t="s">
        <v>16</v>
      </c>
      <c r="B1412" s="6" t="s">
        <v>123</v>
      </c>
      <c r="C1412" s="6" t="s">
        <v>152</v>
      </c>
      <c r="D1412" s="6" t="s">
        <v>160</v>
      </c>
      <c r="E1412" s="6" t="s">
        <v>1041</v>
      </c>
      <c r="F1412" s="6" t="s">
        <v>1933</v>
      </c>
      <c r="G1412" s="6">
        <v>40.02</v>
      </c>
      <c r="H1412" s="6">
        <v>41.29</v>
      </c>
      <c r="I1412" s="6">
        <v>110</v>
      </c>
      <c r="J1412" s="6">
        <v>1900</v>
      </c>
      <c r="K1412" s="7">
        <f>(J1412-M1412)*税费参数!$B$12/(I1412*10000*(1+SUM(税费参数!$B$6:$B$8)))</f>
        <v>0.0149130530486463</v>
      </c>
      <c r="L1412" s="7">
        <f>J1412*税费参数!$B$12/(I1412*10000)</f>
        <v>0.0172727272727273</v>
      </c>
      <c r="M1412" s="6">
        <f>I1412*10000*SUM(税费参数!$B$9:$B$10)/税费参数!$B$11</f>
        <v>206.25</v>
      </c>
    </row>
    <row r="1413" ht="21" customHeight="1" spans="1:13">
      <c r="A1413" s="5" t="s">
        <v>16</v>
      </c>
      <c r="B1413" s="6" t="s">
        <v>123</v>
      </c>
      <c r="C1413" s="6" t="s">
        <v>152</v>
      </c>
      <c r="D1413" s="6" t="s">
        <v>160</v>
      </c>
      <c r="E1413" s="6" t="s">
        <v>1051</v>
      </c>
      <c r="F1413" s="6" t="s">
        <v>1928</v>
      </c>
      <c r="G1413" s="6">
        <v>42.85</v>
      </c>
      <c r="H1413" s="6">
        <v>40.54</v>
      </c>
      <c r="I1413" s="6">
        <v>95</v>
      </c>
      <c r="J1413" s="6">
        <v>2500</v>
      </c>
      <c r="K1413" s="7">
        <f>(J1413-M1413)*税费参数!$B$12/(I1413*10000*(1+SUM(税费参数!$B$6:$B$8)))</f>
        <v>0.0236714668025997</v>
      </c>
      <c r="L1413" s="7">
        <f>J1413*税费参数!$B$12/(I1413*10000)</f>
        <v>0.0263157894736842</v>
      </c>
      <c r="M1413" s="6">
        <f>I1413*10000*SUM(税费参数!$B$9:$B$10)/税费参数!$B$11</f>
        <v>178.125</v>
      </c>
    </row>
    <row r="1414" ht="21" customHeight="1" spans="1:13">
      <c r="A1414" s="5" t="s">
        <v>16</v>
      </c>
      <c r="B1414" s="6" t="s">
        <v>123</v>
      </c>
      <c r="C1414" s="6" t="s">
        <v>152</v>
      </c>
      <c r="D1414" s="6" t="s">
        <v>160</v>
      </c>
      <c r="E1414" s="6" t="s">
        <v>1051</v>
      </c>
      <c r="F1414" s="6" t="s">
        <v>1929</v>
      </c>
      <c r="G1414" s="6">
        <v>42.85</v>
      </c>
      <c r="H1414" s="6">
        <v>40.02</v>
      </c>
      <c r="I1414" s="6">
        <v>95</v>
      </c>
      <c r="J1414" s="6">
        <v>2000</v>
      </c>
      <c r="K1414" s="7">
        <f>(J1414-M1414)*税费参数!$B$12/(I1414*10000*(1+SUM(税费参数!$B$6:$B$8)))</f>
        <v>0.0185739773161718</v>
      </c>
      <c r="L1414" s="7">
        <f>J1414*税费参数!$B$12/(I1414*10000)</f>
        <v>0.0210526315789474</v>
      </c>
      <c r="M1414" s="6">
        <f>I1414*10000*SUM(税费参数!$B$9:$B$10)/税费参数!$B$11</f>
        <v>178.125</v>
      </c>
    </row>
    <row r="1415" ht="21" customHeight="1" spans="1:13">
      <c r="A1415" s="5" t="s">
        <v>16</v>
      </c>
      <c r="B1415" s="6" t="s">
        <v>123</v>
      </c>
      <c r="C1415" s="6" t="s">
        <v>152</v>
      </c>
      <c r="D1415" s="6" t="s">
        <v>160</v>
      </c>
      <c r="E1415" s="6" t="s">
        <v>1051</v>
      </c>
      <c r="F1415" s="6" t="s">
        <v>1930</v>
      </c>
      <c r="G1415" s="6">
        <v>42.85</v>
      </c>
      <c r="H1415" s="6">
        <v>40.34</v>
      </c>
      <c r="I1415" s="6">
        <v>95</v>
      </c>
      <c r="J1415" s="6">
        <v>1800</v>
      </c>
      <c r="K1415" s="7">
        <f>(J1415-M1415)*税费参数!$B$12/(I1415*10000*(1+SUM(税费参数!$B$6:$B$8)))</f>
        <v>0.0165349815216006</v>
      </c>
      <c r="L1415" s="7">
        <f>J1415*税费参数!$B$12/(I1415*10000)</f>
        <v>0.0189473684210526</v>
      </c>
      <c r="M1415" s="6">
        <f>I1415*10000*SUM(税费参数!$B$9:$B$10)/税费参数!$B$11</f>
        <v>178.125</v>
      </c>
    </row>
    <row r="1416" ht="21" customHeight="1" spans="1:13">
      <c r="A1416" s="5" t="s">
        <v>16</v>
      </c>
      <c r="B1416" s="6" t="s">
        <v>123</v>
      </c>
      <c r="C1416" s="6" t="s">
        <v>152</v>
      </c>
      <c r="D1416" s="6" t="s">
        <v>160</v>
      </c>
      <c r="E1416" s="6" t="s">
        <v>1051</v>
      </c>
      <c r="F1416" s="6" t="s">
        <v>1931</v>
      </c>
      <c r="G1416" s="6">
        <v>42.85</v>
      </c>
      <c r="H1416" s="6">
        <v>40.02</v>
      </c>
      <c r="I1416" s="6">
        <v>95</v>
      </c>
      <c r="J1416" s="6">
        <v>1600</v>
      </c>
      <c r="K1416" s="7">
        <f>(J1416-M1416)*税费参数!$B$12/(I1416*10000*(1+SUM(税费参数!$B$6:$B$8)))</f>
        <v>0.0144959857270294</v>
      </c>
      <c r="L1416" s="7">
        <f>J1416*税费参数!$B$12/(I1416*10000)</f>
        <v>0.0168421052631579</v>
      </c>
      <c r="M1416" s="6">
        <f>I1416*10000*SUM(税费参数!$B$9:$B$10)/税费参数!$B$11</f>
        <v>178.125</v>
      </c>
    </row>
    <row r="1417" ht="21" customHeight="1" spans="1:13">
      <c r="A1417" s="5" t="s">
        <v>16</v>
      </c>
      <c r="B1417" s="6" t="s">
        <v>123</v>
      </c>
      <c r="C1417" s="6" t="s">
        <v>152</v>
      </c>
      <c r="D1417" s="6" t="s">
        <v>160</v>
      </c>
      <c r="E1417" s="6" t="s">
        <v>1051</v>
      </c>
      <c r="F1417" s="6" t="s">
        <v>1932</v>
      </c>
      <c r="G1417" s="6">
        <v>42.85</v>
      </c>
      <c r="H1417" s="6">
        <v>40.02</v>
      </c>
      <c r="I1417" s="6">
        <v>95</v>
      </c>
      <c r="J1417" s="6">
        <v>1800</v>
      </c>
      <c r="K1417" s="7">
        <f>(J1417-M1417)*税费参数!$B$12/(I1417*10000*(1+SUM(税费参数!$B$6:$B$8)))</f>
        <v>0.0165349815216006</v>
      </c>
      <c r="L1417" s="7">
        <f>J1417*税费参数!$B$12/(I1417*10000)</f>
        <v>0.0189473684210526</v>
      </c>
      <c r="M1417" s="6">
        <f>I1417*10000*SUM(税费参数!$B$9:$B$10)/税费参数!$B$11</f>
        <v>178.125</v>
      </c>
    </row>
    <row r="1418" ht="21" customHeight="1" spans="1:13">
      <c r="A1418" s="5" t="s">
        <v>16</v>
      </c>
      <c r="B1418" s="6" t="s">
        <v>123</v>
      </c>
      <c r="C1418" s="6" t="s">
        <v>152</v>
      </c>
      <c r="D1418" s="6" t="s">
        <v>160</v>
      </c>
      <c r="E1418" s="6" t="s">
        <v>1051</v>
      </c>
      <c r="F1418" s="6" t="s">
        <v>1933</v>
      </c>
      <c r="G1418" s="6">
        <v>42.85</v>
      </c>
      <c r="H1418" s="6">
        <v>41.29</v>
      </c>
      <c r="I1418" s="6">
        <v>95</v>
      </c>
      <c r="J1418" s="6">
        <v>1900</v>
      </c>
      <c r="K1418" s="7">
        <f>(J1418-M1418)*税费参数!$B$12/(I1418*10000*(1+SUM(税费参数!$B$6:$B$8)))</f>
        <v>0.0175544794188862</v>
      </c>
      <c r="L1418" s="7">
        <f>J1418*税费参数!$B$12/(I1418*10000)</f>
        <v>0.02</v>
      </c>
      <c r="M1418" s="6">
        <f>I1418*10000*SUM(税费参数!$B$9:$B$10)/税费参数!$B$11</f>
        <v>178.125</v>
      </c>
    </row>
    <row r="1419" ht="21" customHeight="1" spans="1:13">
      <c r="A1419" s="5" t="s">
        <v>16</v>
      </c>
      <c r="B1419" s="6" t="s">
        <v>123</v>
      </c>
      <c r="C1419" s="6" t="s">
        <v>152</v>
      </c>
      <c r="D1419" s="6" t="s">
        <v>160</v>
      </c>
      <c r="E1419" s="6" t="s">
        <v>1053</v>
      </c>
      <c r="F1419" s="6" t="s">
        <v>1928</v>
      </c>
      <c r="G1419" s="6">
        <v>40.61</v>
      </c>
      <c r="H1419" s="6">
        <v>40.54</v>
      </c>
      <c r="I1419" s="6">
        <v>95</v>
      </c>
      <c r="J1419" s="6">
        <v>2500</v>
      </c>
      <c r="K1419" s="7">
        <f>(J1419-M1419)*税费参数!$B$12/(I1419*10000*(1+SUM(税费参数!$B$6:$B$8)))</f>
        <v>0.0236714668025997</v>
      </c>
      <c r="L1419" s="7">
        <f>J1419*税费参数!$B$12/(I1419*10000)</f>
        <v>0.0263157894736842</v>
      </c>
      <c r="M1419" s="6">
        <f>I1419*10000*SUM(税费参数!$B$9:$B$10)/税费参数!$B$11</f>
        <v>178.125</v>
      </c>
    </row>
    <row r="1420" ht="21" customHeight="1" spans="1:13">
      <c r="A1420" s="5" t="s">
        <v>16</v>
      </c>
      <c r="B1420" s="6" t="s">
        <v>123</v>
      </c>
      <c r="C1420" s="6" t="s">
        <v>152</v>
      </c>
      <c r="D1420" s="6" t="s">
        <v>160</v>
      </c>
      <c r="E1420" s="6" t="s">
        <v>1053</v>
      </c>
      <c r="F1420" s="6" t="s">
        <v>1929</v>
      </c>
      <c r="G1420" s="6">
        <v>40.61</v>
      </c>
      <c r="H1420" s="6">
        <v>40.02</v>
      </c>
      <c r="I1420" s="6">
        <v>95</v>
      </c>
      <c r="J1420" s="6">
        <v>2000</v>
      </c>
      <c r="K1420" s="7">
        <f>(J1420-M1420)*税费参数!$B$12/(I1420*10000*(1+SUM(税费参数!$B$6:$B$8)))</f>
        <v>0.0185739773161718</v>
      </c>
      <c r="L1420" s="7">
        <f>J1420*税费参数!$B$12/(I1420*10000)</f>
        <v>0.0210526315789474</v>
      </c>
      <c r="M1420" s="6">
        <f>I1420*10000*SUM(税费参数!$B$9:$B$10)/税费参数!$B$11</f>
        <v>178.125</v>
      </c>
    </row>
    <row r="1421" ht="21" customHeight="1" spans="1:13">
      <c r="A1421" s="5" t="s">
        <v>16</v>
      </c>
      <c r="B1421" s="6" t="s">
        <v>123</v>
      </c>
      <c r="C1421" s="6" t="s">
        <v>152</v>
      </c>
      <c r="D1421" s="6" t="s">
        <v>160</v>
      </c>
      <c r="E1421" s="6" t="s">
        <v>1053</v>
      </c>
      <c r="F1421" s="6" t="s">
        <v>1930</v>
      </c>
      <c r="G1421" s="6">
        <v>40.61</v>
      </c>
      <c r="H1421" s="6">
        <v>40.34</v>
      </c>
      <c r="I1421" s="6">
        <v>95</v>
      </c>
      <c r="J1421" s="6">
        <v>1800</v>
      </c>
      <c r="K1421" s="7">
        <f>(J1421-M1421)*税费参数!$B$12/(I1421*10000*(1+SUM(税费参数!$B$6:$B$8)))</f>
        <v>0.0165349815216006</v>
      </c>
      <c r="L1421" s="7">
        <f>J1421*税费参数!$B$12/(I1421*10000)</f>
        <v>0.0189473684210526</v>
      </c>
      <c r="M1421" s="6">
        <f>I1421*10000*SUM(税费参数!$B$9:$B$10)/税费参数!$B$11</f>
        <v>178.125</v>
      </c>
    </row>
    <row r="1422" ht="21" customHeight="1" spans="1:13">
      <c r="A1422" s="5" t="s">
        <v>16</v>
      </c>
      <c r="B1422" s="6" t="s">
        <v>123</v>
      </c>
      <c r="C1422" s="6" t="s">
        <v>152</v>
      </c>
      <c r="D1422" s="6" t="s">
        <v>160</v>
      </c>
      <c r="E1422" s="6" t="s">
        <v>1053</v>
      </c>
      <c r="F1422" s="6" t="s">
        <v>1931</v>
      </c>
      <c r="G1422" s="6">
        <v>40.61</v>
      </c>
      <c r="H1422" s="6">
        <v>40.02</v>
      </c>
      <c r="I1422" s="6">
        <v>95</v>
      </c>
      <c r="J1422" s="6">
        <v>1600</v>
      </c>
      <c r="K1422" s="7">
        <f>(J1422-M1422)*税费参数!$B$12/(I1422*10000*(1+SUM(税费参数!$B$6:$B$8)))</f>
        <v>0.0144959857270294</v>
      </c>
      <c r="L1422" s="7">
        <f>J1422*税费参数!$B$12/(I1422*10000)</f>
        <v>0.0168421052631579</v>
      </c>
      <c r="M1422" s="6">
        <f>I1422*10000*SUM(税费参数!$B$9:$B$10)/税费参数!$B$11</f>
        <v>178.125</v>
      </c>
    </row>
    <row r="1423" ht="21" customHeight="1" spans="1:13">
      <c r="A1423" s="5" t="s">
        <v>16</v>
      </c>
      <c r="B1423" s="6" t="s">
        <v>123</v>
      </c>
      <c r="C1423" s="6" t="s">
        <v>152</v>
      </c>
      <c r="D1423" s="6" t="s">
        <v>160</v>
      </c>
      <c r="E1423" s="6" t="s">
        <v>1053</v>
      </c>
      <c r="F1423" s="6" t="s">
        <v>1932</v>
      </c>
      <c r="G1423" s="6">
        <v>40.61</v>
      </c>
      <c r="H1423" s="6">
        <v>40.02</v>
      </c>
      <c r="I1423" s="6">
        <v>95</v>
      </c>
      <c r="J1423" s="6">
        <v>1800</v>
      </c>
      <c r="K1423" s="7">
        <f>(J1423-M1423)*税费参数!$B$12/(I1423*10000*(1+SUM(税费参数!$B$6:$B$8)))</f>
        <v>0.0165349815216006</v>
      </c>
      <c r="L1423" s="7">
        <f>J1423*税费参数!$B$12/(I1423*10000)</f>
        <v>0.0189473684210526</v>
      </c>
      <c r="M1423" s="6">
        <f>I1423*10000*SUM(税费参数!$B$9:$B$10)/税费参数!$B$11</f>
        <v>178.125</v>
      </c>
    </row>
    <row r="1424" ht="21" customHeight="1" spans="1:13">
      <c r="A1424" s="5" t="s">
        <v>16</v>
      </c>
      <c r="B1424" s="6" t="s">
        <v>123</v>
      </c>
      <c r="C1424" s="6" t="s">
        <v>152</v>
      </c>
      <c r="D1424" s="6" t="s">
        <v>160</v>
      </c>
      <c r="E1424" s="6" t="s">
        <v>1053</v>
      </c>
      <c r="F1424" s="6" t="s">
        <v>1933</v>
      </c>
      <c r="G1424" s="6">
        <v>40.61</v>
      </c>
      <c r="H1424" s="6">
        <v>41.29</v>
      </c>
      <c r="I1424" s="6">
        <v>95</v>
      </c>
      <c r="J1424" s="6">
        <v>1900</v>
      </c>
      <c r="K1424" s="7">
        <f>(J1424-M1424)*税费参数!$B$12/(I1424*10000*(1+SUM(税费参数!$B$6:$B$8)))</f>
        <v>0.0175544794188862</v>
      </c>
      <c r="L1424" s="7">
        <f>J1424*税费参数!$B$12/(I1424*10000)</f>
        <v>0.02</v>
      </c>
      <c r="M1424" s="6">
        <f>I1424*10000*SUM(税费参数!$B$9:$B$10)/税费参数!$B$11</f>
        <v>178.125</v>
      </c>
    </row>
    <row r="1425" ht="21" customHeight="1" spans="1:13">
      <c r="A1425" s="5" t="s">
        <v>16</v>
      </c>
      <c r="B1425" s="6" t="s">
        <v>123</v>
      </c>
      <c r="C1425" s="6" t="s">
        <v>152</v>
      </c>
      <c r="D1425" s="6" t="s">
        <v>160</v>
      </c>
      <c r="E1425" s="6" t="s">
        <v>1049</v>
      </c>
      <c r="F1425" s="6" t="s">
        <v>1928</v>
      </c>
      <c r="G1425" s="6">
        <v>40.21</v>
      </c>
      <c r="H1425" s="6">
        <v>40.54</v>
      </c>
      <c r="I1425" s="6">
        <v>95</v>
      </c>
      <c r="J1425" s="6">
        <v>2500</v>
      </c>
      <c r="K1425" s="7">
        <f>(J1425-M1425)*税费参数!$B$12/(I1425*10000*(1+SUM(税费参数!$B$6:$B$8)))</f>
        <v>0.0236714668025997</v>
      </c>
      <c r="L1425" s="7">
        <f>J1425*税费参数!$B$12/(I1425*10000)</f>
        <v>0.0263157894736842</v>
      </c>
      <c r="M1425" s="6">
        <f>I1425*10000*SUM(税费参数!$B$9:$B$10)/税费参数!$B$11</f>
        <v>178.125</v>
      </c>
    </row>
    <row r="1426" ht="21" customHeight="1" spans="1:13">
      <c r="A1426" s="5" t="s">
        <v>16</v>
      </c>
      <c r="B1426" s="6" t="s">
        <v>123</v>
      </c>
      <c r="C1426" s="6" t="s">
        <v>152</v>
      </c>
      <c r="D1426" s="6" t="s">
        <v>160</v>
      </c>
      <c r="E1426" s="6" t="s">
        <v>1049</v>
      </c>
      <c r="F1426" s="6" t="s">
        <v>1929</v>
      </c>
      <c r="G1426" s="6">
        <v>40.21</v>
      </c>
      <c r="H1426" s="6">
        <v>40.02</v>
      </c>
      <c r="I1426" s="6">
        <v>95</v>
      </c>
      <c r="J1426" s="6">
        <v>2000</v>
      </c>
      <c r="K1426" s="7">
        <f>(J1426-M1426)*税费参数!$B$12/(I1426*10000*(1+SUM(税费参数!$B$6:$B$8)))</f>
        <v>0.0185739773161718</v>
      </c>
      <c r="L1426" s="7">
        <f>J1426*税费参数!$B$12/(I1426*10000)</f>
        <v>0.0210526315789474</v>
      </c>
      <c r="M1426" s="6">
        <f>I1426*10000*SUM(税费参数!$B$9:$B$10)/税费参数!$B$11</f>
        <v>178.125</v>
      </c>
    </row>
    <row r="1427" ht="21" customHeight="1" spans="1:13">
      <c r="A1427" s="5" t="s">
        <v>16</v>
      </c>
      <c r="B1427" s="6" t="s">
        <v>123</v>
      </c>
      <c r="C1427" s="6" t="s">
        <v>152</v>
      </c>
      <c r="D1427" s="6" t="s">
        <v>160</v>
      </c>
      <c r="E1427" s="6" t="s">
        <v>1049</v>
      </c>
      <c r="F1427" s="6" t="s">
        <v>1930</v>
      </c>
      <c r="G1427" s="6">
        <v>40.21</v>
      </c>
      <c r="H1427" s="6">
        <v>40.34</v>
      </c>
      <c r="I1427" s="6">
        <v>95</v>
      </c>
      <c r="J1427" s="6">
        <v>1800</v>
      </c>
      <c r="K1427" s="7">
        <f>(J1427-M1427)*税费参数!$B$12/(I1427*10000*(1+SUM(税费参数!$B$6:$B$8)))</f>
        <v>0.0165349815216006</v>
      </c>
      <c r="L1427" s="7">
        <f>J1427*税费参数!$B$12/(I1427*10000)</f>
        <v>0.0189473684210526</v>
      </c>
      <c r="M1427" s="6">
        <f>I1427*10000*SUM(税费参数!$B$9:$B$10)/税费参数!$B$11</f>
        <v>178.125</v>
      </c>
    </row>
    <row r="1428" ht="21" customHeight="1" spans="1:13">
      <c r="A1428" s="5" t="s">
        <v>16</v>
      </c>
      <c r="B1428" s="6" t="s">
        <v>123</v>
      </c>
      <c r="C1428" s="6" t="s">
        <v>152</v>
      </c>
      <c r="D1428" s="6" t="s">
        <v>160</v>
      </c>
      <c r="E1428" s="6" t="s">
        <v>1049</v>
      </c>
      <c r="F1428" s="6" t="s">
        <v>1931</v>
      </c>
      <c r="G1428" s="6">
        <v>40.21</v>
      </c>
      <c r="H1428" s="6">
        <v>40.02</v>
      </c>
      <c r="I1428" s="6">
        <v>95</v>
      </c>
      <c r="J1428" s="6">
        <v>1600</v>
      </c>
      <c r="K1428" s="7">
        <f>(J1428-M1428)*税费参数!$B$12/(I1428*10000*(1+SUM(税费参数!$B$6:$B$8)))</f>
        <v>0.0144959857270294</v>
      </c>
      <c r="L1428" s="7">
        <f>J1428*税费参数!$B$12/(I1428*10000)</f>
        <v>0.0168421052631579</v>
      </c>
      <c r="M1428" s="6">
        <f>I1428*10000*SUM(税费参数!$B$9:$B$10)/税费参数!$B$11</f>
        <v>178.125</v>
      </c>
    </row>
    <row r="1429" ht="21" customHeight="1" spans="1:13">
      <c r="A1429" s="5" t="s">
        <v>16</v>
      </c>
      <c r="B1429" s="6" t="s">
        <v>123</v>
      </c>
      <c r="C1429" s="6" t="s">
        <v>152</v>
      </c>
      <c r="D1429" s="6" t="s">
        <v>160</v>
      </c>
      <c r="E1429" s="6" t="s">
        <v>1049</v>
      </c>
      <c r="F1429" s="6" t="s">
        <v>1932</v>
      </c>
      <c r="G1429" s="6">
        <v>40.21</v>
      </c>
      <c r="H1429" s="6">
        <v>40.02</v>
      </c>
      <c r="I1429" s="6">
        <v>95</v>
      </c>
      <c r="J1429" s="6">
        <v>1800</v>
      </c>
      <c r="K1429" s="7">
        <f>(J1429-M1429)*税费参数!$B$12/(I1429*10000*(1+SUM(税费参数!$B$6:$B$8)))</f>
        <v>0.0165349815216006</v>
      </c>
      <c r="L1429" s="7">
        <f>J1429*税费参数!$B$12/(I1429*10000)</f>
        <v>0.0189473684210526</v>
      </c>
      <c r="M1429" s="6">
        <f>I1429*10000*SUM(税费参数!$B$9:$B$10)/税费参数!$B$11</f>
        <v>178.125</v>
      </c>
    </row>
    <row r="1430" ht="21" customHeight="1" spans="1:13">
      <c r="A1430" s="5" t="s">
        <v>16</v>
      </c>
      <c r="B1430" s="6" t="s">
        <v>123</v>
      </c>
      <c r="C1430" s="6" t="s">
        <v>152</v>
      </c>
      <c r="D1430" s="6" t="s">
        <v>160</v>
      </c>
      <c r="E1430" s="6" t="s">
        <v>1049</v>
      </c>
      <c r="F1430" s="6" t="s">
        <v>1933</v>
      </c>
      <c r="G1430" s="6">
        <v>40.21</v>
      </c>
      <c r="H1430" s="6">
        <v>41.29</v>
      </c>
      <c r="I1430" s="6">
        <v>95</v>
      </c>
      <c r="J1430" s="6">
        <v>1900</v>
      </c>
      <c r="K1430" s="7">
        <f>(J1430-M1430)*税费参数!$B$12/(I1430*10000*(1+SUM(税费参数!$B$6:$B$8)))</f>
        <v>0.0175544794188862</v>
      </c>
      <c r="L1430" s="7">
        <f>J1430*税费参数!$B$12/(I1430*10000)</f>
        <v>0.02</v>
      </c>
      <c r="M1430" s="6">
        <f>I1430*10000*SUM(税费参数!$B$9:$B$10)/税费参数!$B$11</f>
        <v>178.125</v>
      </c>
    </row>
    <row r="1431" ht="21" customHeight="1" spans="1:13">
      <c r="A1431" s="5" t="s">
        <v>16</v>
      </c>
      <c r="B1431" s="6" t="s">
        <v>123</v>
      </c>
      <c r="C1431" s="6" t="s">
        <v>152</v>
      </c>
      <c r="D1431" s="6" t="s">
        <v>153</v>
      </c>
      <c r="E1431" s="6" t="s">
        <v>1055</v>
      </c>
      <c r="F1431" s="6" t="s">
        <v>1934</v>
      </c>
      <c r="G1431" s="6">
        <v>55.29</v>
      </c>
      <c r="H1431" s="6">
        <v>55.44</v>
      </c>
      <c r="I1431" s="6">
        <v>119</v>
      </c>
      <c r="J1431" s="6">
        <v>2100</v>
      </c>
      <c r="K1431" s="7">
        <f>(J1431-M1431)*税费参数!$B$12/(I1431*10000*(1+SUM(税费参数!$B$6:$B$8)))</f>
        <v>0.0152756017661302</v>
      </c>
      <c r="L1431" s="7">
        <f>J1431*税费参数!$B$12/(I1431*10000)</f>
        <v>0.0176470588235294</v>
      </c>
      <c r="M1431" s="6">
        <f>I1431*10000*SUM(税费参数!$B$9:$B$10)/税费参数!$B$11</f>
        <v>223.125</v>
      </c>
    </row>
    <row r="1432" ht="21" customHeight="1" spans="1:13">
      <c r="A1432" s="5" t="s">
        <v>16</v>
      </c>
      <c r="B1432" s="6" t="s">
        <v>123</v>
      </c>
      <c r="C1432" s="6" t="s">
        <v>152</v>
      </c>
      <c r="D1432" s="6" t="s">
        <v>153</v>
      </c>
      <c r="E1432" s="6" t="s">
        <v>1055</v>
      </c>
      <c r="F1432" s="6" t="s">
        <v>1935</v>
      </c>
      <c r="G1432" s="6">
        <v>55.29</v>
      </c>
      <c r="H1432" s="6">
        <v>55.44</v>
      </c>
      <c r="I1432" s="6">
        <v>119</v>
      </c>
      <c r="J1432" s="6">
        <v>2000</v>
      </c>
      <c r="K1432" s="7">
        <f>(J1432-M1432)*税费参数!$B$12/(I1432*10000*(1+SUM(税费参数!$B$6:$B$8)))</f>
        <v>0.0144617168901459</v>
      </c>
      <c r="L1432" s="7">
        <f>J1432*税费参数!$B$12/(I1432*10000)</f>
        <v>0.0168067226890756</v>
      </c>
      <c r="M1432" s="6">
        <f>I1432*10000*SUM(税费参数!$B$9:$B$10)/税费参数!$B$11</f>
        <v>223.125</v>
      </c>
    </row>
    <row r="1433" ht="21" customHeight="1" spans="1:13">
      <c r="A1433" s="5" t="s">
        <v>16</v>
      </c>
      <c r="B1433" s="6" t="s">
        <v>123</v>
      </c>
      <c r="C1433" s="6" t="s">
        <v>152</v>
      </c>
      <c r="D1433" s="6" t="s">
        <v>153</v>
      </c>
      <c r="E1433" s="6" t="s">
        <v>1055</v>
      </c>
      <c r="F1433" s="6" t="s">
        <v>1936</v>
      </c>
      <c r="G1433" s="6">
        <v>55.29</v>
      </c>
      <c r="H1433" s="6">
        <v>51.5</v>
      </c>
      <c r="I1433" s="6">
        <v>119</v>
      </c>
      <c r="J1433" s="6">
        <v>1700</v>
      </c>
      <c r="K1433" s="7">
        <f>(J1433-M1433)*税费参数!$B$12/(I1433*10000*(1+SUM(税费参数!$B$6:$B$8)))</f>
        <v>0.012020062262193</v>
      </c>
      <c r="L1433" s="7">
        <f>J1433*税费参数!$B$12/(I1433*10000)</f>
        <v>0.0142857142857143</v>
      </c>
      <c r="M1433" s="6">
        <f>I1433*10000*SUM(税费参数!$B$9:$B$10)/税费参数!$B$11</f>
        <v>223.125</v>
      </c>
    </row>
    <row r="1434" ht="21" customHeight="1" spans="1:13">
      <c r="A1434" s="5" t="s">
        <v>16</v>
      </c>
      <c r="B1434" s="6" t="s">
        <v>123</v>
      </c>
      <c r="C1434" s="6" t="s">
        <v>152</v>
      </c>
      <c r="D1434" s="6" t="s">
        <v>153</v>
      </c>
      <c r="E1434" s="6" t="s">
        <v>1055</v>
      </c>
      <c r="F1434" s="6" t="s">
        <v>1937</v>
      </c>
      <c r="G1434" s="6">
        <v>55.29</v>
      </c>
      <c r="H1434" s="6">
        <v>55.29</v>
      </c>
      <c r="I1434" s="6">
        <v>119</v>
      </c>
      <c r="J1434" s="6">
        <v>2200</v>
      </c>
      <c r="K1434" s="7">
        <f>(J1434-M1434)*税费参数!$B$12/(I1434*10000*(1+SUM(税费参数!$B$6:$B$8)))</f>
        <v>0.0160894866421145</v>
      </c>
      <c r="L1434" s="7">
        <f>J1434*税费参数!$B$12/(I1434*10000)</f>
        <v>0.0184873949579832</v>
      </c>
      <c r="M1434" s="6">
        <f>I1434*10000*SUM(税费参数!$B$9:$B$10)/税费参数!$B$11</f>
        <v>223.125</v>
      </c>
    </row>
    <row r="1435" ht="21" customHeight="1" spans="1:13">
      <c r="A1435" s="5" t="s">
        <v>16</v>
      </c>
      <c r="B1435" s="6" t="s">
        <v>123</v>
      </c>
      <c r="C1435" s="6" t="s">
        <v>152</v>
      </c>
      <c r="D1435" s="6" t="s">
        <v>153</v>
      </c>
      <c r="E1435" s="6" t="s">
        <v>1055</v>
      </c>
      <c r="F1435" s="6" t="s">
        <v>1938</v>
      </c>
      <c r="G1435" s="6">
        <v>55.29</v>
      </c>
      <c r="H1435" s="6">
        <v>49.83</v>
      </c>
      <c r="I1435" s="6">
        <v>119</v>
      </c>
      <c r="J1435" s="6">
        <v>1500</v>
      </c>
      <c r="K1435" s="7">
        <f>(J1435-M1435)*税费参数!$B$12/(I1435*10000*(1+SUM(税费参数!$B$6:$B$8)))</f>
        <v>0.0103922925102244</v>
      </c>
      <c r="L1435" s="7">
        <f>J1435*税费参数!$B$12/(I1435*10000)</f>
        <v>0.0126050420168067</v>
      </c>
      <c r="M1435" s="6">
        <f>I1435*10000*SUM(税费参数!$B$9:$B$10)/税费参数!$B$11</f>
        <v>223.125</v>
      </c>
    </row>
    <row r="1436" ht="21" customHeight="1" spans="1:13">
      <c r="A1436" s="5" t="s">
        <v>16</v>
      </c>
      <c r="B1436" s="6" t="s">
        <v>123</v>
      </c>
      <c r="C1436" s="6" t="s">
        <v>152</v>
      </c>
      <c r="D1436" s="6" t="s">
        <v>153</v>
      </c>
      <c r="E1436" s="6" t="s">
        <v>1055</v>
      </c>
      <c r="F1436" s="6" t="s">
        <v>1939</v>
      </c>
      <c r="G1436" s="6">
        <v>55.29</v>
      </c>
      <c r="H1436" s="6">
        <v>47.65</v>
      </c>
      <c r="I1436" s="6">
        <v>119</v>
      </c>
      <c r="J1436" s="6">
        <v>1800</v>
      </c>
      <c r="K1436" s="7">
        <f>(J1436-M1436)*税费参数!$B$12/(I1436*10000*(1+SUM(税费参数!$B$6:$B$8)))</f>
        <v>0.0128339471381773</v>
      </c>
      <c r="L1436" s="7">
        <f>J1436*税费参数!$B$12/(I1436*10000)</f>
        <v>0.0151260504201681</v>
      </c>
      <c r="M1436" s="6">
        <f>I1436*10000*SUM(税费参数!$B$9:$B$10)/税费参数!$B$11</f>
        <v>223.125</v>
      </c>
    </row>
    <row r="1437" ht="21" customHeight="1" spans="1:13">
      <c r="A1437" s="5" t="s">
        <v>16</v>
      </c>
      <c r="B1437" s="6" t="s">
        <v>123</v>
      </c>
      <c r="C1437" s="6" t="s">
        <v>152</v>
      </c>
      <c r="D1437" s="6" t="s">
        <v>153</v>
      </c>
      <c r="E1437" s="6" t="s">
        <v>1055</v>
      </c>
      <c r="F1437" s="6" t="s">
        <v>1940</v>
      </c>
      <c r="G1437" s="6">
        <v>55.29</v>
      </c>
      <c r="H1437" s="6">
        <v>55.29</v>
      </c>
      <c r="I1437" s="6">
        <v>119</v>
      </c>
      <c r="J1437" s="6">
        <v>2000</v>
      </c>
      <c r="K1437" s="7">
        <f>(J1437-M1437)*税费参数!$B$12/(I1437*10000*(1+SUM(税费参数!$B$6:$B$8)))</f>
        <v>0.0144617168901459</v>
      </c>
      <c r="L1437" s="7">
        <f>J1437*税费参数!$B$12/(I1437*10000)</f>
        <v>0.0168067226890756</v>
      </c>
      <c r="M1437" s="6">
        <f>I1437*10000*SUM(税费参数!$B$9:$B$10)/税费参数!$B$11</f>
        <v>223.125</v>
      </c>
    </row>
    <row r="1438" ht="21" customHeight="1" spans="1:13">
      <c r="A1438" s="5" t="s">
        <v>16</v>
      </c>
      <c r="B1438" s="6" t="s">
        <v>123</v>
      </c>
      <c r="C1438" s="6" t="s">
        <v>152</v>
      </c>
      <c r="D1438" s="6" t="s">
        <v>153</v>
      </c>
      <c r="E1438" s="6" t="s">
        <v>1055</v>
      </c>
      <c r="F1438" s="6" t="s">
        <v>1941</v>
      </c>
      <c r="G1438" s="6">
        <v>55.29</v>
      </c>
      <c r="H1438" s="6">
        <v>48.88</v>
      </c>
      <c r="I1438" s="6">
        <v>119</v>
      </c>
      <c r="J1438" s="6">
        <v>1800</v>
      </c>
      <c r="K1438" s="7">
        <f>(J1438-M1438)*税费参数!$B$12/(I1438*10000*(1+SUM(税费参数!$B$6:$B$8)))</f>
        <v>0.0128339471381773</v>
      </c>
      <c r="L1438" s="7">
        <f>J1438*税费参数!$B$12/(I1438*10000)</f>
        <v>0.0151260504201681</v>
      </c>
      <c r="M1438" s="6">
        <f>I1438*10000*SUM(税费参数!$B$9:$B$10)/税费参数!$B$11</f>
        <v>223.125</v>
      </c>
    </row>
    <row r="1439" ht="21" customHeight="1" spans="1:13">
      <c r="A1439" s="5" t="s">
        <v>16</v>
      </c>
      <c r="B1439" s="6" t="s">
        <v>123</v>
      </c>
      <c r="C1439" s="6" t="s">
        <v>152</v>
      </c>
      <c r="D1439" s="6" t="s">
        <v>153</v>
      </c>
      <c r="E1439" s="6" t="s">
        <v>1055</v>
      </c>
      <c r="F1439" s="6" t="s">
        <v>1942</v>
      </c>
      <c r="G1439" s="6">
        <v>55.29</v>
      </c>
      <c r="H1439" s="6">
        <v>56.73</v>
      </c>
      <c r="I1439" s="6">
        <v>119</v>
      </c>
      <c r="J1439" s="6">
        <v>2100</v>
      </c>
      <c r="K1439" s="7">
        <f>(J1439-M1439)*税费参数!$B$12/(I1439*10000*(1+SUM(税费参数!$B$6:$B$8)))</f>
        <v>0.0152756017661302</v>
      </c>
      <c r="L1439" s="7">
        <f>J1439*税费参数!$B$12/(I1439*10000)</f>
        <v>0.0176470588235294</v>
      </c>
      <c r="M1439" s="6">
        <f>I1439*10000*SUM(税费参数!$B$9:$B$10)/税费参数!$B$11</f>
        <v>223.125</v>
      </c>
    </row>
    <row r="1440" ht="21" customHeight="1" spans="1:13">
      <c r="A1440" s="5" t="s">
        <v>16</v>
      </c>
      <c r="B1440" s="6" t="s">
        <v>123</v>
      </c>
      <c r="C1440" s="6" t="s">
        <v>152</v>
      </c>
      <c r="D1440" s="6" t="s">
        <v>153</v>
      </c>
      <c r="E1440" s="6" t="s">
        <v>1057</v>
      </c>
      <c r="F1440" s="6" t="s">
        <v>1934</v>
      </c>
      <c r="G1440" s="6">
        <v>55.29</v>
      </c>
      <c r="H1440" s="6">
        <v>55.44</v>
      </c>
      <c r="I1440" s="6">
        <v>120</v>
      </c>
      <c r="J1440" s="6">
        <v>2100</v>
      </c>
      <c r="K1440" s="7">
        <f>(J1440-M1440)*税费参数!$B$12/(I1440*10000*(1+SUM(税费参数!$B$6:$B$8)))</f>
        <v>0.0151331719128329</v>
      </c>
      <c r="L1440" s="7">
        <f>J1440*税费参数!$B$12/(I1440*10000)</f>
        <v>0.0175</v>
      </c>
      <c r="M1440" s="6">
        <f>I1440*10000*SUM(税费参数!$B$9:$B$10)/税费参数!$B$11</f>
        <v>225</v>
      </c>
    </row>
    <row r="1441" ht="21" customHeight="1" spans="1:13">
      <c r="A1441" s="5" t="s">
        <v>16</v>
      </c>
      <c r="B1441" s="6" t="s">
        <v>123</v>
      </c>
      <c r="C1441" s="6" t="s">
        <v>152</v>
      </c>
      <c r="D1441" s="6" t="s">
        <v>153</v>
      </c>
      <c r="E1441" s="6" t="s">
        <v>1057</v>
      </c>
      <c r="F1441" s="6" t="s">
        <v>1935</v>
      </c>
      <c r="G1441" s="6">
        <v>55.29</v>
      </c>
      <c r="H1441" s="6">
        <v>55.44</v>
      </c>
      <c r="I1441" s="6">
        <v>120</v>
      </c>
      <c r="J1441" s="6">
        <v>2000</v>
      </c>
      <c r="K1441" s="7">
        <f>(J1441-M1441)*税费参数!$B$12/(I1441*10000*(1+SUM(税费参数!$B$6:$B$8)))</f>
        <v>0.0143260694108152</v>
      </c>
      <c r="L1441" s="7">
        <f>J1441*税费参数!$B$12/(I1441*10000)</f>
        <v>0.0166666666666667</v>
      </c>
      <c r="M1441" s="6">
        <f>I1441*10000*SUM(税费参数!$B$9:$B$10)/税费参数!$B$11</f>
        <v>225</v>
      </c>
    </row>
    <row r="1442" ht="21" customHeight="1" spans="1:13">
      <c r="A1442" s="5" t="s">
        <v>16</v>
      </c>
      <c r="B1442" s="6" t="s">
        <v>123</v>
      </c>
      <c r="C1442" s="6" t="s">
        <v>152</v>
      </c>
      <c r="D1442" s="6" t="s">
        <v>153</v>
      </c>
      <c r="E1442" s="6" t="s">
        <v>1057</v>
      </c>
      <c r="F1442" s="6" t="s">
        <v>1936</v>
      </c>
      <c r="G1442" s="6">
        <v>55.29</v>
      </c>
      <c r="H1442" s="6">
        <v>51.5</v>
      </c>
      <c r="I1442" s="6">
        <v>120</v>
      </c>
      <c r="J1442" s="6">
        <v>1700</v>
      </c>
      <c r="K1442" s="7">
        <f>(J1442-M1442)*税费参数!$B$12/(I1442*10000*(1+SUM(税费参数!$B$6:$B$8)))</f>
        <v>0.0119047619047619</v>
      </c>
      <c r="L1442" s="7">
        <f>J1442*税费参数!$B$12/(I1442*10000)</f>
        <v>0.0141666666666667</v>
      </c>
      <c r="M1442" s="6">
        <f>I1442*10000*SUM(税费参数!$B$9:$B$10)/税费参数!$B$11</f>
        <v>225</v>
      </c>
    </row>
    <row r="1443" ht="21" customHeight="1" spans="1:13">
      <c r="A1443" s="5" t="s">
        <v>16</v>
      </c>
      <c r="B1443" s="6" t="s">
        <v>123</v>
      </c>
      <c r="C1443" s="6" t="s">
        <v>152</v>
      </c>
      <c r="D1443" s="6" t="s">
        <v>153</v>
      </c>
      <c r="E1443" s="6" t="s">
        <v>1057</v>
      </c>
      <c r="F1443" s="6" t="s">
        <v>1937</v>
      </c>
      <c r="G1443" s="6">
        <v>55.29</v>
      </c>
      <c r="H1443" s="6">
        <v>55.29</v>
      </c>
      <c r="I1443" s="6">
        <v>120</v>
      </c>
      <c r="J1443" s="6">
        <v>2200</v>
      </c>
      <c r="K1443" s="7">
        <f>(J1443-M1443)*税费参数!$B$12/(I1443*10000*(1+SUM(税费参数!$B$6:$B$8)))</f>
        <v>0.0159402744148507</v>
      </c>
      <c r="L1443" s="7">
        <f>J1443*税费参数!$B$12/(I1443*10000)</f>
        <v>0.0183333333333333</v>
      </c>
      <c r="M1443" s="6">
        <f>I1443*10000*SUM(税费参数!$B$9:$B$10)/税费参数!$B$11</f>
        <v>225</v>
      </c>
    </row>
    <row r="1444" ht="21" customHeight="1" spans="1:13">
      <c r="A1444" s="5" t="s">
        <v>16</v>
      </c>
      <c r="B1444" s="6" t="s">
        <v>123</v>
      </c>
      <c r="C1444" s="6" t="s">
        <v>152</v>
      </c>
      <c r="D1444" s="6" t="s">
        <v>153</v>
      </c>
      <c r="E1444" s="6" t="s">
        <v>1057</v>
      </c>
      <c r="F1444" s="6" t="s">
        <v>1938</v>
      </c>
      <c r="G1444" s="6">
        <v>55.29</v>
      </c>
      <c r="H1444" s="6">
        <v>49.83</v>
      </c>
      <c r="I1444" s="6">
        <v>120</v>
      </c>
      <c r="J1444" s="6">
        <v>1500</v>
      </c>
      <c r="K1444" s="7">
        <f>(J1444-M1444)*税费参数!$B$12/(I1444*10000*(1+SUM(税费参数!$B$6:$B$8)))</f>
        <v>0.0102905569007264</v>
      </c>
      <c r="L1444" s="7">
        <f>J1444*税费参数!$B$12/(I1444*10000)</f>
        <v>0.0125</v>
      </c>
      <c r="M1444" s="6">
        <f>I1444*10000*SUM(税费参数!$B$9:$B$10)/税费参数!$B$11</f>
        <v>225</v>
      </c>
    </row>
    <row r="1445" ht="21" customHeight="1" spans="1:13">
      <c r="A1445" s="5" t="s">
        <v>16</v>
      </c>
      <c r="B1445" s="6" t="s">
        <v>123</v>
      </c>
      <c r="C1445" s="6" t="s">
        <v>152</v>
      </c>
      <c r="D1445" s="6" t="s">
        <v>153</v>
      </c>
      <c r="E1445" s="6" t="s">
        <v>1057</v>
      </c>
      <c r="F1445" s="6" t="s">
        <v>1939</v>
      </c>
      <c r="G1445" s="6">
        <v>55.29</v>
      </c>
      <c r="H1445" s="6">
        <v>47.65</v>
      </c>
      <c r="I1445" s="6">
        <v>120</v>
      </c>
      <c r="J1445" s="6">
        <v>1800</v>
      </c>
      <c r="K1445" s="7">
        <f>(J1445-M1445)*税费参数!$B$12/(I1445*10000*(1+SUM(税费参数!$B$6:$B$8)))</f>
        <v>0.0127118644067797</v>
      </c>
      <c r="L1445" s="7">
        <f>J1445*税费参数!$B$12/(I1445*10000)</f>
        <v>0.015</v>
      </c>
      <c r="M1445" s="6">
        <f>I1445*10000*SUM(税费参数!$B$9:$B$10)/税费参数!$B$11</f>
        <v>225</v>
      </c>
    </row>
    <row r="1446" ht="21" customHeight="1" spans="1:13">
      <c r="A1446" s="5" t="s">
        <v>16</v>
      </c>
      <c r="B1446" s="6" t="s">
        <v>123</v>
      </c>
      <c r="C1446" s="6" t="s">
        <v>152</v>
      </c>
      <c r="D1446" s="6" t="s">
        <v>153</v>
      </c>
      <c r="E1446" s="6" t="s">
        <v>1057</v>
      </c>
      <c r="F1446" s="6" t="s">
        <v>1940</v>
      </c>
      <c r="G1446" s="6">
        <v>55.29</v>
      </c>
      <c r="H1446" s="6">
        <v>55.29</v>
      </c>
      <c r="I1446" s="6">
        <v>120</v>
      </c>
      <c r="J1446" s="6">
        <v>2000</v>
      </c>
      <c r="K1446" s="7">
        <f>(J1446-M1446)*税费参数!$B$12/(I1446*10000*(1+SUM(税费参数!$B$6:$B$8)))</f>
        <v>0.0143260694108152</v>
      </c>
      <c r="L1446" s="7">
        <f>J1446*税费参数!$B$12/(I1446*10000)</f>
        <v>0.0166666666666667</v>
      </c>
      <c r="M1446" s="6">
        <f>I1446*10000*SUM(税费参数!$B$9:$B$10)/税费参数!$B$11</f>
        <v>225</v>
      </c>
    </row>
    <row r="1447" ht="21" customHeight="1" spans="1:13">
      <c r="A1447" s="5" t="s">
        <v>16</v>
      </c>
      <c r="B1447" s="6" t="s">
        <v>123</v>
      </c>
      <c r="C1447" s="6" t="s">
        <v>152</v>
      </c>
      <c r="D1447" s="6" t="s">
        <v>153</v>
      </c>
      <c r="E1447" s="6" t="s">
        <v>1057</v>
      </c>
      <c r="F1447" s="6" t="s">
        <v>1941</v>
      </c>
      <c r="G1447" s="6">
        <v>55.29</v>
      </c>
      <c r="H1447" s="6">
        <v>48.88</v>
      </c>
      <c r="I1447" s="6">
        <v>120</v>
      </c>
      <c r="J1447" s="6">
        <v>1800</v>
      </c>
      <c r="K1447" s="7">
        <f>(J1447-M1447)*税费参数!$B$12/(I1447*10000*(1+SUM(税费参数!$B$6:$B$8)))</f>
        <v>0.0127118644067797</v>
      </c>
      <c r="L1447" s="7">
        <f>J1447*税费参数!$B$12/(I1447*10000)</f>
        <v>0.015</v>
      </c>
      <c r="M1447" s="6">
        <f>I1447*10000*SUM(税费参数!$B$9:$B$10)/税费参数!$B$11</f>
        <v>225</v>
      </c>
    </row>
    <row r="1448" ht="21" customHeight="1" spans="1:13">
      <c r="A1448" s="5" t="s">
        <v>16</v>
      </c>
      <c r="B1448" s="6" t="s">
        <v>123</v>
      </c>
      <c r="C1448" s="6" t="s">
        <v>152</v>
      </c>
      <c r="D1448" s="6" t="s">
        <v>153</v>
      </c>
      <c r="E1448" s="6" t="s">
        <v>1057</v>
      </c>
      <c r="F1448" s="6" t="s">
        <v>1942</v>
      </c>
      <c r="G1448" s="6">
        <v>55.29</v>
      </c>
      <c r="H1448" s="6">
        <v>56.73</v>
      </c>
      <c r="I1448" s="6">
        <v>120</v>
      </c>
      <c r="J1448" s="6">
        <v>2100</v>
      </c>
      <c r="K1448" s="7">
        <f>(J1448-M1448)*税费参数!$B$12/(I1448*10000*(1+SUM(税费参数!$B$6:$B$8)))</f>
        <v>0.0151331719128329</v>
      </c>
      <c r="L1448" s="7">
        <f>J1448*税费参数!$B$12/(I1448*10000)</f>
        <v>0.0175</v>
      </c>
      <c r="M1448" s="6">
        <f>I1448*10000*SUM(税费参数!$B$9:$B$10)/税费参数!$B$11</f>
        <v>225</v>
      </c>
    </row>
    <row r="1449" ht="21" customHeight="1" spans="1:13">
      <c r="A1449" s="5" t="s">
        <v>16</v>
      </c>
      <c r="B1449" s="6" t="s">
        <v>123</v>
      </c>
      <c r="C1449" s="6" t="s">
        <v>152</v>
      </c>
      <c r="D1449" s="6" t="s">
        <v>153</v>
      </c>
      <c r="E1449" s="6" t="s">
        <v>1063</v>
      </c>
      <c r="F1449" s="6" t="s">
        <v>1934</v>
      </c>
      <c r="G1449" s="6">
        <v>50.55</v>
      </c>
      <c r="H1449" s="6">
        <v>55.44</v>
      </c>
      <c r="I1449" s="6">
        <v>115</v>
      </c>
      <c r="J1449" s="6">
        <v>2100</v>
      </c>
      <c r="K1449" s="7">
        <f>(J1449-M1449)*税费参数!$B$12/(I1449*10000*(1+SUM(税费参数!$B$6:$B$8)))</f>
        <v>0.0158700915885883</v>
      </c>
      <c r="L1449" s="7">
        <f>J1449*税费参数!$B$12/(I1449*10000)</f>
        <v>0.0182608695652174</v>
      </c>
      <c r="M1449" s="6">
        <f>I1449*10000*SUM(税费参数!$B$9:$B$10)/税费参数!$B$11</f>
        <v>215.625</v>
      </c>
    </row>
    <row r="1450" ht="21" customHeight="1" spans="1:13">
      <c r="A1450" s="5" t="s">
        <v>16</v>
      </c>
      <c r="B1450" s="6" t="s">
        <v>123</v>
      </c>
      <c r="C1450" s="6" t="s">
        <v>152</v>
      </c>
      <c r="D1450" s="6" t="s">
        <v>153</v>
      </c>
      <c r="E1450" s="6" t="s">
        <v>1063</v>
      </c>
      <c r="F1450" s="6" t="s">
        <v>1935</v>
      </c>
      <c r="G1450" s="6">
        <v>50.55</v>
      </c>
      <c r="H1450" s="6">
        <v>55.44</v>
      </c>
      <c r="I1450" s="6">
        <v>115</v>
      </c>
      <c r="J1450" s="6">
        <v>2000</v>
      </c>
      <c r="K1450" s="7">
        <f>(J1450-M1450)*税费参数!$B$12/(I1450*10000*(1+SUM(税费参数!$B$6:$B$8)))</f>
        <v>0.0150278976734393</v>
      </c>
      <c r="L1450" s="7">
        <f>J1450*税费参数!$B$12/(I1450*10000)</f>
        <v>0.0173913043478261</v>
      </c>
      <c r="M1450" s="6">
        <f>I1450*10000*SUM(税费参数!$B$9:$B$10)/税费参数!$B$11</f>
        <v>215.625</v>
      </c>
    </row>
    <row r="1451" ht="21" customHeight="1" spans="1:13">
      <c r="A1451" s="5" t="s">
        <v>16</v>
      </c>
      <c r="B1451" s="6" t="s">
        <v>123</v>
      </c>
      <c r="C1451" s="6" t="s">
        <v>152</v>
      </c>
      <c r="D1451" s="6" t="s">
        <v>153</v>
      </c>
      <c r="E1451" s="6" t="s">
        <v>1063</v>
      </c>
      <c r="F1451" s="6" t="s">
        <v>1936</v>
      </c>
      <c r="G1451" s="6">
        <v>50.55</v>
      </c>
      <c r="H1451" s="6">
        <v>51.5</v>
      </c>
      <c r="I1451" s="6">
        <v>115</v>
      </c>
      <c r="J1451" s="6">
        <v>1700</v>
      </c>
      <c r="K1451" s="7">
        <f>(J1451-M1451)*税费参数!$B$12/(I1451*10000*(1+SUM(税费参数!$B$6:$B$8)))</f>
        <v>0.0125013159279924</v>
      </c>
      <c r="L1451" s="7">
        <f>J1451*税费参数!$B$12/(I1451*10000)</f>
        <v>0.0147826086956522</v>
      </c>
      <c r="M1451" s="6">
        <f>I1451*10000*SUM(税费参数!$B$9:$B$10)/税费参数!$B$11</f>
        <v>215.625</v>
      </c>
    </row>
    <row r="1452" ht="21" customHeight="1" spans="1:13">
      <c r="A1452" s="5" t="s">
        <v>16</v>
      </c>
      <c r="B1452" s="6" t="s">
        <v>123</v>
      </c>
      <c r="C1452" s="6" t="s">
        <v>152</v>
      </c>
      <c r="D1452" s="6" t="s">
        <v>153</v>
      </c>
      <c r="E1452" s="6" t="s">
        <v>1063</v>
      </c>
      <c r="F1452" s="6" t="s">
        <v>1937</v>
      </c>
      <c r="G1452" s="6">
        <v>50.55</v>
      </c>
      <c r="H1452" s="6">
        <v>55.29</v>
      </c>
      <c r="I1452" s="6">
        <v>115</v>
      </c>
      <c r="J1452" s="6">
        <v>2200</v>
      </c>
      <c r="K1452" s="7">
        <f>(J1452-M1452)*税费参数!$B$12/(I1452*10000*(1+SUM(税费参数!$B$6:$B$8)))</f>
        <v>0.0167122855037372</v>
      </c>
      <c r="L1452" s="7">
        <f>J1452*税费参数!$B$12/(I1452*10000)</f>
        <v>0.0191304347826087</v>
      </c>
      <c r="M1452" s="6">
        <f>I1452*10000*SUM(税费参数!$B$9:$B$10)/税费参数!$B$11</f>
        <v>215.625</v>
      </c>
    </row>
    <row r="1453" ht="21" customHeight="1" spans="1:13">
      <c r="A1453" s="5" t="s">
        <v>16</v>
      </c>
      <c r="B1453" s="6" t="s">
        <v>123</v>
      </c>
      <c r="C1453" s="6" t="s">
        <v>152</v>
      </c>
      <c r="D1453" s="6" t="s">
        <v>153</v>
      </c>
      <c r="E1453" s="6" t="s">
        <v>1063</v>
      </c>
      <c r="F1453" s="6" t="s">
        <v>1943</v>
      </c>
      <c r="G1453" s="6">
        <v>50.55</v>
      </c>
      <c r="H1453" s="6">
        <v>43.85</v>
      </c>
      <c r="I1453" s="6">
        <v>115</v>
      </c>
      <c r="J1453" s="6">
        <v>1700</v>
      </c>
      <c r="K1453" s="7">
        <f>(J1453-M1453)*税费参数!$B$12/(I1453*10000*(1+SUM(税费参数!$B$6:$B$8)))</f>
        <v>0.0125013159279924</v>
      </c>
      <c r="L1453" s="7">
        <f>J1453*税费参数!$B$12/(I1453*10000)</f>
        <v>0.0147826086956522</v>
      </c>
      <c r="M1453" s="6">
        <f>I1453*10000*SUM(税费参数!$B$9:$B$10)/税费参数!$B$11</f>
        <v>215.625</v>
      </c>
    </row>
    <row r="1454" ht="21" customHeight="1" spans="1:13">
      <c r="A1454" s="5" t="s">
        <v>16</v>
      </c>
      <c r="B1454" s="6" t="s">
        <v>123</v>
      </c>
      <c r="C1454" s="6" t="s">
        <v>152</v>
      </c>
      <c r="D1454" s="6" t="s">
        <v>153</v>
      </c>
      <c r="E1454" s="6" t="s">
        <v>1063</v>
      </c>
      <c r="F1454" s="6" t="s">
        <v>1938</v>
      </c>
      <c r="G1454" s="6">
        <v>50.55</v>
      </c>
      <c r="H1454" s="6">
        <v>49.83</v>
      </c>
      <c r="I1454" s="6">
        <v>115</v>
      </c>
      <c r="J1454" s="6">
        <v>1500</v>
      </c>
      <c r="K1454" s="7">
        <f>(J1454-M1454)*税费参数!$B$12/(I1454*10000*(1+SUM(税费参数!$B$6:$B$8)))</f>
        <v>0.0108169280976945</v>
      </c>
      <c r="L1454" s="7">
        <f>J1454*税费参数!$B$12/(I1454*10000)</f>
        <v>0.0130434782608696</v>
      </c>
      <c r="M1454" s="6">
        <f>I1454*10000*SUM(税费参数!$B$9:$B$10)/税费参数!$B$11</f>
        <v>215.625</v>
      </c>
    </row>
    <row r="1455" ht="21" customHeight="1" spans="1:13">
      <c r="A1455" s="5" t="s">
        <v>16</v>
      </c>
      <c r="B1455" s="6" t="s">
        <v>123</v>
      </c>
      <c r="C1455" s="6" t="s">
        <v>152</v>
      </c>
      <c r="D1455" s="6" t="s">
        <v>153</v>
      </c>
      <c r="E1455" s="6" t="s">
        <v>1063</v>
      </c>
      <c r="F1455" s="6" t="s">
        <v>1939</v>
      </c>
      <c r="G1455" s="6">
        <v>50.55</v>
      </c>
      <c r="H1455" s="6">
        <v>47.65</v>
      </c>
      <c r="I1455" s="6">
        <v>115</v>
      </c>
      <c r="J1455" s="6">
        <v>1800</v>
      </c>
      <c r="K1455" s="7">
        <f>(J1455-M1455)*税费参数!$B$12/(I1455*10000*(1+SUM(税费参数!$B$6:$B$8)))</f>
        <v>0.0133435098431414</v>
      </c>
      <c r="L1455" s="7">
        <f>J1455*税费参数!$B$12/(I1455*10000)</f>
        <v>0.0156521739130435</v>
      </c>
      <c r="M1455" s="6">
        <f>I1455*10000*SUM(税费参数!$B$9:$B$10)/税费参数!$B$11</f>
        <v>215.625</v>
      </c>
    </row>
    <row r="1456" ht="21" customHeight="1" spans="1:13">
      <c r="A1456" s="5" t="s">
        <v>16</v>
      </c>
      <c r="B1456" s="6" t="s">
        <v>123</v>
      </c>
      <c r="C1456" s="6" t="s">
        <v>152</v>
      </c>
      <c r="D1456" s="6" t="s">
        <v>153</v>
      </c>
      <c r="E1456" s="6" t="s">
        <v>1063</v>
      </c>
      <c r="F1456" s="6" t="s">
        <v>1940</v>
      </c>
      <c r="G1456" s="6">
        <v>50.55</v>
      </c>
      <c r="H1456" s="6">
        <v>55.29</v>
      </c>
      <c r="I1456" s="6">
        <v>115</v>
      </c>
      <c r="J1456" s="6">
        <v>2000</v>
      </c>
      <c r="K1456" s="7">
        <f>(J1456-M1456)*税费参数!$B$12/(I1456*10000*(1+SUM(税费参数!$B$6:$B$8)))</f>
        <v>0.0150278976734393</v>
      </c>
      <c r="L1456" s="7">
        <f>J1456*税费参数!$B$12/(I1456*10000)</f>
        <v>0.0173913043478261</v>
      </c>
      <c r="M1456" s="6">
        <f>I1456*10000*SUM(税费参数!$B$9:$B$10)/税费参数!$B$11</f>
        <v>215.625</v>
      </c>
    </row>
    <row r="1457" ht="21" customHeight="1" spans="1:13">
      <c r="A1457" s="5" t="s">
        <v>16</v>
      </c>
      <c r="B1457" s="6" t="s">
        <v>123</v>
      </c>
      <c r="C1457" s="6" t="s">
        <v>152</v>
      </c>
      <c r="D1457" s="6" t="s">
        <v>153</v>
      </c>
      <c r="E1457" s="6" t="s">
        <v>1063</v>
      </c>
      <c r="F1457" s="6" t="s">
        <v>1941</v>
      </c>
      <c r="G1457" s="6">
        <v>50.55</v>
      </c>
      <c r="H1457" s="6">
        <v>48.88</v>
      </c>
      <c r="I1457" s="6">
        <v>115</v>
      </c>
      <c r="J1457" s="6">
        <v>1800</v>
      </c>
      <c r="K1457" s="7">
        <f>(J1457-M1457)*税费参数!$B$12/(I1457*10000*(1+SUM(税费参数!$B$6:$B$8)))</f>
        <v>0.0133435098431414</v>
      </c>
      <c r="L1457" s="7">
        <f>J1457*税费参数!$B$12/(I1457*10000)</f>
        <v>0.0156521739130435</v>
      </c>
      <c r="M1457" s="6">
        <f>I1457*10000*SUM(税费参数!$B$9:$B$10)/税费参数!$B$11</f>
        <v>215.625</v>
      </c>
    </row>
    <row r="1458" ht="21" customHeight="1" spans="1:13">
      <c r="A1458" s="5" t="s">
        <v>16</v>
      </c>
      <c r="B1458" s="6" t="s">
        <v>123</v>
      </c>
      <c r="C1458" s="6" t="s">
        <v>152</v>
      </c>
      <c r="D1458" s="6" t="s">
        <v>153</v>
      </c>
      <c r="E1458" s="6" t="s">
        <v>1063</v>
      </c>
      <c r="F1458" s="6" t="s">
        <v>1942</v>
      </c>
      <c r="G1458" s="6">
        <v>50.55</v>
      </c>
      <c r="H1458" s="6">
        <v>56.73</v>
      </c>
      <c r="I1458" s="6">
        <v>115</v>
      </c>
      <c r="J1458" s="6">
        <v>2100</v>
      </c>
      <c r="K1458" s="7">
        <f>(J1458-M1458)*税费参数!$B$12/(I1458*10000*(1+SUM(税费参数!$B$6:$B$8)))</f>
        <v>0.0158700915885883</v>
      </c>
      <c r="L1458" s="7">
        <f>J1458*税费参数!$B$12/(I1458*10000)</f>
        <v>0.0182608695652174</v>
      </c>
      <c r="M1458" s="6">
        <f>I1458*10000*SUM(税费参数!$B$9:$B$10)/税费参数!$B$11</f>
        <v>215.625</v>
      </c>
    </row>
    <row r="1459" ht="21" customHeight="1" spans="1:13">
      <c r="A1459" s="5" t="s">
        <v>16</v>
      </c>
      <c r="B1459" s="6" t="s">
        <v>123</v>
      </c>
      <c r="C1459" s="6" t="s">
        <v>152</v>
      </c>
      <c r="D1459" s="6" t="s">
        <v>153</v>
      </c>
      <c r="E1459" s="6" t="s">
        <v>1059</v>
      </c>
      <c r="F1459" s="6" t="s">
        <v>1934</v>
      </c>
      <c r="G1459" s="6">
        <v>55.44</v>
      </c>
      <c r="H1459" s="6">
        <v>55.44</v>
      </c>
      <c r="I1459" s="6">
        <v>120</v>
      </c>
      <c r="J1459" s="6">
        <v>2100</v>
      </c>
      <c r="K1459" s="7">
        <f>(J1459-M1459)*税费参数!$B$12/(I1459*10000*(1+SUM(税费参数!$B$6:$B$8)))</f>
        <v>0.0151331719128329</v>
      </c>
      <c r="L1459" s="7">
        <f>J1459*税费参数!$B$12/(I1459*10000)</f>
        <v>0.0175</v>
      </c>
      <c r="M1459" s="6">
        <f>I1459*10000*SUM(税费参数!$B$9:$B$10)/税费参数!$B$11</f>
        <v>225</v>
      </c>
    </row>
    <row r="1460" ht="21" customHeight="1" spans="1:13">
      <c r="A1460" s="5" t="s">
        <v>16</v>
      </c>
      <c r="B1460" s="6" t="s">
        <v>123</v>
      </c>
      <c r="C1460" s="6" t="s">
        <v>152</v>
      </c>
      <c r="D1460" s="6" t="s">
        <v>153</v>
      </c>
      <c r="E1460" s="6" t="s">
        <v>1059</v>
      </c>
      <c r="F1460" s="6" t="s">
        <v>1935</v>
      </c>
      <c r="G1460" s="6">
        <v>55.44</v>
      </c>
      <c r="H1460" s="6">
        <v>55.44</v>
      </c>
      <c r="I1460" s="6">
        <v>120</v>
      </c>
      <c r="J1460" s="6">
        <v>2000</v>
      </c>
      <c r="K1460" s="7">
        <f>(J1460-M1460)*税费参数!$B$12/(I1460*10000*(1+SUM(税费参数!$B$6:$B$8)))</f>
        <v>0.0143260694108152</v>
      </c>
      <c r="L1460" s="7">
        <f>J1460*税费参数!$B$12/(I1460*10000)</f>
        <v>0.0166666666666667</v>
      </c>
      <c r="M1460" s="6">
        <f>I1460*10000*SUM(税费参数!$B$9:$B$10)/税费参数!$B$11</f>
        <v>225</v>
      </c>
    </row>
    <row r="1461" ht="21" customHeight="1" spans="1:13">
      <c r="A1461" s="5" t="s">
        <v>16</v>
      </c>
      <c r="B1461" s="6" t="s">
        <v>123</v>
      </c>
      <c r="C1461" s="6" t="s">
        <v>152</v>
      </c>
      <c r="D1461" s="6" t="s">
        <v>153</v>
      </c>
      <c r="E1461" s="6" t="s">
        <v>1059</v>
      </c>
      <c r="F1461" s="6" t="s">
        <v>1936</v>
      </c>
      <c r="G1461" s="6">
        <v>55.44</v>
      </c>
      <c r="H1461" s="6">
        <v>51.5</v>
      </c>
      <c r="I1461" s="6">
        <v>120</v>
      </c>
      <c r="J1461" s="6">
        <v>1700</v>
      </c>
      <c r="K1461" s="7">
        <f>(J1461-M1461)*税费参数!$B$12/(I1461*10000*(1+SUM(税费参数!$B$6:$B$8)))</f>
        <v>0.0119047619047619</v>
      </c>
      <c r="L1461" s="7">
        <f>J1461*税费参数!$B$12/(I1461*10000)</f>
        <v>0.0141666666666667</v>
      </c>
      <c r="M1461" s="6">
        <f>I1461*10000*SUM(税费参数!$B$9:$B$10)/税费参数!$B$11</f>
        <v>225</v>
      </c>
    </row>
    <row r="1462" ht="21" customHeight="1" spans="1:13">
      <c r="A1462" s="5" t="s">
        <v>16</v>
      </c>
      <c r="B1462" s="6" t="s">
        <v>123</v>
      </c>
      <c r="C1462" s="6" t="s">
        <v>152</v>
      </c>
      <c r="D1462" s="6" t="s">
        <v>153</v>
      </c>
      <c r="E1462" s="6" t="s">
        <v>1059</v>
      </c>
      <c r="F1462" s="6" t="s">
        <v>1937</v>
      </c>
      <c r="G1462" s="6">
        <v>55.44</v>
      </c>
      <c r="H1462" s="6">
        <v>55.29</v>
      </c>
      <c r="I1462" s="6">
        <v>120</v>
      </c>
      <c r="J1462" s="6">
        <v>2200</v>
      </c>
      <c r="K1462" s="7">
        <f>(J1462-M1462)*税费参数!$B$12/(I1462*10000*(1+SUM(税费参数!$B$6:$B$8)))</f>
        <v>0.0159402744148507</v>
      </c>
      <c r="L1462" s="7">
        <f>J1462*税费参数!$B$12/(I1462*10000)</f>
        <v>0.0183333333333333</v>
      </c>
      <c r="M1462" s="6">
        <f>I1462*10000*SUM(税费参数!$B$9:$B$10)/税费参数!$B$11</f>
        <v>225</v>
      </c>
    </row>
    <row r="1463" ht="21" customHeight="1" spans="1:13">
      <c r="A1463" s="5" t="s">
        <v>16</v>
      </c>
      <c r="B1463" s="6" t="s">
        <v>123</v>
      </c>
      <c r="C1463" s="6" t="s">
        <v>152</v>
      </c>
      <c r="D1463" s="6" t="s">
        <v>153</v>
      </c>
      <c r="E1463" s="6" t="s">
        <v>1059</v>
      </c>
      <c r="F1463" s="6" t="s">
        <v>1938</v>
      </c>
      <c r="G1463" s="6">
        <v>55.44</v>
      </c>
      <c r="H1463" s="6">
        <v>49.83</v>
      </c>
      <c r="I1463" s="6">
        <v>120</v>
      </c>
      <c r="J1463" s="6">
        <v>1500</v>
      </c>
      <c r="K1463" s="7">
        <f>(J1463-M1463)*税费参数!$B$12/(I1463*10000*(1+SUM(税费参数!$B$6:$B$8)))</f>
        <v>0.0102905569007264</v>
      </c>
      <c r="L1463" s="7">
        <f>J1463*税费参数!$B$12/(I1463*10000)</f>
        <v>0.0125</v>
      </c>
      <c r="M1463" s="6">
        <f>I1463*10000*SUM(税费参数!$B$9:$B$10)/税费参数!$B$11</f>
        <v>225</v>
      </c>
    </row>
    <row r="1464" ht="21" customHeight="1" spans="1:13">
      <c r="A1464" s="5" t="s">
        <v>16</v>
      </c>
      <c r="B1464" s="6" t="s">
        <v>123</v>
      </c>
      <c r="C1464" s="6" t="s">
        <v>152</v>
      </c>
      <c r="D1464" s="6" t="s">
        <v>153</v>
      </c>
      <c r="E1464" s="6" t="s">
        <v>1059</v>
      </c>
      <c r="F1464" s="6" t="s">
        <v>1939</v>
      </c>
      <c r="G1464" s="6">
        <v>55.44</v>
      </c>
      <c r="H1464" s="6">
        <v>47.65</v>
      </c>
      <c r="I1464" s="6">
        <v>120</v>
      </c>
      <c r="J1464" s="6">
        <v>1800</v>
      </c>
      <c r="K1464" s="7">
        <f>(J1464-M1464)*税费参数!$B$12/(I1464*10000*(1+SUM(税费参数!$B$6:$B$8)))</f>
        <v>0.0127118644067797</v>
      </c>
      <c r="L1464" s="7">
        <f>J1464*税费参数!$B$12/(I1464*10000)</f>
        <v>0.015</v>
      </c>
      <c r="M1464" s="6">
        <f>I1464*10000*SUM(税费参数!$B$9:$B$10)/税费参数!$B$11</f>
        <v>225</v>
      </c>
    </row>
    <row r="1465" ht="21" customHeight="1" spans="1:13">
      <c r="A1465" s="5" t="s">
        <v>16</v>
      </c>
      <c r="B1465" s="6" t="s">
        <v>123</v>
      </c>
      <c r="C1465" s="6" t="s">
        <v>152</v>
      </c>
      <c r="D1465" s="6" t="s">
        <v>153</v>
      </c>
      <c r="E1465" s="6" t="s">
        <v>1059</v>
      </c>
      <c r="F1465" s="6" t="s">
        <v>1940</v>
      </c>
      <c r="G1465" s="6">
        <v>55.44</v>
      </c>
      <c r="H1465" s="6">
        <v>55.29</v>
      </c>
      <c r="I1465" s="6">
        <v>120</v>
      </c>
      <c r="J1465" s="6">
        <v>2000</v>
      </c>
      <c r="K1465" s="7">
        <f>(J1465-M1465)*税费参数!$B$12/(I1465*10000*(1+SUM(税费参数!$B$6:$B$8)))</f>
        <v>0.0143260694108152</v>
      </c>
      <c r="L1465" s="7">
        <f>J1465*税费参数!$B$12/(I1465*10000)</f>
        <v>0.0166666666666667</v>
      </c>
      <c r="M1465" s="6">
        <f>I1465*10000*SUM(税费参数!$B$9:$B$10)/税费参数!$B$11</f>
        <v>225</v>
      </c>
    </row>
    <row r="1466" ht="21" customHeight="1" spans="1:13">
      <c r="A1466" s="5" t="s">
        <v>16</v>
      </c>
      <c r="B1466" s="6" t="s">
        <v>123</v>
      </c>
      <c r="C1466" s="6" t="s">
        <v>152</v>
      </c>
      <c r="D1466" s="6" t="s">
        <v>153</v>
      </c>
      <c r="E1466" s="6" t="s">
        <v>1059</v>
      </c>
      <c r="F1466" s="6" t="s">
        <v>1941</v>
      </c>
      <c r="G1466" s="6">
        <v>55.44</v>
      </c>
      <c r="H1466" s="6">
        <v>48.88</v>
      </c>
      <c r="I1466" s="6">
        <v>120</v>
      </c>
      <c r="J1466" s="6">
        <v>1800</v>
      </c>
      <c r="K1466" s="7">
        <f>(J1466-M1466)*税费参数!$B$12/(I1466*10000*(1+SUM(税费参数!$B$6:$B$8)))</f>
        <v>0.0127118644067797</v>
      </c>
      <c r="L1466" s="7">
        <f>J1466*税费参数!$B$12/(I1466*10000)</f>
        <v>0.015</v>
      </c>
      <c r="M1466" s="6">
        <f>I1466*10000*SUM(税费参数!$B$9:$B$10)/税费参数!$B$11</f>
        <v>225</v>
      </c>
    </row>
    <row r="1467" ht="21" customHeight="1" spans="1:13">
      <c r="A1467" s="5" t="s">
        <v>16</v>
      </c>
      <c r="B1467" s="6" t="s">
        <v>123</v>
      </c>
      <c r="C1467" s="6" t="s">
        <v>152</v>
      </c>
      <c r="D1467" s="6" t="s">
        <v>153</v>
      </c>
      <c r="E1467" s="6" t="s">
        <v>1059</v>
      </c>
      <c r="F1467" s="6" t="s">
        <v>1942</v>
      </c>
      <c r="G1467" s="6">
        <v>55.44</v>
      </c>
      <c r="H1467" s="6">
        <v>56.73</v>
      </c>
      <c r="I1467" s="6">
        <v>120</v>
      </c>
      <c r="J1467" s="6">
        <v>2100</v>
      </c>
      <c r="K1467" s="7">
        <f>(J1467-M1467)*税费参数!$B$12/(I1467*10000*(1+SUM(税费参数!$B$6:$B$8)))</f>
        <v>0.0151331719128329</v>
      </c>
      <c r="L1467" s="7">
        <f>J1467*税费参数!$B$12/(I1467*10000)</f>
        <v>0.0175</v>
      </c>
      <c r="M1467" s="6">
        <f>I1467*10000*SUM(税费参数!$B$9:$B$10)/税费参数!$B$11</f>
        <v>225</v>
      </c>
    </row>
    <row r="1468" ht="21" customHeight="1" spans="1:13">
      <c r="A1468" s="5" t="s">
        <v>16</v>
      </c>
      <c r="B1468" s="6" t="s">
        <v>123</v>
      </c>
      <c r="C1468" s="6" t="s">
        <v>152</v>
      </c>
      <c r="D1468" s="6" t="s">
        <v>153</v>
      </c>
      <c r="E1468" s="6" t="s">
        <v>1065</v>
      </c>
      <c r="F1468" s="6" t="s">
        <v>1934</v>
      </c>
      <c r="G1468" s="6">
        <v>48.88</v>
      </c>
      <c r="H1468" s="6">
        <v>55.44</v>
      </c>
      <c r="I1468" s="6">
        <v>103</v>
      </c>
      <c r="J1468" s="6">
        <v>2100</v>
      </c>
      <c r="K1468" s="7">
        <f>(J1468-M1468)*税费参数!$B$12/(I1468*10000*(1+SUM(税费参数!$B$6:$B$8)))</f>
        <v>0.0179306048567197</v>
      </c>
      <c r="L1468" s="7">
        <f>J1468*税费参数!$B$12/(I1468*10000)</f>
        <v>0.0203883495145631</v>
      </c>
      <c r="M1468" s="6">
        <f>I1468*10000*SUM(税费参数!$B$9:$B$10)/税费参数!$B$11</f>
        <v>193.125</v>
      </c>
    </row>
    <row r="1469" ht="21" customHeight="1" spans="1:13">
      <c r="A1469" s="5" t="s">
        <v>16</v>
      </c>
      <c r="B1469" s="6" t="s">
        <v>123</v>
      </c>
      <c r="C1469" s="6" t="s">
        <v>152</v>
      </c>
      <c r="D1469" s="6" t="s">
        <v>153</v>
      </c>
      <c r="E1469" s="6" t="s">
        <v>1065</v>
      </c>
      <c r="F1469" s="6" t="s">
        <v>1944</v>
      </c>
      <c r="G1469" s="6">
        <v>48.88</v>
      </c>
      <c r="H1469" s="6">
        <v>42.9</v>
      </c>
      <c r="I1469" s="6">
        <v>103</v>
      </c>
      <c r="J1469" s="6">
        <v>1700</v>
      </c>
      <c r="K1469" s="7">
        <f>(J1469-M1469)*税费参数!$B$12/(I1469*10000*(1+SUM(税费参数!$B$6:$B$8)))</f>
        <v>0.0141693504783845</v>
      </c>
      <c r="L1469" s="7">
        <f>J1469*税费参数!$B$12/(I1469*10000)</f>
        <v>0.016504854368932</v>
      </c>
      <c r="M1469" s="6">
        <f>I1469*10000*SUM(税费参数!$B$9:$B$10)/税费参数!$B$11</f>
        <v>193.125</v>
      </c>
    </row>
    <row r="1470" ht="21" customHeight="1" spans="1:13">
      <c r="A1470" s="5" t="s">
        <v>16</v>
      </c>
      <c r="B1470" s="6" t="s">
        <v>123</v>
      </c>
      <c r="C1470" s="6" t="s">
        <v>152</v>
      </c>
      <c r="D1470" s="6" t="s">
        <v>153</v>
      </c>
      <c r="E1470" s="6" t="s">
        <v>1065</v>
      </c>
      <c r="F1470" s="6" t="s">
        <v>1935</v>
      </c>
      <c r="G1470" s="6">
        <v>48.88</v>
      </c>
      <c r="H1470" s="6">
        <v>55.44</v>
      </c>
      <c r="I1470" s="6">
        <v>103</v>
      </c>
      <c r="J1470" s="6">
        <v>2000</v>
      </c>
      <c r="K1470" s="7">
        <f>(J1470-M1470)*税费参数!$B$12/(I1470*10000*(1+SUM(税费参数!$B$6:$B$8)))</f>
        <v>0.0169902912621359</v>
      </c>
      <c r="L1470" s="7">
        <f>J1470*税费参数!$B$12/(I1470*10000)</f>
        <v>0.0194174757281553</v>
      </c>
      <c r="M1470" s="6">
        <f>I1470*10000*SUM(税费参数!$B$9:$B$10)/税费参数!$B$11</f>
        <v>193.125</v>
      </c>
    </row>
    <row r="1471" ht="21" customHeight="1" spans="1:13">
      <c r="A1471" s="5" t="s">
        <v>16</v>
      </c>
      <c r="B1471" s="6" t="s">
        <v>123</v>
      </c>
      <c r="C1471" s="6" t="s">
        <v>152</v>
      </c>
      <c r="D1471" s="6" t="s">
        <v>153</v>
      </c>
      <c r="E1471" s="6" t="s">
        <v>1065</v>
      </c>
      <c r="F1471" s="6" t="s">
        <v>1936</v>
      </c>
      <c r="G1471" s="6">
        <v>48.88</v>
      </c>
      <c r="H1471" s="6">
        <v>51.5</v>
      </c>
      <c r="I1471" s="6">
        <v>103</v>
      </c>
      <c r="J1471" s="6">
        <v>1700</v>
      </c>
      <c r="K1471" s="7">
        <f>(J1471-M1471)*税费参数!$B$12/(I1471*10000*(1+SUM(税费参数!$B$6:$B$8)))</f>
        <v>0.0141693504783845</v>
      </c>
      <c r="L1471" s="7">
        <f>J1471*税费参数!$B$12/(I1471*10000)</f>
        <v>0.016504854368932</v>
      </c>
      <c r="M1471" s="6">
        <f>I1471*10000*SUM(税费参数!$B$9:$B$10)/税费参数!$B$11</f>
        <v>193.125</v>
      </c>
    </row>
    <row r="1472" ht="21" customHeight="1" spans="1:13">
      <c r="A1472" s="5" t="s">
        <v>16</v>
      </c>
      <c r="B1472" s="6" t="s">
        <v>123</v>
      </c>
      <c r="C1472" s="6" t="s">
        <v>152</v>
      </c>
      <c r="D1472" s="6" t="s">
        <v>153</v>
      </c>
      <c r="E1472" s="6" t="s">
        <v>1065</v>
      </c>
      <c r="F1472" s="6" t="s">
        <v>1937</v>
      </c>
      <c r="G1472" s="6">
        <v>48.88</v>
      </c>
      <c r="H1472" s="6">
        <v>55.29</v>
      </c>
      <c r="I1472" s="6">
        <v>103</v>
      </c>
      <c r="J1472" s="6">
        <v>2200</v>
      </c>
      <c r="K1472" s="7">
        <f>(J1472-M1472)*税费参数!$B$12/(I1472*10000*(1+SUM(税费参数!$B$6:$B$8)))</f>
        <v>0.0188709184513035</v>
      </c>
      <c r="L1472" s="7">
        <f>J1472*税费参数!$B$12/(I1472*10000)</f>
        <v>0.0213592233009709</v>
      </c>
      <c r="M1472" s="6">
        <f>I1472*10000*SUM(税费参数!$B$9:$B$10)/税费参数!$B$11</f>
        <v>193.125</v>
      </c>
    </row>
    <row r="1473" ht="21" customHeight="1" spans="1:13">
      <c r="A1473" s="5" t="s">
        <v>16</v>
      </c>
      <c r="B1473" s="6" t="s">
        <v>123</v>
      </c>
      <c r="C1473" s="6" t="s">
        <v>152</v>
      </c>
      <c r="D1473" s="6" t="s">
        <v>153</v>
      </c>
      <c r="E1473" s="6" t="s">
        <v>1065</v>
      </c>
      <c r="F1473" s="6" t="s">
        <v>1943</v>
      </c>
      <c r="G1473" s="6">
        <v>48.88</v>
      </c>
      <c r="H1473" s="6">
        <v>43.85</v>
      </c>
      <c r="I1473" s="6">
        <v>103</v>
      </c>
      <c r="J1473" s="6">
        <v>1700</v>
      </c>
      <c r="K1473" s="7">
        <f>(J1473-M1473)*税费参数!$B$12/(I1473*10000*(1+SUM(税费参数!$B$6:$B$8)))</f>
        <v>0.0141693504783845</v>
      </c>
      <c r="L1473" s="7">
        <f>J1473*税费参数!$B$12/(I1473*10000)</f>
        <v>0.016504854368932</v>
      </c>
      <c r="M1473" s="6">
        <f>I1473*10000*SUM(税费参数!$B$9:$B$10)/税费参数!$B$11</f>
        <v>193.125</v>
      </c>
    </row>
    <row r="1474" ht="21" customHeight="1" spans="1:13">
      <c r="A1474" s="5" t="s">
        <v>16</v>
      </c>
      <c r="B1474" s="6" t="s">
        <v>123</v>
      </c>
      <c r="C1474" s="6" t="s">
        <v>152</v>
      </c>
      <c r="D1474" s="6" t="s">
        <v>153</v>
      </c>
      <c r="E1474" s="6" t="s">
        <v>1065</v>
      </c>
      <c r="F1474" s="6" t="s">
        <v>1938</v>
      </c>
      <c r="G1474" s="6">
        <v>48.88</v>
      </c>
      <c r="H1474" s="6">
        <v>49.83</v>
      </c>
      <c r="I1474" s="6">
        <v>103</v>
      </c>
      <c r="J1474" s="6">
        <v>1500</v>
      </c>
      <c r="K1474" s="7">
        <f>(J1474-M1474)*税费参数!$B$12/(I1474*10000*(1+SUM(税费参数!$B$6:$B$8)))</f>
        <v>0.012288723289217</v>
      </c>
      <c r="L1474" s="7">
        <f>J1474*税费参数!$B$12/(I1474*10000)</f>
        <v>0.0145631067961165</v>
      </c>
      <c r="M1474" s="6">
        <f>I1474*10000*SUM(税费参数!$B$9:$B$10)/税费参数!$B$11</f>
        <v>193.125</v>
      </c>
    </row>
    <row r="1475" ht="21" customHeight="1" spans="1:13">
      <c r="A1475" s="5" t="s">
        <v>16</v>
      </c>
      <c r="B1475" s="6" t="s">
        <v>123</v>
      </c>
      <c r="C1475" s="6" t="s">
        <v>152</v>
      </c>
      <c r="D1475" s="6" t="s">
        <v>153</v>
      </c>
      <c r="E1475" s="6" t="s">
        <v>1065</v>
      </c>
      <c r="F1475" s="6" t="s">
        <v>1939</v>
      </c>
      <c r="G1475" s="6">
        <v>48.88</v>
      </c>
      <c r="H1475" s="6">
        <v>47.65</v>
      </c>
      <c r="I1475" s="6">
        <v>103</v>
      </c>
      <c r="J1475" s="6">
        <v>1800</v>
      </c>
      <c r="K1475" s="7">
        <f>(J1475-M1475)*税费参数!$B$12/(I1475*10000*(1+SUM(税费参数!$B$6:$B$8)))</f>
        <v>0.0151096640729683</v>
      </c>
      <c r="L1475" s="7">
        <f>J1475*税费参数!$B$12/(I1475*10000)</f>
        <v>0.0174757281553398</v>
      </c>
      <c r="M1475" s="6">
        <f>I1475*10000*SUM(税费参数!$B$9:$B$10)/税费参数!$B$11</f>
        <v>193.125</v>
      </c>
    </row>
    <row r="1476" ht="21" customHeight="1" spans="1:13">
      <c r="A1476" s="5" t="s">
        <v>16</v>
      </c>
      <c r="B1476" s="6" t="s">
        <v>123</v>
      </c>
      <c r="C1476" s="6" t="s">
        <v>152</v>
      </c>
      <c r="D1476" s="6" t="s">
        <v>153</v>
      </c>
      <c r="E1476" s="6" t="s">
        <v>1065</v>
      </c>
      <c r="F1476" s="6" t="s">
        <v>1940</v>
      </c>
      <c r="G1476" s="6">
        <v>48.88</v>
      </c>
      <c r="H1476" s="6">
        <v>55.29</v>
      </c>
      <c r="I1476" s="6">
        <v>103</v>
      </c>
      <c r="J1476" s="6">
        <v>2000</v>
      </c>
      <c r="K1476" s="7">
        <f>(J1476-M1476)*税费参数!$B$12/(I1476*10000*(1+SUM(税费参数!$B$6:$B$8)))</f>
        <v>0.0169902912621359</v>
      </c>
      <c r="L1476" s="7">
        <f>J1476*税费参数!$B$12/(I1476*10000)</f>
        <v>0.0194174757281553</v>
      </c>
      <c r="M1476" s="6">
        <f>I1476*10000*SUM(税费参数!$B$9:$B$10)/税费参数!$B$11</f>
        <v>193.125</v>
      </c>
    </row>
    <row r="1477" ht="21" customHeight="1" spans="1:13">
      <c r="A1477" s="5" t="s">
        <v>16</v>
      </c>
      <c r="B1477" s="6" t="s">
        <v>123</v>
      </c>
      <c r="C1477" s="6" t="s">
        <v>152</v>
      </c>
      <c r="D1477" s="6" t="s">
        <v>153</v>
      </c>
      <c r="E1477" s="6" t="s">
        <v>1065</v>
      </c>
      <c r="F1477" s="6" t="s">
        <v>1941</v>
      </c>
      <c r="G1477" s="6">
        <v>48.88</v>
      </c>
      <c r="H1477" s="6">
        <v>48.88</v>
      </c>
      <c r="I1477" s="6">
        <v>103</v>
      </c>
      <c r="J1477" s="6">
        <v>1800</v>
      </c>
      <c r="K1477" s="7">
        <f>(J1477-M1477)*税费参数!$B$12/(I1477*10000*(1+SUM(税费参数!$B$6:$B$8)))</f>
        <v>0.0151096640729683</v>
      </c>
      <c r="L1477" s="7">
        <f>J1477*税费参数!$B$12/(I1477*10000)</f>
        <v>0.0174757281553398</v>
      </c>
      <c r="M1477" s="6">
        <f>I1477*10000*SUM(税费参数!$B$9:$B$10)/税费参数!$B$11</f>
        <v>193.125</v>
      </c>
    </row>
    <row r="1478" ht="21" customHeight="1" spans="1:13">
      <c r="A1478" s="5" t="s">
        <v>16</v>
      </c>
      <c r="B1478" s="6" t="s">
        <v>123</v>
      </c>
      <c r="C1478" s="6" t="s">
        <v>152</v>
      </c>
      <c r="D1478" s="6" t="s">
        <v>153</v>
      </c>
      <c r="E1478" s="6" t="s">
        <v>1061</v>
      </c>
      <c r="F1478" s="6" t="s">
        <v>1944</v>
      </c>
      <c r="G1478" s="6">
        <v>40.13</v>
      </c>
      <c r="H1478" s="6">
        <v>42.9</v>
      </c>
      <c r="I1478" s="6">
        <v>99</v>
      </c>
      <c r="J1478" s="6">
        <v>1700</v>
      </c>
      <c r="K1478" s="7">
        <f>(J1478-M1478)*税费参数!$B$12/(I1478*10000*(1+SUM(税费参数!$B$6:$B$8)))</f>
        <v>0.0148152224423411</v>
      </c>
      <c r="L1478" s="7">
        <f>J1478*税费参数!$B$12/(I1478*10000)</f>
        <v>0.0171717171717172</v>
      </c>
      <c r="M1478" s="6">
        <f>I1478*10000*SUM(税费参数!$B$9:$B$10)/税费参数!$B$11</f>
        <v>185.625</v>
      </c>
    </row>
    <row r="1479" ht="21" customHeight="1" spans="1:13">
      <c r="A1479" s="5" t="s">
        <v>16</v>
      </c>
      <c r="B1479" s="6" t="s">
        <v>123</v>
      </c>
      <c r="C1479" s="6" t="s">
        <v>152</v>
      </c>
      <c r="D1479" s="6" t="s">
        <v>153</v>
      </c>
      <c r="E1479" s="6" t="s">
        <v>1061</v>
      </c>
      <c r="F1479" s="6" t="s">
        <v>1943</v>
      </c>
      <c r="G1479" s="6">
        <v>40.13</v>
      </c>
      <c r="H1479" s="6">
        <v>43.85</v>
      </c>
      <c r="I1479" s="6">
        <v>99</v>
      </c>
      <c r="J1479" s="6">
        <v>1700</v>
      </c>
      <c r="K1479" s="7">
        <f>(J1479-M1479)*税费参数!$B$12/(I1479*10000*(1+SUM(税费参数!$B$6:$B$8)))</f>
        <v>0.0148152224423411</v>
      </c>
      <c r="L1479" s="7">
        <f>J1479*税费参数!$B$12/(I1479*10000)</f>
        <v>0.0171717171717172</v>
      </c>
      <c r="M1479" s="6">
        <f>I1479*10000*SUM(税费参数!$B$9:$B$10)/税费参数!$B$11</f>
        <v>185.625</v>
      </c>
    </row>
    <row r="1480" ht="21" customHeight="1" spans="1:13">
      <c r="A1480" s="5" t="s">
        <v>16</v>
      </c>
      <c r="B1480" s="6" t="s">
        <v>123</v>
      </c>
      <c r="C1480" s="6" t="s">
        <v>152</v>
      </c>
      <c r="D1480" s="6" t="s">
        <v>153</v>
      </c>
      <c r="E1480" s="6" t="s">
        <v>1061</v>
      </c>
      <c r="F1480" s="6" t="s">
        <v>1945</v>
      </c>
      <c r="G1480" s="6">
        <v>40.13</v>
      </c>
      <c r="H1480" s="6">
        <v>41.53</v>
      </c>
      <c r="I1480" s="6">
        <v>99</v>
      </c>
      <c r="J1480" s="6">
        <v>1700</v>
      </c>
      <c r="K1480" s="7">
        <f>(J1480-M1480)*税费参数!$B$12/(I1480*10000*(1+SUM(税费参数!$B$6:$B$8)))</f>
        <v>0.0148152224423411</v>
      </c>
      <c r="L1480" s="7">
        <f>J1480*税费参数!$B$12/(I1480*10000)</f>
        <v>0.0171717171717172</v>
      </c>
      <c r="M1480" s="6">
        <f>I1480*10000*SUM(税费参数!$B$9:$B$10)/税费参数!$B$11</f>
        <v>185.625</v>
      </c>
    </row>
    <row r="1481" ht="21" customHeight="1" spans="1:13">
      <c r="A1481" s="5" t="s">
        <v>16</v>
      </c>
      <c r="B1481" s="6" t="s">
        <v>110</v>
      </c>
      <c r="C1481" s="6" t="s">
        <v>159</v>
      </c>
      <c r="D1481" s="6" t="s">
        <v>160</v>
      </c>
      <c r="E1481" s="6" t="s">
        <v>1087</v>
      </c>
      <c r="F1481" s="6" t="s">
        <v>1946</v>
      </c>
      <c r="G1481" s="6">
        <v>35.76</v>
      </c>
      <c r="H1481" s="6">
        <v>35.66</v>
      </c>
      <c r="I1481" s="6">
        <v>43.8</v>
      </c>
      <c r="J1481" s="6">
        <v>1500</v>
      </c>
      <c r="K1481" s="7">
        <f>(J1481-M1481)*税费参数!$B$12/(I1481*10000*(1+SUM(税费参数!$B$6:$B$8)))</f>
        <v>0.0313526153437925</v>
      </c>
      <c r="L1481" s="7">
        <f>J1481*税费参数!$B$12/(I1481*10000)</f>
        <v>0.0342465753424658</v>
      </c>
      <c r="M1481" s="6">
        <f>I1481*10000*SUM(税费参数!$B$9:$B$10)/税费参数!$B$11</f>
        <v>82.125</v>
      </c>
    </row>
    <row r="1482" ht="21" customHeight="1" spans="1:13">
      <c r="A1482" s="5" t="s">
        <v>16</v>
      </c>
      <c r="B1482" s="6" t="s">
        <v>110</v>
      </c>
      <c r="C1482" s="6" t="s">
        <v>159</v>
      </c>
      <c r="D1482" s="6" t="s">
        <v>153</v>
      </c>
      <c r="E1482" s="6" t="s">
        <v>1089</v>
      </c>
      <c r="F1482" s="6" t="s">
        <v>1947</v>
      </c>
      <c r="G1482" s="6">
        <v>35.75</v>
      </c>
      <c r="H1482" s="6">
        <v>37.45</v>
      </c>
      <c r="I1482" s="6">
        <v>46</v>
      </c>
      <c r="J1482" s="6">
        <v>1500</v>
      </c>
      <c r="K1482" s="7">
        <f>(J1482-M1482)*税费参数!$B$12/(I1482*10000*(1+SUM(税费参数!$B$6:$B$8)))</f>
        <v>0.0297662911885462</v>
      </c>
      <c r="L1482" s="7">
        <f>J1482*税费参数!$B$12/(I1482*10000)</f>
        <v>0.0326086956521739</v>
      </c>
      <c r="M1482" s="6">
        <f>I1482*10000*SUM(税费参数!$B$9:$B$10)/税费参数!$B$11</f>
        <v>86.25</v>
      </c>
    </row>
    <row r="1483" ht="21" customHeight="1" spans="1:13">
      <c r="A1483" s="5" t="s">
        <v>16</v>
      </c>
      <c r="B1483" s="6" t="s">
        <v>110</v>
      </c>
      <c r="C1483" s="6" t="s">
        <v>152</v>
      </c>
      <c r="D1483" s="6" t="s">
        <v>160</v>
      </c>
      <c r="E1483" s="6" t="s">
        <v>1079</v>
      </c>
      <c r="F1483" s="6" t="s">
        <v>1948</v>
      </c>
      <c r="G1483" s="6">
        <v>40.47</v>
      </c>
      <c r="H1483" s="6">
        <v>40.47</v>
      </c>
      <c r="I1483" s="6">
        <v>45</v>
      </c>
      <c r="J1483" s="6">
        <v>1500</v>
      </c>
      <c r="K1483" s="7">
        <f>(J1483-M1483)*税费参数!$B$12/(I1483*10000*(1+SUM(税费参数!$B$6:$B$8)))</f>
        <v>0.0304681194511703</v>
      </c>
      <c r="L1483" s="7">
        <f>J1483*税费参数!$B$12/(I1483*10000)</f>
        <v>0.0333333333333333</v>
      </c>
      <c r="M1483" s="6">
        <f>I1483*10000*SUM(税费参数!$B$9:$B$10)/税费参数!$B$11</f>
        <v>84.375</v>
      </c>
    </row>
    <row r="1484" ht="21" customHeight="1" spans="1:13">
      <c r="A1484" s="5" t="s">
        <v>16</v>
      </c>
      <c r="B1484" s="6" t="s">
        <v>110</v>
      </c>
      <c r="C1484" s="6" t="s">
        <v>152</v>
      </c>
      <c r="D1484" s="6" t="s">
        <v>160</v>
      </c>
      <c r="E1484" s="6" t="s">
        <v>1079</v>
      </c>
      <c r="F1484" s="6" t="s">
        <v>1949</v>
      </c>
      <c r="G1484" s="6">
        <v>40.47</v>
      </c>
      <c r="H1484" s="6">
        <v>43.21</v>
      </c>
      <c r="I1484" s="6">
        <v>45</v>
      </c>
      <c r="J1484" s="6">
        <v>1500</v>
      </c>
      <c r="K1484" s="7">
        <f>(J1484-M1484)*税费参数!$B$12/(I1484*10000*(1+SUM(税费参数!$B$6:$B$8)))</f>
        <v>0.0304681194511703</v>
      </c>
      <c r="L1484" s="7">
        <f>J1484*税费参数!$B$12/(I1484*10000)</f>
        <v>0.0333333333333333</v>
      </c>
      <c r="M1484" s="6">
        <f>I1484*10000*SUM(税费参数!$B$9:$B$10)/税费参数!$B$11</f>
        <v>84.375</v>
      </c>
    </row>
    <row r="1485" ht="21" customHeight="1" spans="1:13">
      <c r="A1485" s="5" t="s">
        <v>16</v>
      </c>
      <c r="B1485" s="6" t="s">
        <v>120</v>
      </c>
      <c r="C1485" s="6" t="s">
        <v>152</v>
      </c>
      <c r="D1485" s="6" t="s">
        <v>153</v>
      </c>
      <c r="E1485" s="6" t="s">
        <v>1099</v>
      </c>
      <c r="F1485" s="6" t="s">
        <v>1950</v>
      </c>
      <c r="G1485" s="6">
        <v>42.91</v>
      </c>
      <c r="H1485" s="6">
        <v>42.77</v>
      </c>
      <c r="I1485" s="6">
        <v>113</v>
      </c>
      <c r="J1485" s="6">
        <v>2100</v>
      </c>
      <c r="K1485" s="7">
        <f>(J1485-M1485)*税费参数!$B$12/(I1485*10000*(1+SUM(税费参数!$B$6:$B$8)))</f>
        <v>0.0161831194154578</v>
      </c>
      <c r="L1485" s="7">
        <f>J1485*税费参数!$B$12/(I1485*10000)</f>
        <v>0.0185840707964602</v>
      </c>
      <c r="M1485" s="6">
        <f>I1485*10000*SUM(税费参数!$B$9:$B$10)/税费参数!$B$11</f>
        <v>211.875</v>
      </c>
    </row>
    <row r="1486" ht="21" customHeight="1" spans="1:13">
      <c r="A1486" s="5" t="s">
        <v>16</v>
      </c>
      <c r="B1486" s="6" t="s">
        <v>120</v>
      </c>
      <c r="C1486" s="6" t="s">
        <v>152</v>
      </c>
      <c r="D1486" s="6" t="s">
        <v>153</v>
      </c>
      <c r="E1486" s="6" t="s">
        <v>1097</v>
      </c>
      <c r="F1486" s="6" t="s">
        <v>1950</v>
      </c>
      <c r="G1486" s="6">
        <v>42.77</v>
      </c>
      <c r="H1486" s="6">
        <v>42.77</v>
      </c>
      <c r="I1486" s="6">
        <v>119</v>
      </c>
      <c r="J1486" s="6">
        <v>2100</v>
      </c>
      <c r="K1486" s="7">
        <f>(J1486-M1486)*税费参数!$B$12/(I1486*10000*(1+SUM(税费参数!$B$6:$B$8)))</f>
        <v>0.0152756017661302</v>
      </c>
      <c r="L1486" s="7">
        <f>J1486*税费参数!$B$12/(I1486*10000)</f>
        <v>0.0176470588235294</v>
      </c>
      <c r="M1486" s="6">
        <f>I1486*10000*SUM(税费参数!$B$9:$B$10)/税费参数!$B$11</f>
        <v>223.125</v>
      </c>
    </row>
    <row r="1487" ht="21" customHeight="1" spans="1:13">
      <c r="A1487" s="5" t="s">
        <v>16</v>
      </c>
      <c r="B1487" s="6" t="s">
        <v>120</v>
      </c>
      <c r="C1487" s="6" t="s">
        <v>152</v>
      </c>
      <c r="D1487" s="6" t="s">
        <v>153</v>
      </c>
      <c r="E1487" s="6" t="s">
        <v>1101</v>
      </c>
      <c r="F1487" s="6" t="s">
        <v>1950</v>
      </c>
      <c r="G1487" s="6">
        <v>43.68</v>
      </c>
      <c r="H1487" s="6">
        <v>42.77</v>
      </c>
      <c r="I1487" s="6">
        <v>110</v>
      </c>
      <c r="J1487" s="6">
        <v>2100</v>
      </c>
      <c r="K1487" s="7">
        <f>(J1487-M1487)*税费参数!$B$12/(I1487*10000*(1+SUM(税费参数!$B$6:$B$8)))</f>
        <v>0.0166740039621396</v>
      </c>
      <c r="L1487" s="7">
        <f>J1487*税费参数!$B$12/(I1487*10000)</f>
        <v>0.0190909090909091</v>
      </c>
      <c r="M1487" s="6">
        <f>I1487*10000*SUM(税费参数!$B$9:$B$10)/税费参数!$B$11</f>
        <v>206.25</v>
      </c>
    </row>
    <row r="1488" ht="21" customHeight="1" spans="1:13">
      <c r="A1488" s="5" t="s">
        <v>16</v>
      </c>
      <c r="B1488" s="6" t="s">
        <v>114</v>
      </c>
      <c r="C1488" s="6" t="s">
        <v>159</v>
      </c>
      <c r="D1488" s="6" t="s">
        <v>160</v>
      </c>
      <c r="E1488" s="6" t="s">
        <v>1115</v>
      </c>
      <c r="F1488" s="6" t="s">
        <v>1951</v>
      </c>
      <c r="G1488" s="6">
        <v>36.11</v>
      </c>
      <c r="H1488" s="6">
        <v>39.2</v>
      </c>
      <c r="I1488" s="6">
        <v>83</v>
      </c>
      <c r="J1488" s="6">
        <v>2900</v>
      </c>
      <c r="K1488" s="7">
        <f>(J1488-M1488)*税费参数!$B$12/(I1488*10000*(1+SUM(税费参数!$B$6:$B$8)))</f>
        <v>0.0320239796960238</v>
      </c>
      <c r="L1488" s="7">
        <f>J1488*税费参数!$B$12/(I1488*10000)</f>
        <v>0.0349397590361446</v>
      </c>
      <c r="M1488" s="6">
        <f>I1488*10000*SUM(税费参数!$B$9:$B$10)/税费参数!$B$11</f>
        <v>155.625</v>
      </c>
    </row>
    <row r="1489" ht="21" customHeight="1" spans="1:13">
      <c r="A1489" s="5" t="s">
        <v>16</v>
      </c>
      <c r="B1489" s="6" t="s">
        <v>114</v>
      </c>
      <c r="C1489" s="6" t="s">
        <v>159</v>
      </c>
      <c r="D1489" s="6" t="s">
        <v>160</v>
      </c>
      <c r="E1489" s="6" t="s">
        <v>1111</v>
      </c>
      <c r="F1489" s="6" t="s">
        <v>1951</v>
      </c>
      <c r="G1489" s="6">
        <v>39.16</v>
      </c>
      <c r="H1489" s="6">
        <v>39.2</v>
      </c>
      <c r="I1489" s="6">
        <v>100</v>
      </c>
      <c r="J1489" s="6">
        <v>2900</v>
      </c>
      <c r="K1489" s="7">
        <f>(J1489-M1489)*税费参数!$B$12/(I1489*10000*(1+SUM(税费参数!$B$6:$B$8)))</f>
        <v>0.026271186440678</v>
      </c>
      <c r="L1489" s="7">
        <f>J1489*税费参数!$B$12/(I1489*10000)</f>
        <v>0.029</v>
      </c>
      <c r="M1489" s="6">
        <f>I1489*10000*SUM(税费参数!$B$9:$B$10)/税费参数!$B$11</f>
        <v>187.5</v>
      </c>
    </row>
    <row r="1490" ht="21" customHeight="1" spans="1:13">
      <c r="A1490" s="5" t="s">
        <v>16</v>
      </c>
      <c r="B1490" s="6" t="s">
        <v>114</v>
      </c>
      <c r="C1490" s="6" t="s">
        <v>159</v>
      </c>
      <c r="D1490" s="6" t="s">
        <v>160</v>
      </c>
      <c r="E1490" s="6" t="s">
        <v>1113</v>
      </c>
      <c r="F1490" s="6" t="s">
        <v>1951</v>
      </c>
      <c r="G1490" s="6">
        <v>39.16</v>
      </c>
      <c r="H1490" s="6">
        <v>39.2</v>
      </c>
      <c r="I1490" s="6">
        <v>92</v>
      </c>
      <c r="J1490" s="6">
        <v>2900</v>
      </c>
      <c r="K1490" s="7">
        <f>(J1490-M1490)*税费参数!$B$12/(I1490*10000*(1+SUM(税费参数!$B$6:$B$8)))</f>
        <v>0.02871354879461</v>
      </c>
      <c r="L1490" s="7">
        <f>J1490*税费参数!$B$12/(I1490*10000)</f>
        <v>0.0315217391304348</v>
      </c>
      <c r="M1490" s="6">
        <f>I1490*10000*SUM(税费参数!$B$9:$B$10)/税费参数!$B$11</f>
        <v>172.5</v>
      </c>
    </row>
    <row r="1491" ht="21" customHeight="1" spans="1:13">
      <c r="A1491" s="5" t="s">
        <v>16</v>
      </c>
      <c r="B1491" s="6" t="s">
        <v>114</v>
      </c>
      <c r="C1491" s="6" t="s">
        <v>152</v>
      </c>
      <c r="D1491" s="6" t="s">
        <v>153</v>
      </c>
      <c r="E1491" s="6" t="s">
        <v>1107</v>
      </c>
      <c r="F1491" s="6" t="s">
        <v>1952</v>
      </c>
      <c r="G1491" s="6">
        <v>49.94</v>
      </c>
      <c r="H1491" s="6">
        <v>49.94</v>
      </c>
      <c r="I1491" s="6">
        <v>113</v>
      </c>
      <c r="J1491" s="6">
        <v>2300</v>
      </c>
      <c r="K1491" s="7">
        <f>(J1491-M1491)*税费参数!$B$12/(I1491*10000*(1+SUM(税费参数!$B$6:$B$8)))</f>
        <v>0.0178973194197433</v>
      </c>
      <c r="L1491" s="7">
        <f>J1491*税费参数!$B$12/(I1491*10000)</f>
        <v>0.020353982300885</v>
      </c>
      <c r="M1491" s="6">
        <f>I1491*10000*SUM(税费参数!$B$9:$B$10)/税费参数!$B$11</f>
        <v>211.875</v>
      </c>
    </row>
    <row r="1492" ht="21" customHeight="1" spans="1:13">
      <c r="A1492" s="5" t="s">
        <v>16</v>
      </c>
      <c r="B1492" s="6" t="s">
        <v>114</v>
      </c>
      <c r="C1492" s="6" t="s">
        <v>152</v>
      </c>
      <c r="D1492" s="6" t="s">
        <v>153</v>
      </c>
      <c r="E1492" s="6" t="s">
        <v>1107</v>
      </c>
      <c r="F1492" s="6" t="s">
        <v>1953</v>
      </c>
      <c r="G1492" s="6">
        <v>49.94</v>
      </c>
      <c r="H1492" s="6">
        <v>49.94</v>
      </c>
      <c r="I1492" s="6">
        <v>113</v>
      </c>
      <c r="J1492" s="6">
        <v>2000</v>
      </c>
      <c r="K1492" s="7">
        <f>(J1492-M1492)*税费参数!$B$12/(I1492*10000*(1+SUM(税费参数!$B$6:$B$8)))</f>
        <v>0.015326019413315</v>
      </c>
      <c r="L1492" s="7">
        <f>J1492*税费参数!$B$12/(I1492*10000)</f>
        <v>0.0176991150442478</v>
      </c>
      <c r="M1492" s="6">
        <f>I1492*10000*SUM(税费参数!$B$9:$B$10)/税费参数!$B$11</f>
        <v>211.875</v>
      </c>
    </row>
    <row r="1493" ht="21" customHeight="1" spans="1:13">
      <c r="A1493" s="5" t="s">
        <v>16</v>
      </c>
      <c r="B1493" s="6" t="s">
        <v>114</v>
      </c>
      <c r="C1493" s="6" t="s">
        <v>152</v>
      </c>
      <c r="D1493" s="6" t="s">
        <v>153</v>
      </c>
      <c r="E1493" s="6" t="s">
        <v>1109</v>
      </c>
      <c r="F1493" s="6" t="s">
        <v>1952</v>
      </c>
      <c r="G1493" s="6">
        <v>49.94</v>
      </c>
      <c r="H1493" s="6">
        <v>49.94</v>
      </c>
      <c r="I1493" s="6">
        <v>106</v>
      </c>
      <c r="J1493" s="6">
        <v>2300</v>
      </c>
      <c r="K1493" s="7">
        <f>(J1493-M1493)*税费参数!$B$12/(I1493*10000*(1+SUM(税费参数!$B$6:$B$8)))</f>
        <v>0.0191991411211111</v>
      </c>
      <c r="L1493" s="7">
        <f>J1493*税费参数!$B$12/(I1493*10000)</f>
        <v>0.0216981132075472</v>
      </c>
      <c r="M1493" s="6">
        <f>I1493*10000*SUM(税费参数!$B$9:$B$10)/税费参数!$B$11</f>
        <v>198.75</v>
      </c>
    </row>
    <row r="1494" ht="21" customHeight="1" spans="1:13">
      <c r="A1494" s="5" t="s">
        <v>16</v>
      </c>
      <c r="B1494" s="6" t="s">
        <v>114</v>
      </c>
      <c r="C1494" s="6" t="s">
        <v>152</v>
      </c>
      <c r="D1494" s="6" t="s">
        <v>153</v>
      </c>
      <c r="E1494" s="6" t="s">
        <v>1109</v>
      </c>
      <c r="F1494" s="6" t="s">
        <v>1953</v>
      </c>
      <c r="G1494" s="6">
        <v>49.94</v>
      </c>
      <c r="H1494" s="6">
        <v>49.94</v>
      </c>
      <c r="I1494" s="6">
        <v>106</v>
      </c>
      <c r="J1494" s="6">
        <v>2000</v>
      </c>
      <c r="K1494" s="7">
        <f>(J1494-M1494)*税费参数!$B$12/(I1494*10000*(1+SUM(税费参数!$B$6:$B$8)))</f>
        <v>0.0164580382840696</v>
      </c>
      <c r="L1494" s="7">
        <f>J1494*税费参数!$B$12/(I1494*10000)</f>
        <v>0.0188679245283019</v>
      </c>
      <c r="M1494" s="6">
        <f>I1494*10000*SUM(税费参数!$B$9:$B$10)/税费参数!$B$11</f>
        <v>198.75</v>
      </c>
    </row>
    <row r="1495" ht="21" customHeight="1" spans="1:13">
      <c r="A1495" s="5" t="s">
        <v>16</v>
      </c>
      <c r="B1495" s="6" t="s">
        <v>118</v>
      </c>
      <c r="C1495" s="6" t="s">
        <v>152</v>
      </c>
      <c r="D1495" s="6" t="s">
        <v>160</v>
      </c>
      <c r="E1495" s="6" t="s">
        <v>1123</v>
      </c>
      <c r="F1495" s="6" t="s">
        <v>1954</v>
      </c>
      <c r="G1495" s="6">
        <v>41.78</v>
      </c>
      <c r="H1495" s="6">
        <v>47.94</v>
      </c>
      <c r="I1495" s="6">
        <v>39.8</v>
      </c>
      <c r="J1495" s="6">
        <v>2000</v>
      </c>
      <c r="K1495" s="7">
        <f>(J1495-M1495)*税费参数!$B$12/(I1495*10000*(1+SUM(税费参数!$B$6:$B$8)))</f>
        <v>0.046853516979571</v>
      </c>
      <c r="L1495" s="7">
        <f>J1495*税费参数!$B$12/(I1495*10000)</f>
        <v>0.050251256281407</v>
      </c>
      <c r="M1495" s="6">
        <f>I1495*10000*SUM(税费参数!$B$9:$B$10)/税费参数!$B$11</f>
        <v>74.625</v>
      </c>
    </row>
    <row r="1496" ht="21" customHeight="1" spans="1:13">
      <c r="A1496" s="5" t="s">
        <v>16</v>
      </c>
      <c r="B1496" s="6" t="s">
        <v>118</v>
      </c>
      <c r="C1496" s="6" t="s">
        <v>152</v>
      </c>
      <c r="D1496" s="6" t="s">
        <v>153</v>
      </c>
      <c r="E1496" s="6" t="s">
        <v>1131</v>
      </c>
      <c r="F1496" s="6" t="s">
        <v>1955</v>
      </c>
      <c r="G1496" s="6">
        <v>50.19</v>
      </c>
      <c r="H1496" s="6">
        <v>47.94</v>
      </c>
      <c r="I1496" s="6">
        <v>64</v>
      </c>
      <c r="J1496" s="6">
        <v>2000</v>
      </c>
      <c r="K1496" s="7">
        <f>(J1496-M1496)*税费参数!$B$12/(I1496*10000*(1+SUM(税费参数!$B$6:$B$8)))</f>
        <v>0.0284503631961259</v>
      </c>
      <c r="L1496" s="7">
        <f>J1496*税费参数!$B$12/(I1496*10000)</f>
        <v>0.03125</v>
      </c>
      <c r="M1496" s="6">
        <f>I1496*10000*SUM(税费参数!$B$9:$B$10)/税费参数!$B$11</f>
        <v>120</v>
      </c>
    </row>
    <row r="1497" ht="21" customHeight="1" spans="1:13">
      <c r="A1497" s="5" t="s">
        <v>16</v>
      </c>
      <c r="B1497" s="6" t="s">
        <v>118</v>
      </c>
      <c r="C1497" s="6" t="s">
        <v>152</v>
      </c>
      <c r="D1497" s="6" t="s">
        <v>153</v>
      </c>
      <c r="E1497" s="6" t="s">
        <v>1131</v>
      </c>
      <c r="F1497" s="6" t="s">
        <v>1956</v>
      </c>
      <c r="G1497" s="6">
        <v>50.19</v>
      </c>
      <c r="H1497" s="6">
        <v>50.19</v>
      </c>
      <c r="I1497" s="6">
        <v>64</v>
      </c>
      <c r="J1497" s="6">
        <v>2400</v>
      </c>
      <c r="K1497" s="7">
        <f>(J1497-M1497)*税费参数!$B$12/(I1497*10000*(1+SUM(税费参数!$B$6:$B$8)))</f>
        <v>0.0345036319612591</v>
      </c>
      <c r="L1497" s="7">
        <f>J1497*税费参数!$B$12/(I1497*10000)</f>
        <v>0.0375</v>
      </c>
      <c r="M1497" s="6">
        <f>I1497*10000*SUM(税费参数!$B$9:$B$10)/税费参数!$B$11</f>
        <v>120</v>
      </c>
    </row>
    <row r="1498" ht="21" customHeight="1" spans="1:13">
      <c r="A1498" s="5" t="s">
        <v>16</v>
      </c>
      <c r="B1498" s="6" t="s">
        <v>118</v>
      </c>
      <c r="C1498" s="6" t="s">
        <v>152</v>
      </c>
      <c r="D1498" s="6" t="s">
        <v>153</v>
      </c>
      <c r="E1498" s="6" t="s">
        <v>1129</v>
      </c>
      <c r="F1498" s="6" t="s">
        <v>1955</v>
      </c>
      <c r="G1498" s="6">
        <v>54.43</v>
      </c>
      <c r="H1498" s="6">
        <v>47.94</v>
      </c>
      <c r="I1498" s="6">
        <v>69</v>
      </c>
      <c r="J1498" s="6">
        <v>2000</v>
      </c>
      <c r="K1498" s="7">
        <f>(J1498-M1498)*税费参数!$B$12/(I1498*10000*(1+SUM(税费参数!$B$6:$B$8)))</f>
        <v>0.0262571498754255</v>
      </c>
      <c r="L1498" s="7">
        <f>J1498*税费参数!$B$12/(I1498*10000)</f>
        <v>0.0289855072463768</v>
      </c>
      <c r="M1498" s="6">
        <f>I1498*10000*SUM(税费参数!$B$9:$B$10)/税费参数!$B$11</f>
        <v>129.375</v>
      </c>
    </row>
    <row r="1499" ht="21" customHeight="1" spans="1:13">
      <c r="A1499" s="5" t="s">
        <v>16</v>
      </c>
      <c r="B1499" s="6" t="s">
        <v>118</v>
      </c>
      <c r="C1499" s="6" t="s">
        <v>152</v>
      </c>
      <c r="D1499" s="6" t="s">
        <v>153</v>
      </c>
      <c r="E1499" s="6" t="s">
        <v>1129</v>
      </c>
      <c r="F1499" s="6" t="s">
        <v>1956</v>
      </c>
      <c r="G1499" s="6">
        <v>54.43</v>
      </c>
      <c r="H1499" s="6">
        <v>50.19</v>
      </c>
      <c r="I1499" s="6">
        <v>69</v>
      </c>
      <c r="J1499" s="6">
        <v>2400</v>
      </c>
      <c r="K1499" s="7">
        <f>(J1499-M1499)*税费参数!$B$12/(I1499*10000*(1+SUM(税费参数!$B$6:$B$8)))</f>
        <v>0.0318717759764186</v>
      </c>
      <c r="L1499" s="7">
        <f>J1499*税费参数!$B$12/(I1499*10000)</f>
        <v>0.0347826086956522</v>
      </c>
      <c r="M1499" s="6">
        <f>I1499*10000*SUM(税费参数!$B$9:$B$10)/税费参数!$B$11</f>
        <v>129.375</v>
      </c>
    </row>
    <row r="1500" ht="21" customHeight="1" spans="1:13">
      <c r="A1500" s="5" t="s">
        <v>16</v>
      </c>
      <c r="B1500" s="6" t="s">
        <v>118</v>
      </c>
      <c r="C1500" s="6" t="s">
        <v>152</v>
      </c>
      <c r="D1500" s="6" t="s">
        <v>153</v>
      </c>
      <c r="E1500" s="6" t="s">
        <v>1127</v>
      </c>
      <c r="F1500" s="6" t="s">
        <v>1955</v>
      </c>
      <c r="G1500" s="6">
        <v>55.29</v>
      </c>
      <c r="H1500" s="6">
        <v>47.94</v>
      </c>
      <c r="I1500" s="6">
        <v>58</v>
      </c>
      <c r="J1500" s="6">
        <v>2000</v>
      </c>
      <c r="K1500" s="7">
        <f>(J1500-M1500)*税费参数!$B$12/(I1500*10000*(1+SUM(税费参数!$B$6:$B$8)))</f>
        <v>0.0315813642815396</v>
      </c>
      <c r="L1500" s="7">
        <f>J1500*税费参数!$B$12/(I1500*10000)</f>
        <v>0.0344827586206897</v>
      </c>
      <c r="M1500" s="6">
        <f>I1500*10000*SUM(税费参数!$B$9:$B$10)/税费参数!$B$11</f>
        <v>108.75</v>
      </c>
    </row>
    <row r="1501" ht="21" customHeight="1" spans="1:13">
      <c r="A1501" s="5" t="s">
        <v>16</v>
      </c>
      <c r="B1501" s="6" t="s">
        <v>118</v>
      </c>
      <c r="C1501" s="6" t="s">
        <v>152</v>
      </c>
      <c r="D1501" s="6" t="s">
        <v>153</v>
      </c>
      <c r="E1501" s="6" t="s">
        <v>1127</v>
      </c>
      <c r="F1501" s="6" t="s">
        <v>1956</v>
      </c>
      <c r="G1501" s="6">
        <v>55.29</v>
      </c>
      <c r="H1501" s="6">
        <v>50.19</v>
      </c>
      <c r="I1501" s="6">
        <v>58</v>
      </c>
      <c r="J1501" s="6">
        <v>2400</v>
      </c>
      <c r="K1501" s="7">
        <f>(J1501-M1501)*税费参数!$B$12/(I1501*10000*(1+SUM(税费参数!$B$6:$B$8)))</f>
        <v>0.0382608332637555</v>
      </c>
      <c r="L1501" s="7">
        <f>J1501*税费参数!$B$12/(I1501*10000)</f>
        <v>0.0413793103448276</v>
      </c>
      <c r="M1501" s="6">
        <f>I1501*10000*SUM(税费参数!$B$9:$B$10)/税费参数!$B$11</f>
        <v>108.75</v>
      </c>
    </row>
    <row r="1502" ht="21" customHeight="1" spans="1:13">
      <c r="A1502" s="5" t="s">
        <v>16</v>
      </c>
      <c r="B1502" s="6" t="s">
        <v>118</v>
      </c>
      <c r="C1502" s="6" t="s">
        <v>152</v>
      </c>
      <c r="D1502" s="6" t="s">
        <v>153</v>
      </c>
      <c r="E1502" s="6" t="s">
        <v>1133</v>
      </c>
      <c r="F1502" s="6" t="s">
        <v>1955</v>
      </c>
      <c r="G1502" s="6">
        <v>48.92</v>
      </c>
      <c r="H1502" s="6">
        <v>47.94</v>
      </c>
      <c r="I1502" s="6">
        <v>75</v>
      </c>
      <c r="J1502" s="6">
        <v>2000</v>
      </c>
      <c r="K1502" s="7">
        <f>(J1502-M1502)*税费参数!$B$12/(I1502*10000*(1+SUM(税费参数!$B$6:$B$8)))</f>
        <v>0.0240112994350282</v>
      </c>
      <c r="L1502" s="7">
        <f>J1502*税费参数!$B$12/(I1502*10000)</f>
        <v>0.0266666666666667</v>
      </c>
      <c r="M1502" s="6">
        <f>I1502*10000*SUM(税费参数!$B$9:$B$10)/税费参数!$B$11</f>
        <v>140.625</v>
      </c>
    </row>
    <row r="1503" ht="21" customHeight="1" spans="1:13">
      <c r="A1503" s="5" t="s">
        <v>16</v>
      </c>
      <c r="B1503" s="6" t="s">
        <v>118</v>
      </c>
      <c r="C1503" s="6" t="s">
        <v>152</v>
      </c>
      <c r="D1503" s="6" t="s">
        <v>153</v>
      </c>
      <c r="E1503" s="6" t="s">
        <v>1133</v>
      </c>
      <c r="F1503" s="6" t="s">
        <v>1956</v>
      </c>
      <c r="G1503" s="6">
        <v>48.92</v>
      </c>
      <c r="H1503" s="6">
        <v>50.19</v>
      </c>
      <c r="I1503" s="6">
        <v>75</v>
      </c>
      <c r="J1503" s="6">
        <v>2400</v>
      </c>
      <c r="K1503" s="7">
        <f>(J1503-M1503)*税费参数!$B$12/(I1503*10000*(1+SUM(税费参数!$B$6:$B$8)))</f>
        <v>0.0291767554479419</v>
      </c>
      <c r="L1503" s="7">
        <f>J1503*税费参数!$B$12/(I1503*10000)</f>
        <v>0.032</v>
      </c>
      <c r="M1503" s="6">
        <f>I1503*10000*SUM(税费参数!$B$9:$B$10)/税费参数!$B$11</f>
        <v>140.625</v>
      </c>
    </row>
    <row r="1504" ht="21" customHeight="1" spans="1:13">
      <c r="A1504" s="5" t="s">
        <v>16</v>
      </c>
      <c r="B1504" s="6" t="s">
        <v>118</v>
      </c>
      <c r="C1504" s="6" t="s">
        <v>152</v>
      </c>
      <c r="D1504" s="6" t="s">
        <v>153</v>
      </c>
      <c r="E1504" s="6" t="s">
        <v>1135</v>
      </c>
      <c r="F1504" s="6" t="s">
        <v>1955</v>
      </c>
      <c r="G1504" s="6">
        <v>47.87</v>
      </c>
      <c r="H1504" s="6">
        <v>47.94</v>
      </c>
      <c r="I1504" s="6">
        <v>67</v>
      </c>
      <c r="J1504" s="6">
        <v>2000</v>
      </c>
      <c r="K1504" s="7">
        <f>(J1504-M1504)*税费参数!$B$12/(I1504*10000*(1+SUM(税费参数!$B$6:$B$8)))</f>
        <v>0.0270951537710961</v>
      </c>
      <c r="L1504" s="7">
        <f>J1504*税费参数!$B$12/(I1504*10000)</f>
        <v>0.0298507462686567</v>
      </c>
      <c r="M1504" s="6">
        <f>I1504*10000*SUM(税费参数!$B$9:$B$10)/税费参数!$B$11</f>
        <v>125.625</v>
      </c>
    </row>
    <row r="1505" ht="21" customHeight="1" spans="1:13">
      <c r="A1505" s="5" t="s">
        <v>16</v>
      </c>
      <c r="B1505" s="6" t="s">
        <v>118</v>
      </c>
      <c r="C1505" s="6" t="s">
        <v>152</v>
      </c>
      <c r="D1505" s="6" t="s">
        <v>153</v>
      </c>
      <c r="E1505" s="6" t="s">
        <v>1135</v>
      </c>
      <c r="F1505" s="6" t="s">
        <v>1956</v>
      </c>
      <c r="G1505" s="6">
        <v>47.87</v>
      </c>
      <c r="H1505" s="6">
        <v>50.19</v>
      </c>
      <c r="I1505" s="6">
        <v>67</v>
      </c>
      <c r="J1505" s="6">
        <v>2400</v>
      </c>
      <c r="K1505" s="7">
        <f>(J1505-M1505)*税费参数!$B$12/(I1505*10000*(1+SUM(税费参数!$B$6:$B$8)))</f>
        <v>0.0328773806512233</v>
      </c>
      <c r="L1505" s="7">
        <f>J1505*税费参数!$B$12/(I1505*10000)</f>
        <v>0.0358208955223881</v>
      </c>
      <c r="M1505" s="6">
        <f>I1505*10000*SUM(税费参数!$B$9:$B$10)/税费参数!$B$11</f>
        <v>125.625</v>
      </c>
    </row>
    <row r="1506" ht="21" customHeight="1" spans="1:13">
      <c r="A1506" s="5" t="s">
        <v>16</v>
      </c>
      <c r="B1506" s="6" t="s">
        <v>118</v>
      </c>
      <c r="C1506" s="6" t="s">
        <v>152</v>
      </c>
      <c r="D1506" s="6" t="s">
        <v>153</v>
      </c>
      <c r="E1506" s="6" t="s">
        <v>1125</v>
      </c>
      <c r="F1506" s="6" t="s">
        <v>1955</v>
      </c>
      <c r="G1506" s="6">
        <v>47.87</v>
      </c>
      <c r="H1506" s="6">
        <v>47.94</v>
      </c>
      <c r="I1506" s="6">
        <v>69.8</v>
      </c>
      <c r="J1506" s="6">
        <v>2000</v>
      </c>
      <c r="K1506" s="7">
        <f>(J1506-M1506)*税费参数!$B$12/(I1506*10000*(1+SUM(税费参数!$B$6:$B$8)))</f>
        <v>0.0259353947980047</v>
      </c>
      <c r="L1506" s="7">
        <f>J1506*税费参数!$B$12/(I1506*10000)</f>
        <v>0.0286532951289398</v>
      </c>
      <c r="M1506" s="6">
        <f>I1506*10000*SUM(税费参数!$B$9:$B$10)/税费参数!$B$11</f>
        <v>130.875</v>
      </c>
    </row>
    <row r="1507" ht="21" customHeight="1" spans="1:13">
      <c r="A1507" s="5" t="s">
        <v>16</v>
      </c>
      <c r="B1507" s="6" t="s">
        <v>118</v>
      </c>
      <c r="C1507" s="6" t="s">
        <v>152</v>
      </c>
      <c r="D1507" s="6" t="s">
        <v>153</v>
      </c>
      <c r="E1507" s="6" t="s">
        <v>1125</v>
      </c>
      <c r="F1507" s="6" t="s">
        <v>1956</v>
      </c>
      <c r="G1507" s="6">
        <v>47.87</v>
      </c>
      <c r="H1507" s="6">
        <v>50.19</v>
      </c>
      <c r="I1507" s="6">
        <v>69.8</v>
      </c>
      <c r="J1507" s="6">
        <v>2400</v>
      </c>
      <c r="K1507" s="7">
        <f>(J1507-M1507)*税费参数!$B$12/(I1507*10000*(1+SUM(税费参数!$B$6:$B$8)))</f>
        <v>0.0314856698835136</v>
      </c>
      <c r="L1507" s="7">
        <f>J1507*税费参数!$B$12/(I1507*10000)</f>
        <v>0.0343839541547278</v>
      </c>
      <c r="M1507" s="6">
        <f>I1507*10000*SUM(税费参数!$B$9:$B$10)/税费参数!$B$11</f>
        <v>130.875</v>
      </c>
    </row>
    <row r="1508" ht="21" customHeight="1" spans="1:13">
      <c r="A1508" s="5" t="s">
        <v>16</v>
      </c>
      <c r="B1508" s="6" t="s">
        <v>118</v>
      </c>
      <c r="C1508" s="6" t="s">
        <v>157</v>
      </c>
      <c r="D1508" s="6" t="s">
        <v>155</v>
      </c>
      <c r="E1508" s="6" t="s">
        <v>1139</v>
      </c>
      <c r="F1508" s="6" t="s">
        <v>1957</v>
      </c>
      <c r="G1508" s="6">
        <v>67.82</v>
      </c>
      <c r="H1508" s="6">
        <v>67.8</v>
      </c>
      <c r="I1508" s="6">
        <v>119</v>
      </c>
      <c r="J1508" s="6">
        <v>2700</v>
      </c>
      <c r="K1508" s="7">
        <f>(J1508-M1508)*税费参数!$B$12/(I1508*10000*(1+SUM(税费参数!$B$6:$B$8)))</f>
        <v>0.0201589110220359</v>
      </c>
      <c r="L1508" s="7">
        <f>J1508*税费参数!$B$12/(I1508*10000)</f>
        <v>0.0226890756302521</v>
      </c>
      <c r="M1508" s="6">
        <f>I1508*10000*SUM(税费参数!$B$9:$B$10)/税费参数!$B$11</f>
        <v>223.125</v>
      </c>
    </row>
    <row r="1509" ht="21" customHeight="1" spans="1:13">
      <c r="A1509" s="5" t="s">
        <v>16</v>
      </c>
      <c r="B1509" s="6" t="s">
        <v>118</v>
      </c>
      <c r="C1509" s="6" t="s">
        <v>157</v>
      </c>
      <c r="D1509" s="6" t="s">
        <v>155</v>
      </c>
      <c r="E1509" s="6" t="s">
        <v>1137</v>
      </c>
      <c r="F1509" s="6" t="s">
        <v>1957</v>
      </c>
      <c r="G1509" s="6">
        <v>61.95</v>
      </c>
      <c r="H1509" s="6">
        <v>67.8</v>
      </c>
      <c r="I1509" s="6">
        <v>120</v>
      </c>
      <c r="J1509" s="6">
        <v>2700</v>
      </c>
      <c r="K1509" s="7">
        <f>(J1509-M1509)*税费参数!$B$12/(I1509*10000*(1+SUM(税费参数!$B$6:$B$8)))</f>
        <v>0.0199757869249395</v>
      </c>
      <c r="L1509" s="7">
        <f>J1509*税费参数!$B$12/(I1509*10000)</f>
        <v>0.0225</v>
      </c>
      <c r="M1509" s="6">
        <f>I1509*10000*SUM(税费参数!$B$9:$B$10)/税费参数!$B$11</f>
        <v>225</v>
      </c>
    </row>
    <row r="1510" ht="21" customHeight="1" spans="1:13">
      <c r="A1510" s="5" t="s">
        <v>16</v>
      </c>
      <c r="B1510" s="6" t="s">
        <v>118</v>
      </c>
      <c r="C1510" s="6" t="s">
        <v>157</v>
      </c>
      <c r="D1510" s="6" t="s">
        <v>155</v>
      </c>
      <c r="E1510" s="6" t="s">
        <v>1151</v>
      </c>
      <c r="F1510" s="6" t="s">
        <v>1957</v>
      </c>
      <c r="G1510" s="6">
        <v>67.08</v>
      </c>
      <c r="H1510" s="6">
        <v>67.8</v>
      </c>
      <c r="I1510" s="6">
        <v>105</v>
      </c>
      <c r="J1510" s="6">
        <v>2700</v>
      </c>
      <c r="K1510" s="7">
        <f>(J1510-M1510)*税费参数!$B$12/(I1510*10000*(1+SUM(税费参数!$B$6:$B$8)))</f>
        <v>0.0230888965755794</v>
      </c>
      <c r="L1510" s="7">
        <f>J1510*税费参数!$B$12/(I1510*10000)</f>
        <v>0.0257142857142857</v>
      </c>
      <c r="M1510" s="6">
        <f>I1510*10000*SUM(税费参数!$B$9:$B$10)/税费参数!$B$11</f>
        <v>196.875</v>
      </c>
    </row>
    <row r="1511" ht="21" customHeight="1" spans="1:13">
      <c r="A1511" s="5" t="s">
        <v>16</v>
      </c>
      <c r="B1511" s="6" t="s">
        <v>118</v>
      </c>
      <c r="C1511" s="6" t="s">
        <v>157</v>
      </c>
      <c r="D1511" s="6" t="s">
        <v>155</v>
      </c>
      <c r="E1511" s="6" t="s">
        <v>1145</v>
      </c>
      <c r="F1511" s="6" t="s">
        <v>1957</v>
      </c>
      <c r="G1511" s="6">
        <v>67.82</v>
      </c>
      <c r="H1511" s="6">
        <v>67.8</v>
      </c>
      <c r="I1511" s="6">
        <v>100</v>
      </c>
      <c r="J1511" s="6">
        <v>2700</v>
      </c>
      <c r="K1511" s="7">
        <f>(J1511-M1511)*税费参数!$B$12/(I1511*10000*(1+SUM(税费参数!$B$6:$B$8)))</f>
        <v>0.0243341404358354</v>
      </c>
      <c r="L1511" s="7">
        <f>J1511*税费参数!$B$12/(I1511*10000)</f>
        <v>0.027</v>
      </c>
      <c r="M1511" s="6">
        <f>I1511*10000*SUM(税费参数!$B$9:$B$10)/税费参数!$B$11</f>
        <v>187.5</v>
      </c>
    </row>
    <row r="1512" ht="21" customHeight="1" spans="1:13">
      <c r="A1512" s="5" t="s">
        <v>16</v>
      </c>
      <c r="B1512" s="6" t="s">
        <v>118</v>
      </c>
      <c r="C1512" s="6" t="s">
        <v>157</v>
      </c>
      <c r="D1512" s="6" t="s">
        <v>155</v>
      </c>
      <c r="E1512" s="6" t="s">
        <v>1155</v>
      </c>
      <c r="F1512" s="6" t="s">
        <v>1957</v>
      </c>
      <c r="G1512" s="6">
        <v>67.61</v>
      </c>
      <c r="H1512" s="6">
        <v>67.8</v>
      </c>
      <c r="I1512" s="6">
        <v>105</v>
      </c>
      <c r="J1512" s="6">
        <v>2700</v>
      </c>
      <c r="K1512" s="7">
        <f>(J1512-M1512)*税费参数!$B$12/(I1512*10000*(1+SUM(税费参数!$B$6:$B$8)))</f>
        <v>0.0230888965755794</v>
      </c>
      <c r="L1512" s="7">
        <f>J1512*税费参数!$B$12/(I1512*10000)</f>
        <v>0.0257142857142857</v>
      </c>
      <c r="M1512" s="6">
        <f>I1512*10000*SUM(税费参数!$B$9:$B$10)/税费参数!$B$11</f>
        <v>196.875</v>
      </c>
    </row>
    <row r="1513" ht="21" customHeight="1" spans="1:13">
      <c r="A1513" s="5" t="s">
        <v>16</v>
      </c>
      <c r="B1513" s="6" t="s">
        <v>118</v>
      </c>
      <c r="C1513" s="6" t="s">
        <v>157</v>
      </c>
      <c r="D1513" s="6" t="s">
        <v>155</v>
      </c>
      <c r="E1513" s="6" t="s">
        <v>1153</v>
      </c>
      <c r="F1513" s="6" t="s">
        <v>1957</v>
      </c>
      <c r="G1513" s="6">
        <v>67.79</v>
      </c>
      <c r="H1513" s="6">
        <v>67.8</v>
      </c>
      <c r="I1513" s="6">
        <v>105</v>
      </c>
      <c r="J1513" s="6">
        <v>2700</v>
      </c>
      <c r="K1513" s="7">
        <f>(J1513-M1513)*税费参数!$B$12/(I1513*10000*(1+SUM(税费参数!$B$6:$B$8)))</f>
        <v>0.0230888965755794</v>
      </c>
      <c r="L1513" s="7">
        <f>J1513*税费参数!$B$12/(I1513*10000)</f>
        <v>0.0257142857142857</v>
      </c>
      <c r="M1513" s="6">
        <f>I1513*10000*SUM(税费参数!$B$9:$B$10)/税费参数!$B$11</f>
        <v>196.875</v>
      </c>
    </row>
    <row r="1514" ht="21" customHeight="1" spans="1:13">
      <c r="A1514" s="5" t="s">
        <v>16</v>
      </c>
      <c r="B1514" s="6" t="s">
        <v>118</v>
      </c>
      <c r="C1514" s="6" t="s">
        <v>157</v>
      </c>
      <c r="D1514" s="6" t="s">
        <v>155</v>
      </c>
      <c r="E1514" s="6" t="s">
        <v>1143</v>
      </c>
      <c r="F1514" s="6" t="s">
        <v>1957</v>
      </c>
      <c r="G1514" s="6">
        <v>67.08</v>
      </c>
      <c r="H1514" s="6">
        <v>67.8</v>
      </c>
      <c r="I1514" s="6">
        <v>105</v>
      </c>
      <c r="J1514" s="6">
        <v>2700</v>
      </c>
      <c r="K1514" s="7">
        <f>(J1514-M1514)*税费参数!$B$12/(I1514*10000*(1+SUM(税费参数!$B$6:$B$8)))</f>
        <v>0.0230888965755794</v>
      </c>
      <c r="L1514" s="7">
        <f>J1514*税费参数!$B$12/(I1514*10000)</f>
        <v>0.0257142857142857</v>
      </c>
      <c r="M1514" s="6">
        <f>I1514*10000*SUM(税费参数!$B$9:$B$10)/税费参数!$B$11</f>
        <v>196.875</v>
      </c>
    </row>
    <row r="1515" ht="21" customHeight="1" spans="1:13">
      <c r="A1515" s="5" t="s">
        <v>16</v>
      </c>
      <c r="B1515" s="6" t="s">
        <v>118</v>
      </c>
      <c r="C1515" s="6" t="s">
        <v>157</v>
      </c>
      <c r="D1515" s="6" t="s">
        <v>155</v>
      </c>
      <c r="E1515" s="6" t="s">
        <v>1149</v>
      </c>
      <c r="F1515" s="6" t="s">
        <v>1957</v>
      </c>
      <c r="G1515" s="6">
        <v>69.13</v>
      </c>
      <c r="H1515" s="6">
        <v>67.8</v>
      </c>
      <c r="I1515" s="6">
        <v>117</v>
      </c>
      <c r="J1515" s="6">
        <v>2700</v>
      </c>
      <c r="K1515" s="7">
        <f>(J1515-M1515)*税费参数!$B$12/(I1515*10000*(1+SUM(税费参数!$B$6:$B$8)))</f>
        <v>0.0205345501955671</v>
      </c>
      <c r="L1515" s="7">
        <f>J1515*税费参数!$B$12/(I1515*10000)</f>
        <v>0.0230769230769231</v>
      </c>
      <c r="M1515" s="6">
        <f>I1515*10000*SUM(税费参数!$B$9:$B$10)/税费参数!$B$11</f>
        <v>219.375</v>
      </c>
    </row>
    <row r="1516" ht="21" customHeight="1" spans="1:13">
      <c r="A1516" s="5" t="s">
        <v>16</v>
      </c>
      <c r="B1516" s="6" t="s">
        <v>118</v>
      </c>
      <c r="C1516" s="6" t="s">
        <v>157</v>
      </c>
      <c r="D1516" s="6" t="s">
        <v>155</v>
      </c>
      <c r="E1516" s="6" t="s">
        <v>1141</v>
      </c>
      <c r="F1516" s="6" t="s">
        <v>1957</v>
      </c>
      <c r="G1516" s="6">
        <v>68.96</v>
      </c>
      <c r="H1516" s="6">
        <v>67.8</v>
      </c>
      <c r="I1516" s="6">
        <v>102</v>
      </c>
      <c r="J1516" s="6">
        <v>2700</v>
      </c>
      <c r="K1516" s="7">
        <f>(J1516-M1516)*税费参数!$B$12/(I1516*10000*(1+SUM(税费参数!$B$6:$B$8)))</f>
        <v>0.0238213929639652</v>
      </c>
      <c r="L1516" s="7">
        <f>J1516*税费参数!$B$12/(I1516*10000)</f>
        <v>0.0264705882352941</v>
      </c>
      <c r="M1516" s="6">
        <f>I1516*10000*SUM(税费参数!$B$9:$B$10)/税费参数!$B$11</f>
        <v>191.25</v>
      </c>
    </row>
    <row r="1517" ht="21" customHeight="1" spans="1:13">
      <c r="A1517" s="5" t="s">
        <v>16</v>
      </c>
      <c r="B1517" s="6" t="s">
        <v>118</v>
      </c>
      <c r="C1517" s="6" t="s">
        <v>157</v>
      </c>
      <c r="D1517" s="6" t="s">
        <v>155</v>
      </c>
      <c r="E1517" s="6" t="s">
        <v>1147</v>
      </c>
      <c r="F1517" s="6" t="s">
        <v>1957</v>
      </c>
      <c r="G1517" s="6">
        <v>70.8</v>
      </c>
      <c r="H1517" s="6">
        <v>67.8</v>
      </c>
      <c r="I1517" s="6">
        <v>109</v>
      </c>
      <c r="J1517" s="6">
        <v>2700</v>
      </c>
      <c r="K1517" s="7">
        <f>(J1517-M1517)*税费参数!$B$12/(I1517*10000*(1+SUM(税费参数!$B$6:$B$8)))</f>
        <v>0.0221749561276851</v>
      </c>
      <c r="L1517" s="7">
        <f>J1517*税费参数!$B$12/(I1517*10000)</f>
        <v>0.0247706422018349</v>
      </c>
      <c r="M1517" s="6">
        <f>I1517*10000*SUM(税费参数!$B$9:$B$10)/税费参数!$B$11</f>
        <v>204.375</v>
      </c>
    </row>
    <row r="1518" ht="21" customHeight="1" spans="1:13">
      <c r="A1518" s="5" t="s">
        <v>16</v>
      </c>
      <c r="B1518" s="6" t="s">
        <v>119</v>
      </c>
      <c r="C1518" s="6" t="s">
        <v>152</v>
      </c>
      <c r="D1518" s="6" t="s">
        <v>160</v>
      </c>
      <c r="E1518" s="6" t="s">
        <v>1165</v>
      </c>
      <c r="F1518" s="6" t="s">
        <v>1958</v>
      </c>
      <c r="G1518" s="6">
        <v>40.97</v>
      </c>
      <c r="H1518" s="6">
        <v>44.12</v>
      </c>
      <c r="I1518" s="6">
        <v>62</v>
      </c>
      <c r="J1518" s="6">
        <v>1600</v>
      </c>
      <c r="K1518" s="7">
        <f>(J1518-M1518)*税费参数!$B$12/(I1518*10000*(1+SUM(税费参数!$B$6:$B$8)))</f>
        <v>0.0231781613684293</v>
      </c>
      <c r="L1518" s="7">
        <f>J1518*税费参数!$B$12/(I1518*10000)</f>
        <v>0.0258064516129032</v>
      </c>
      <c r="M1518" s="6">
        <f>I1518*10000*SUM(税费参数!$B$9:$B$10)/税费参数!$B$11</f>
        <v>116.25</v>
      </c>
    </row>
    <row r="1519" ht="21" customHeight="1" spans="1:13">
      <c r="A1519" s="5" t="s">
        <v>16</v>
      </c>
      <c r="B1519" s="6" t="s">
        <v>119</v>
      </c>
      <c r="C1519" s="6" t="s">
        <v>152</v>
      </c>
      <c r="D1519" s="6" t="s">
        <v>160</v>
      </c>
      <c r="E1519" s="6" t="s">
        <v>1161</v>
      </c>
      <c r="F1519" s="6" t="s">
        <v>1958</v>
      </c>
      <c r="G1519" s="6">
        <v>40.6</v>
      </c>
      <c r="H1519" s="6">
        <v>44.12</v>
      </c>
      <c r="I1519" s="6">
        <v>60</v>
      </c>
      <c r="J1519" s="6">
        <v>1600</v>
      </c>
      <c r="K1519" s="7">
        <f>(J1519-M1519)*税费参数!$B$12/(I1519*10000*(1+SUM(税费参数!$B$6:$B$8)))</f>
        <v>0.0240112994350282</v>
      </c>
      <c r="L1519" s="7">
        <f>J1519*税费参数!$B$12/(I1519*10000)</f>
        <v>0.0266666666666667</v>
      </c>
      <c r="M1519" s="6">
        <f>I1519*10000*SUM(税费参数!$B$9:$B$10)/税费参数!$B$11</f>
        <v>112.5</v>
      </c>
    </row>
    <row r="1520" ht="21" customHeight="1" spans="1:13">
      <c r="A1520" s="5" t="s">
        <v>16</v>
      </c>
      <c r="B1520" s="6" t="s">
        <v>119</v>
      </c>
      <c r="C1520" s="6" t="s">
        <v>152</v>
      </c>
      <c r="D1520" s="6" t="s">
        <v>160</v>
      </c>
      <c r="E1520" s="6" t="s">
        <v>1163</v>
      </c>
      <c r="F1520" s="6" t="s">
        <v>1958</v>
      </c>
      <c r="G1520" s="6">
        <v>40.6</v>
      </c>
      <c r="H1520" s="6">
        <v>44.12</v>
      </c>
      <c r="I1520" s="6">
        <v>61</v>
      </c>
      <c r="J1520" s="6">
        <v>1600</v>
      </c>
      <c r="K1520" s="7">
        <f>(J1520-M1520)*税费参数!$B$12/(I1520*10000*(1+SUM(税费参数!$B$6:$B$8)))</f>
        <v>0.0235879014011829</v>
      </c>
      <c r="L1520" s="7">
        <f>J1520*税费参数!$B$12/(I1520*10000)</f>
        <v>0.0262295081967213</v>
      </c>
      <c r="M1520" s="6">
        <f>I1520*10000*SUM(税费参数!$B$9:$B$10)/税费参数!$B$11</f>
        <v>114.375</v>
      </c>
    </row>
    <row r="1521" ht="21" customHeight="1" spans="1:13">
      <c r="A1521" s="5" t="s">
        <v>16</v>
      </c>
      <c r="B1521" s="6" t="s">
        <v>113</v>
      </c>
      <c r="C1521" s="6" t="s">
        <v>159</v>
      </c>
      <c r="D1521" s="6" t="s">
        <v>160</v>
      </c>
      <c r="E1521" s="6" t="s">
        <v>1201</v>
      </c>
      <c r="F1521" s="6" t="s">
        <v>1959</v>
      </c>
      <c r="G1521" s="6">
        <v>39.86</v>
      </c>
      <c r="H1521" s="6">
        <v>33.97</v>
      </c>
      <c r="I1521" s="6">
        <v>59.8</v>
      </c>
      <c r="J1521" s="6">
        <v>1900</v>
      </c>
      <c r="K1521" s="7">
        <f>(J1521-M1521)*税费参数!$B$12/(I1521*10000*(1+SUM(税费参数!$B$6:$B$8)))</f>
        <v>0.0289564893470568</v>
      </c>
      <c r="L1521" s="7">
        <f>J1521*税费参数!$B$12/(I1521*10000)</f>
        <v>0.0317725752508361</v>
      </c>
      <c r="M1521" s="6">
        <f>I1521*10000*SUM(税费参数!$B$9:$B$10)/税费参数!$B$11</f>
        <v>112.125</v>
      </c>
    </row>
    <row r="1522" ht="21" customHeight="1" spans="1:13">
      <c r="A1522" s="5" t="s">
        <v>16</v>
      </c>
      <c r="B1522" s="6" t="s">
        <v>113</v>
      </c>
      <c r="C1522" s="6" t="s">
        <v>159</v>
      </c>
      <c r="D1522" s="6" t="s">
        <v>160</v>
      </c>
      <c r="E1522" s="6" t="s">
        <v>1199</v>
      </c>
      <c r="F1522" s="6" t="s">
        <v>1959</v>
      </c>
      <c r="G1522" s="6">
        <v>33</v>
      </c>
      <c r="H1522" s="6">
        <v>33.97</v>
      </c>
      <c r="I1522" s="6">
        <v>49</v>
      </c>
      <c r="J1522" s="6">
        <v>1900</v>
      </c>
      <c r="K1522" s="7">
        <f>(J1522-M1522)*税费参数!$B$12/(I1522*10000*(1+SUM(税费参数!$B$6:$B$8)))</f>
        <v>0.0357389929337352</v>
      </c>
      <c r="L1522" s="7">
        <f>J1522*税费参数!$B$12/(I1522*10000)</f>
        <v>0.0387755102040816</v>
      </c>
      <c r="M1522" s="6">
        <f>I1522*10000*SUM(税费参数!$B$9:$B$10)/税费参数!$B$11</f>
        <v>91.875</v>
      </c>
    </row>
    <row r="1523" ht="21" customHeight="1" spans="1:13">
      <c r="A1523" s="5" t="s">
        <v>16</v>
      </c>
      <c r="B1523" s="6" t="s">
        <v>113</v>
      </c>
      <c r="C1523" s="6" t="s">
        <v>152</v>
      </c>
      <c r="D1523" s="6" t="s">
        <v>160</v>
      </c>
      <c r="E1523" s="6" t="s">
        <v>1171</v>
      </c>
      <c r="F1523" s="6" t="s">
        <v>1960</v>
      </c>
      <c r="G1523" s="6">
        <v>45.41</v>
      </c>
      <c r="H1523" s="6">
        <v>45</v>
      </c>
      <c r="I1523" s="6">
        <v>71.8</v>
      </c>
      <c r="J1523" s="6">
        <v>1800</v>
      </c>
      <c r="K1523" s="7">
        <f>(J1523-M1523)*税费参数!$B$12/(I1523*10000*(1+SUM(税费参数!$B$6:$B$8)))</f>
        <v>0.0224645403225263</v>
      </c>
      <c r="L1523" s="7">
        <f>J1523*税费参数!$B$12/(I1523*10000)</f>
        <v>0.0250696378830084</v>
      </c>
      <c r="M1523" s="6">
        <f>I1523*10000*SUM(税费参数!$B$9:$B$10)/税费参数!$B$11</f>
        <v>134.625</v>
      </c>
    </row>
    <row r="1524" ht="21" customHeight="1" spans="1:13">
      <c r="A1524" s="5" t="s">
        <v>16</v>
      </c>
      <c r="B1524" s="6" t="s">
        <v>113</v>
      </c>
      <c r="C1524" s="6" t="s">
        <v>152</v>
      </c>
      <c r="D1524" s="6" t="s">
        <v>160</v>
      </c>
      <c r="E1524" s="6" t="s">
        <v>1171</v>
      </c>
      <c r="F1524" s="6" t="s">
        <v>1961</v>
      </c>
      <c r="G1524" s="6">
        <v>45.41</v>
      </c>
      <c r="H1524" s="6">
        <v>44.92</v>
      </c>
      <c r="I1524" s="6">
        <v>71.8</v>
      </c>
      <c r="J1524" s="6">
        <v>1900</v>
      </c>
      <c r="K1524" s="7">
        <f>(J1524-M1524)*税费参数!$B$12/(I1524*10000*(1+SUM(税费参数!$B$6:$B$8)))</f>
        <v>0.0238134581531966</v>
      </c>
      <c r="L1524" s="7">
        <f>J1524*税费参数!$B$12/(I1524*10000)</f>
        <v>0.0264623955431755</v>
      </c>
      <c r="M1524" s="6">
        <f>I1524*10000*SUM(税费参数!$B$9:$B$10)/税费参数!$B$11</f>
        <v>134.625</v>
      </c>
    </row>
    <row r="1525" ht="21" customHeight="1" spans="1:13">
      <c r="A1525" s="5" t="s">
        <v>16</v>
      </c>
      <c r="B1525" s="6" t="s">
        <v>113</v>
      </c>
      <c r="C1525" s="6" t="s">
        <v>152</v>
      </c>
      <c r="D1525" s="6" t="s">
        <v>160</v>
      </c>
      <c r="E1525" s="6" t="s">
        <v>1171</v>
      </c>
      <c r="F1525" s="6" t="s">
        <v>1962</v>
      </c>
      <c r="G1525" s="6">
        <v>45.41</v>
      </c>
      <c r="H1525" s="6">
        <v>45.41</v>
      </c>
      <c r="I1525" s="6">
        <v>71.8</v>
      </c>
      <c r="J1525" s="6">
        <v>2200</v>
      </c>
      <c r="K1525" s="7">
        <f>(J1525-M1525)*税费参数!$B$12/(I1525*10000*(1+SUM(税费参数!$B$6:$B$8)))</f>
        <v>0.0278602116452076</v>
      </c>
      <c r="L1525" s="7">
        <f>J1525*税费参数!$B$12/(I1525*10000)</f>
        <v>0.0306406685236769</v>
      </c>
      <c r="M1525" s="6">
        <f>I1525*10000*SUM(税费参数!$B$9:$B$10)/税费参数!$B$11</f>
        <v>134.625</v>
      </c>
    </row>
    <row r="1526" ht="21" customHeight="1" spans="1:13">
      <c r="A1526" s="5" t="s">
        <v>16</v>
      </c>
      <c r="B1526" s="6" t="s">
        <v>113</v>
      </c>
      <c r="C1526" s="6" t="s">
        <v>152</v>
      </c>
      <c r="D1526" s="6" t="s">
        <v>160</v>
      </c>
      <c r="E1526" s="6" t="s">
        <v>1171</v>
      </c>
      <c r="F1526" s="6" t="s">
        <v>1963</v>
      </c>
      <c r="G1526" s="6">
        <v>45.41</v>
      </c>
      <c r="H1526" s="6">
        <v>44.92</v>
      </c>
      <c r="I1526" s="6">
        <v>71.8</v>
      </c>
      <c r="J1526" s="6">
        <v>2200</v>
      </c>
      <c r="K1526" s="7">
        <f>(J1526-M1526)*税费参数!$B$12/(I1526*10000*(1+SUM(税费参数!$B$6:$B$8)))</f>
        <v>0.0278602116452076</v>
      </c>
      <c r="L1526" s="7">
        <f>J1526*税费参数!$B$12/(I1526*10000)</f>
        <v>0.0306406685236769</v>
      </c>
      <c r="M1526" s="6">
        <f>I1526*10000*SUM(税费参数!$B$9:$B$10)/税费参数!$B$11</f>
        <v>134.625</v>
      </c>
    </row>
    <row r="1527" ht="21" customHeight="1" spans="1:13">
      <c r="A1527" s="5" t="s">
        <v>16</v>
      </c>
      <c r="B1527" s="6" t="s">
        <v>113</v>
      </c>
      <c r="C1527" s="6" t="s">
        <v>152</v>
      </c>
      <c r="D1527" s="6" t="s">
        <v>160</v>
      </c>
      <c r="E1527" s="6" t="s">
        <v>1171</v>
      </c>
      <c r="F1527" s="6" t="s">
        <v>1964</v>
      </c>
      <c r="G1527" s="6">
        <v>45.41</v>
      </c>
      <c r="H1527" s="6">
        <v>40.16</v>
      </c>
      <c r="I1527" s="6">
        <v>71.8</v>
      </c>
      <c r="J1527" s="6">
        <v>2300</v>
      </c>
      <c r="K1527" s="7">
        <f>(J1527-M1527)*税费参数!$B$12/(I1527*10000*(1+SUM(税费参数!$B$6:$B$8)))</f>
        <v>0.029209129475878</v>
      </c>
      <c r="L1527" s="7">
        <f>J1527*税费参数!$B$12/(I1527*10000)</f>
        <v>0.032033426183844</v>
      </c>
      <c r="M1527" s="6">
        <f>I1527*10000*SUM(税费参数!$B$9:$B$10)/税费参数!$B$11</f>
        <v>134.625</v>
      </c>
    </row>
    <row r="1528" ht="21" customHeight="1" spans="1:13">
      <c r="A1528" s="5" t="s">
        <v>16</v>
      </c>
      <c r="B1528" s="6" t="s">
        <v>113</v>
      </c>
      <c r="C1528" s="6" t="s">
        <v>152</v>
      </c>
      <c r="D1528" s="6" t="s">
        <v>153</v>
      </c>
      <c r="E1528" s="6" t="s">
        <v>1173</v>
      </c>
      <c r="F1528" s="6" t="s">
        <v>1965</v>
      </c>
      <c r="G1528" s="6">
        <v>59.23</v>
      </c>
      <c r="H1528" s="6">
        <v>59.23</v>
      </c>
      <c r="I1528" s="6">
        <v>75</v>
      </c>
      <c r="J1528" s="6">
        <v>2100</v>
      </c>
      <c r="K1528" s="7">
        <f>(J1528-M1528)*税费参数!$B$12/(I1528*10000*(1+SUM(税费参数!$B$6:$B$8)))</f>
        <v>0.0253026634382567</v>
      </c>
      <c r="L1528" s="7">
        <f>J1528*税费参数!$B$12/(I1528*10000)</f>
        <v>0.028</v>
      </c>
      <c r="M1528" s="6">
        <f>I1528*10000*SUM(税费参数!$B$9:$B$10)/税费参数!$B$11</f>
        <v>140.625</v>
      </c>
    </row>
    <row r="1529" ht="21" customHeight="1" spans="1:13">
      <c r="A1529" s="5" t="s">
        <v>16</v>
      </c>
      <c r="B1529" s="6" t="s">
        <v>113</v>
      </c>
      <c r="C1529" s="6" t="s">
        <v>152</v>
      </c>
      <c r="D1529" s="6" t="s">
        <v>153</v>
      </c>
      <c r="E1529" s="6" t="s">
        <v>1173</v>
      </c>
      <c r="F1529" s="6" t="s">
        <v>1966</v>
      </c>
      <c r="G1529" s="6">
        <v>59.23</v>
      </c>
      <c r="H1529" s="6">
        <v>56.82</v>
      </c>
      <c r="I1529" s="6">
        <v>75</v>
      </c>
      <c r="J1529" s="6">
        <v>2500</v>
      </c>
      <c r="K1529" s="7">
        <f>(J1529-M1529)*税费参数!$B$12/(I1529*10000*(1+SUM(税费参数!$B$6:$B$8)))</f>
        <v>0.0304681194511703</v>
      </c>
      <c r="L1529" s="7">
        <f>J1529*税费参数!$B$12/(I1529*10000)</f>
        <v>0.0333333333333333</v>
      </c>
      <c r="M1529" s="6">
        <f>I1529*10000*SUM(税费参数!$B$9:$B$10)/税费参数!$B$11</f>
        <v>140.625</v>
      </c>
    </row>
    <row r="1530" ht="21" customHeight="1" spans="1:13">
      <c r="A1530" s="5" t="s">
        <v>16</v>
      </c>
      <c r="B1530" s="6" t="s">
        <v>113</v>
      </c>
      <c r="C1530" s="6" t="s">
        <v>152</v>
      </c>
      <c r="D1530" s="6" t="s">
        <v>153</v>
      </c>
      <c r="E1530" s="6" t="s">
        <v>1173</v>
      </c>
      <c r="F1530" s="6" t="s">
        <v>1967</v>
      </c>
      <c r="G1530" s="6">
        <v>59.23</v>
      </c>
      <c r="H1530" s="6">
        <v>59.23</v>
      </c>
      <c r="I1530" s="6">
        <v>75</v>
      </c>
      <c r="J1530" s="6">
        <v>2200</v>
      </c>
      <c r="K1530" s="7">
        <f>(J1530-M1530)*税费参数!$B$12/(I1530*10000*(1+SUM(税费参数!$B$6:$B$8)))</f>
        <v>0.0265940274414851</v>
      </c>
      <c r="L1530" s="7">
        <f>J1530*税费参数!$B$12/(I1530*10000)</f>
        <v>0.0293333333333333</v>
      </c>
      <c r="M1530" s="6">
        <f>I1530*10000*SUM(税费参数!$B$9:$B$10)/税费参数!$B$11</f>
        <v>140.625</v>
      </c>
    </row>
    <row r="1531" ht="21" customHeight="1" spans="1:13">
      <c r="A1531" s="5" t="s">
        <v>16</v>
      </c>
      <c r="B1531" s="6" t="s">
        <v>113</v>
      </c>
      <c r="C1531" s="6" t="s">
        <v>152</v>
      </c>
      <c r="D1531" s="6" t="s">
        <v>153</v>
      </c>
      <c r="E1531" s="6" t="s">
        <v>1183</v>
      </c>
      <c r="F1531" s="6" t="s">
        <v>1965</v>
      </c>
      <c r="G1531" s="6">
        <v>59.23</v>
      </c>
      <c r="H1531" s="6">
        <v>59.23</v>
      </c>
      <c r="I1531" s="6">
        <v>101</v>
      </c>
      <c r="J1531" s="6">
        <v>2100</v>
      </c>
      <c r="K1531" s="7">
        <f>(J1531-M1531)*税费参数!$B$12/(I1531*10000*(1+SUM(税费参数!$B$6:$B$8)))</f>
        <v>0.0183216263514971</v>
      </c>
      <c r="L1531" s="7">
        <f>J1531*税费参数!$B$12/(I1531*10000)</f>
        <v>0.0207920792079208</v>
      </c>
      <c r="M1531" s="6">
        <f>I1531*10000*SUM(税费参数!$B$9:$B$10)/税费参数!$B$11</f>
        <v>189.375</v>
      </c>
    </row>
    <row r="1532" ht="21" customHeight="1" spans="1:13">
      <c r="A1532" s="5" t="s">
        <v>16</v>
      </c>
      <c r="B1532" s="6" t="s">
        <v>113</v>
      </c>
      <c r="C1532" s="6" t="s">
        <v>152</v>
      </c>
      <c r="D1532" s="6" t="s">
        <v>153</v>
      </c>
      <c r="E1532" s="6" t="s">
        <v>1183</v>
      </c>
      <c r="F1532" s="6" t="s">
        <v>1966</v>
      </c>
      <c r="G1532" s="6">
        <v>59.23</v>
      </c>
      <c r="H1532" s="6">
        <v>56.82</v>
      </c>
      <c r="I1532" s="6">
        <v>101</v>
      </c>
      <c r="J1532" s="6">
        <v>2500</v>
      </c>
      <c r="K1532" s="7">
        <f>(J1532-M1532)*税费参数!$B$12/(I1532*10000*(1+SUM(税费参数!$B$6:$B$8)))</f>
        <v>0.0221573610145518</v>
      </c>
      <c r="L1532" s="7">
        <f>J1532*税费参数!$B$12/(I1532*10000)</f>
        <v>0.0247524752475248</v>
      </c>
      <c r="M1532" s="6">
        <f>I1532*10000*SUM(税费参数!$B$9:$B$10)/税费参数!$B$11</f>
        <v>189.375</v>
      </c>
    </row>
    <row r="1533" ht="21" customHeight="1" spans="1:13">
      <c r="A1533" s="5" t="s">
        <v>16</v>
      </c>
      <c r="B1533" s="6" t="s">
        <v>113</v>
      </c>
      <c r="C1533" s="6" t="s">
        <v>152</v>
      </c>
      <c r="D1533" s="6" t="s">
        <v>153</v>
      </c>
      <c r="E1533" s="6" t="s">
        <v>1183</v>
      </c>
      <c r="F1533" s="6" t="s">
        <v>1967</v>
      </c>
      <c r="G1533" s="6">
        <v>59.23</v>
      </c>
      <c r="H1533" s="6">
        <v>59.23</v>
      </c>
      <c r="I1533" s="6">
        <v>101</v>
      </c>
      <c r="J1533" s="6">
        <v>2200</v>
      </c>
      <c r="K1533" s="7">
        <f>(J1533-M1533)*税费参数!$B$12/(I1533*10000*(1+SUM(税费参数!$B$6:$B$8)))</f>
        <v>0.0192805600172608</v>
      </c>
      <c r="L1533" s="7">
        <f>J1533*税费参数!$B$12/(I1533*10000)</f>
        <v>0.0217821782178218</v>
      </c>
      <c r="M1533" s="6">
        <f>I1533*10000*SUM(税费参数!$B$9:$B$10)/税费参数!$B$11</f>
        <v>189.375</v>
      </c>
    </row>
    <row r="1534" ht="21" customHeight="1" spans="1:13">
      <c r="A1534" s="5" t="s">
        <v>16</v>
      </c>
      <c r="B1534" s="6" t="s">
        <v>113</v>
      </c>
      <c r="C1534" s="6" t="s">
        <v>152</v>
      </c>
      <c r="D1534" s="6" t="s">
        <v>153</v>
      </c>
      <c r="E1534" s="6" t="s">
        <v>1175</v>
      </c>
      <c r="F1534" s="6" t="s">
        <v>1965</v>
      </c>
      <c r="G1534" s="6">
        <v>56.82</v>
      </c>
      <c r="H1534" s="6">
        <v>59.23</v>
      </c>
      <c r="I1534" s="6">
        <v>85</v>
      </c>
      <c r="J1534" s="6">
        <v>2100</v>
      </c>
      <c r="K1534" s="7">
        <f>(J1534-M1534)*税费参数!$B$12/(I1534*10000*(1+SUM(税费参数!$B$6:$B$8)))</f>
        <v>0.0221122347243982</v>
      </c>
      <c r="L1534" s="7">
        <f>J1534*税费参数!$B$12/(I1534*10000)</f>
        <v>0.0247058823529412</v>
      </c>
      <c r="M1534" s="6">
        <f>I1534*10000*SUM(税费参数!$B$9:$B$10)/税费参数!$B$11</f>
        <v>159.375</v>
      </c>
    </row>
    <row r="1535" ht="21" customHeight="1" spans="1:13">
      <c r="A1535" s="5" t="s">
        <v>16</v>
      </c>
      <c r="B1535" s="6" t="s">
        <v>113</v>
      </c>
      <c r="C1535" s="6" t="s">
        <v>152</v>
      </c>
      <c r="D1535" s="6" t="s">
        <v>153</v>
      </c>
      <c r="E1535" s="6" t="s">
        <v>1175</v>
      </c>
      <c r="F1535" s="6" t="s">
        <v>1966</v>
      </c>
      <c r="G1535" s="6">
        <v>56.82</v>
      </c>
      <c r="H1535" s="6">
        <v>56.82</v>
      </c>
      <c r="I1535" s="6">
        <v>85</v>
      </c>
      <c r="J1535" s="6">
        <v>2500</v>
      </c>
      <c r="K1535" s="7">
        <f>(J1535-M1535)*税费参数!$B$12/(I1535*10000*(1+SUM(税费参数!$B$6:$B$8)))</f>
        <v>0.0266699900299103</v>
      </c>
      <c r="L1535" s="7">
        <f>J1535*税费参数!$B$12/(I1535*10000)</f>
        <v>0.0294117647058824</v>
      </c>
      <c r="M1535" s="6">
        <f>I1535*10000*SUM(税费参数!$B$9:$B$10)/税费参数!$B$11</f>
        <v>159.375</v>
      </c>
    </row>
    <row r="1536" ht="21" customHeight="1" spans="1:13">
      <c r="A1536" s="5" t="s">
        <v>16</v>
      </c>
      <c r="B1536" s="6" t="s">
        <v>113</v>
      </c>
      <c r="C1536" s="6" t="s">
        <v>152</v>
      </c>
      <c r="D1536" s="6" t="s">
        <v>153</v>
      </c>
      <c r="E1536" s="6" t="s">
        <v>1175</v>
      </c>
      <c r="F1536" s="6" t="s">
        <v>1967</v>
      </c>
      <c r="G1536" s="6">
        <v>56.82</v>
      </c>
      <c r="H1536" s="6">
        <v>59.23</v>
      </c>
      <c r="I1536" s="6">
        <v>85</v>
      </c>
      <c r="J1536" s="6">
        <v>2200</v>
      </c>
      <c r="K1536" s="7">
        <f>(J1536-M1536)*税费参数!$B$12/(I1536*10000*(1+SUM(税费参数!$B$6:$B$8)))</f>
        <v>0.0232516735507762</v>
      </c>
      <c r="L1536" s="7">
        <f>J1536*税费参数!$B$12/(I1536*10000)</f>
        <v>0.0258823529411765</v>
      </c>
      <c r="M1536" s="6">
        <f>I1536*10000*SUM(税费参数!$B$9:$B$10)/税费参数!$B$11</f>
        <v>159.375</v>
      </c>
    </row>
    <row r="1537" ht="21" customHeight="1" spans="1:13">
      <c r="A1537" s="5" t="s">
        <v>16</v>
      </c>
      <c r="B1537" s="6" t="s">
        <v>115</v>
      </c>
      <c r="C1537" s="6" t="s">
        <v>152</v>
      </c>
      <c r="D1537" s="6" t="s">
        <v>153</v>
      </c>
      <c r="E1537" s="6" t="s">
        <v>1207</v>
      </c>
      <c r="F1537" s="6" t="s">
        <v>1968</v>
      </c>
      <c r="G1537" s="6">
        <v>52.18</v>
      </c>
      <c r="H1537" s="6">
        <v>52.18</v>
      </c>
      <c r="I1537" s="6">
        <v>63</v>
      </c>
      <c r="J1537" s="6">
        <v>1900</v>
      </c>
      <c r="K1537" s="7">
        <f>(J1537-M1537)*税费参数!$B$12/(I1537*10000*(1+SUM(税费参数!$B$6:$B$8)))</f>
        <v>0.0273934432530074</v>
      </c>
      <c r="L1537" s="7">
        <f>J1537*税费参数!$B$12/(I1537*10000)</f>
        <v>0.0301587301587302</v>
      </c>
      <c r="M1537" s="6">
        <f>I1537*10000*SUM(税费参数!$B$9:$B$10)/税费参数!$B$11</f>
        <v>118.125</v>
      </c>
    </row>
    <row r="1538" ht="21" customHeight="1" spans="1:13">
      <c r="A1538" s="5" t="s">
        <v>16</v>
      </c>
      <c r="B1538" s="6" t="s">
        <v>115</v>
      </c>
      <c r="C1538" s="6" t="s">
        <v>152</v>
      </c>
      <c r="D1538" s="6" t="s">
        <v>153</v>
      </c>
      <c r="E1538" s="6" t="s">
        <v>1209</v>
      </c>
      <c r="F1538" s="6" t="s">
        <v>1968</v>
      </c>
      <c r="G1538" s="6">
        <v>59.54</v>
      </c>
      <c r="H1538" s="6">
        <v>52.18</v>
      </c>
      <c r="I1538" s="6">
        <v>74.8</v>
      </c>
      <c r="J1538" s="6">
        <v>1900</v>
      </c>
      <c r="K1538" s="7">
        <f>(J1538-M1538)*税费参数!$B$12/(I1538*10000*(1+SUM(税费参数!$B$6:$B$8)))</f>
        <v>0.0227855394854398</v>
      </c>
      <c r="L1538" s="7">
        <f>J1538*税费参数!$B$12/(I1538*10000)</f>
        <v>0.0254010695187166</v>
      </c>
      <c r="M1538" s="6">
        <f>I1538*10000*SUM(税费参数!$B$9:$B$10)/税费参数!$B$11</f>
        <v>140.25</v>
      </c>
    </row>
    <row r="1539" ht="21" customHeight="1" spans="1:13">
      <c r="A1539" s="5" t="s">
        <v>16</v>
      </c>
      <c r="B1539" s="6" t="s">
        <v>115</v>
      </c>
      <c r="C1539" s="6" t="s">
        <v>152</v>
      </c>
      <c r="D1539" s="6" t="s">
        <v>153</v>
      </c>
      <c r="E1539" s="6" t="s">
        <v>1211</v>
      </c>
      <c r="F1539" s="6" t="s">
        <v>1968</v>
      </c>
      <c r="G1539" s="6">
        <v>50.12</v>
      </c>
      <c r="H1539" s="6">
        <v>52.18</v>
      </c>
      <c r="I1539" s="6">
        <v>65</v>
      </c>
      <c r="J1539" s="6">
        <v>1900</v>
      </c>
      <c r="K1539" s="7">
        <f>(J1539-M1539)*税费参数!$B$12/(I1539*10000*(1+SUM(税费参数!$B$6:$B$8)))</f>
        <v>0.026494691748929</v>
      </c>
      <c r="L1539" s="7">
        <f>J1539*税费参数!$B$12/(I1539*10000)</f>
        <v>0.0292307692307692</v>
      </c>
      <c r="M1539" s="6">
        <f>I1539*10000*SUM(税费参数!$B$9:$B$10)/税费参数!$B$11</f>
        <v>121.875</v>
      </c>
    </row>
    <row r="1540" ht="21" customHeight="1" spans="1:13">
      <c r="A1540" s="5" t="s">
        <v>16</v>
      </c>
      <c r="B1540" s="6" t="s">
        <v>115</v>
      </c>
      <c r="C1540" s="6" t="s">
        <v>157</v>
      </c>
      <c r="D1540" s="6" t="s">
        <v>155</v>
      </c>
      <c r="E1540" s="6" t="s">
        <v>1225</v>
      </c>
      <c r="F1540" s="6" t="s">
        <v>1969</v>
      </c>
      <c r="G1540" s="6">
        <v>72.97</v>
      </c>
      <c r="H1540" s="6">
        <v>78.22</v>
      </c>
      <c r="I1540" s="6">
        <v>85</v>
      </c>
      <c r="J1540" s="6">
        <v>2700</v>
      </c>
      <c r="K1540" s="7">
        <f>(J1540-M1540)*税费参数!$B$12/(I1540*10000*(1+SUM(税费参数!$B$6:$B$8)))</f>
        <v>0.0289488676826663</v>
      </c>
      <c r="L1540" s="7">
        <f>J1540*税费参数!$B$12/(I1540*10000)</f>
        <v>0.0317647058823529</v>
      </c>
      <c r="M1540" s="6">
        <f>I1540*10000*SUM(税费参数!$B$9:$B$10)/税费参数!$B$11</f>
        <v>159.375</v>
      </c>
    </row>
    <row r="1541" ht="21" customHeight="1" spans="1:13">
      <c r="A1541" s="5" t="s">
        <v>16</v>
      </c>
      <c r="B1541" s="6" t="s">
        <v>115</v>
      </c>
      <c r="C1541" s="6" t="s">
        <v>157</v>
      </c>
      <c r="D1541" s="6" t="s">
        <v>155</v>
      </c>
      <c r="E1541" s="6" t="s">
        <v>1215</v>
      </c>
      <c r="F1541" s="6" t="s">
        <v>1969</v>
      </c>
      <c r="G1541" s="6">
        <v>72.87</v>
      </c>
      <c r="H1541" s="6">
        <v>78.22</v>
      </c>
      <c r="I1541" s="6">
        <v>95</v>
      </c>
      <c r="J1541" s="6">
        <v>2700</v>
      </c>
      <c r="K1541" s="7">
        <f>(J1541-M1541)*税费参数!$B$12/(I1541*10000*(1+SUM(税费参数!$B$6:$B$8)))</f>
        <v>0.0257104625971709</v>
      </c>
      <c r="L1541" s="7">
        <f>J1541*税费参数!$B$12/(I1541*10000)</f>
        <v>0.0284210526315789</v>
      </c>
      <c r="M1541" s="6">
        <f>I1541*10000*SUM(税费参数!$B$9:$B$10)/税费参数!$B$11</f>
        <v>178.125</v>
      </c>
    </row>
    <row r="1542" ht="21" customHeight="1" spans="1:13">
      <c r="A1542" s="5" t="s">
        <v>16</v>
      </c>
      <c r="B1542" s="6" t="s">
        <v>115</v>
      </c>
      <c r="C1542" s="6" t="s">
        <v>157</v>
      </c>
      <c r="D1542" s="6" t="s">
        <v>155</v>
      </c>
      <c r="E1542" s="6" t="s">
        <v>1217</v>
      </c>
      <c r="F1542" s="6" t="s">
        <v>1969</v>
      </c>
      <c r="G1542" s="6">
        <v>71.4</v>
      </c>
      <c r="H1542" s="6">
        <v>78.22</v>
      </c>
      <c r="I1542" s="6">
        <v>96</v>
      </c>
      <c r="J1542" s="6">
        <v>2700</v>
      </c>
      <c r="K1542" s="7">
        <f>(J1542-M1542)*税费参数!$B$12/(I1542*10000*(1+SUM(税费参数!$B$6:$B$8)))</f>
        <v>0.0254237288135593</v>
      </c>
      <c r="L1542" s="7">
        <f>J1542*税费参数!$B$12/(I1542*10000)</f>
        <v>0.028125</v>
      </c>
      <c r="M1542" s="6">
        <f>I1542*10000*SUM(税费参数!$B$9:$B$10)/税费参数!$B$11</f>
        <v>180</v>
      </c>
    </row>
    <row r="1543" ht="21" customHeight="1" spans="1:13">
      <c r="A1543" s="5" t="s">
        <v>16</v>
      </c>
      <c r="B1543" s="6" t="s">
        <v>115</v>
      </c>
      <c r="C1543" s="6" t="s">
        <v>157</v>
      </c>
      <c r="D1543" s="6" t="s">
        <v>155</v>
      </c>
      <c r="E1543" s="6" t="s">
        <v>1223</v>
      </c>
      <c r="F1543" s="6" t="s">
        <v>1969</v>
      </c>
      <c r="G1543" s="6">
        <v>79.42</v>
      </c>
      <c r="H1543" s="6">
        <v>78.22</v>
      </c>
      <c r="I1543" s="6">
        <v>93.6</v>
      </c>
      <c r="J1543" s="6">
        <v>2700</v>
      </c>
      <c r="K1543" s="7">
        <f>(J1543-M1543)*税费参数!$B$12/(I1543*10000*(1+SUM(税费参数!$B$6:$B$8)))</f>
        <v>0.0261221829018439</v>
      </c>
      <c r="L1543" s="7">
        <f>J1543*税费参数!$B$12/(I1543*10000)</f>
        <v>0.0288461538461538</v>
      </c>
      <c r="M1543" s="6">
        <f>I1543*10000*SUM(税费参数!$B$9:$B$10)/税费参数!$B$11</f>
        <v>175.5</v>
      </c>
    </row>
    <row r="1544" ht="21" customHeight="1" spans="1:13">
      <c r="A1544" s="5" t="s">
        <v>16</v>
      </c>
      <c r="B1544" s="6" t="s">
        <v>115</v>
      </c>
      <c r="C1544" s="6" t="s">
        <v>157</v>
      </c>
      <c r="D1544" s="6" t="s">
        <v>155</v>
      </c>
      <c r="E1544" s="6" t="s">
        <v>1221</v>
      </c>
      <c r="F1544" s="6" t="s">
        <v>1969</v>
      </c>
      <c r="G1544" s="6">
        <v>73.75</v>
      </c>
      <c r="H1544" s="6">
        <v>78.22</v>
      </c>
      <c r="I1544" s="6">
        <v>106</v>
      </c>
      <c r="J1544" s="6">
        <v>2700</v>
      </c>
      <c r="K1544" s="7">
        <f>(J1544-M1544)*税费参数!$B$12/(I1544*10000*(1+SUM(税费参数!$B$6:$B$8)))</f>
        <v>0.022853944903833</v>
      </c>
      <c r="L1544" s="7">
        <f>J1544*税费参数!$B$12/(I1544*10000)</f>
        <v>0.0254716981132075</v>
      </c>
      <c r="M1544" s="6">
        <f>I1544*10000*SUM(税费参数!$B$9:$B$10)/税费参数!$B$11</f>
        <v>198.75</v>
      </c>
    </row>
    <row r="1545" ht="21" customHeight="1" spans="1:13">
      <c r="A1545" s="5" t="s">
        <v>16</v>
      </c>
      <c r="B1545" s="6" t="s">
        <v>112</v>
      </c>
      <c r="C1545" s="6" t="s">
        <v>152</v>
      </c>
      <c r="D1545" s="6" t="s">
        <v>155</v>
      </c>
      <c r="E1545" s="6" t="s">
        <v>1231</v>
      </c>
      <c r="F1545" s="6" t="s">
        <v>1970</v>
      </c>
      <c r="G1545" s="6">
        <v>58.93</v>
      </c>
      <c r="H1545" s="6">
        <v>57.87</v>
      </c>
      <c r="I1545" s="6">
        <v>83</v>
      </c>
      <c r="J1545" s="6">
        <v>2700</v>
      </c>
      <c r="K1545" s="7">
        <f>(J1545-M1545)*税费参数!$B$12/(I1545*10000*(1+SUM(税费参数!$B$6:$B$8)))</f>
        <v>0.0296901893287435</v>
      </c>
      <c r="L1545" s="7">
        <f>J1545*税费参数!$B$12/(I1545*10000)</f>
        <v>0.0325301204819277</v>
      </c>
      <c r="M1545" s="6">
        <f>I1545*10000*SUM(税费参数!$B$9:$B$10)/税费参数!$B$11</f>
        <v>155.625</v>
      </c>
    </row>
    <row r="1546" ht="21" customHeight="1" spans="1:13">
      <c r="A1546" s="5" t="s">
        <v>16</v>
      </c>
      <c r="B1546" s="6" t="s">
        <v>112</v>
      </c>
      <c r="C1546" s="6" t="s">
        <v>152</v>
      </c>
      <c r="D1546" s="6" t="s">
        <v>155</v>
      </c>
      <c r="E1546" s="6" t="s">
        <v>1231</v>
      </c>
      <c r="F1546" s="6" t="s">
        <v>1971</v>
      </c>
      <c r="G1546" s="6">
        <v>58.93</v>
      </c>
      <c r="H1546" s="6">
        <v>57.87</v>
      </c>
      <c r="I1546" s="6">
        <v>83</v>
      </c>
      <c r="J1546" s="6">
        <v>2500</v>
      </c>
      <c r="K1546" s="7">
        <f>(J1546-M1546)*税费参数!$B$12/(I1546*10000*(1+SUM(税费参数!$B$6:$B$8)))</f>
        <v>0.0273563989614633</v>
      </c>
      <c r="L1546" s="7">
        <f>J1546*税费参数!$B$12/(I1546*10000)</f>
        <v>0.0301204819277108</v>
      </c>
      <c r="M1546" s="6">
        <f>I1546*10000*SUM(税费参数!$B$9:$B$10)/税费参数!$B$11</f>
        <v>155.625</v>
      </c>
    </row>
    <row r="1547" ht="21" customHeight="1" spans="1:13">
      <c r="A1547" s="5" t="s">
        <v>16</v>
      </c>
      <c r="B1547" s="6" t="s">
        <v>112</v>
      </c>
      <c r="C1547" s="6" t="s">
        <v>152</v>
      </c>
      <c r="D1547" s="6" t="s">
        <v>155</v>
      </c>
      <c r="E1547" s="6" t="s">
        <v>1231</v>
      </c>
      <c r="F1547" s="6" t="s">
        <v>1972</v>
      </c>
      <c r="G1547" s="6">
        <v>58.93</v>
      </c>
      <c r="H1547" s="6">
        <v>54.56</v>
      </c>
      <c r="I1547" s="6">
        <v>83</v>
      </c>
      <c r="J1547" s="6">
        <v>3800</v>
      </c>
      <c r="K1547" s="7">
        <f>(J1547-M1547)*税费参数!$B$12/(I1547*10000*(1+SUM(税费参数!$B$6:$B$8)))</f>
        <v>0.042526036348785</v>
      </c>
      <c r="L1547" s="7">
        <f>J1547*税费参数!$B$12/(I1547*10000)</f>
        <v>0.0457831325301205</v>
      </c>
      <c r="M1547" s="6">
        <f>I1547*10000*SUM(税费参数!$B$9:$B$10)/税费参数!$B$11</f>
        <v>155.625</v>
      </c>
    </row>
    <row r="1548" ht="21" customHeight="1" spans="1:13">
      <c r="A1548" s="5" t="s">
        <v>16</v>
      </c>
      <c r="B1548" s="6" t="s">
        <v>112</v>
      </c>
      <c r="C1548" s="6" t="s">
        <v>152</v>
      </c>
      <c r="D1548" s="6" t="s">
        <v>155</v>
      </c>
      <c r="E1548" s="6" t="s">
        <v>1231</v>
      </c>
      <c r="F1548" s="6" t="s">
        <v>1973</v>
      </c>
      <c r="G1548" s="6">
        <v>58.93</v>
      </c>
      <c r="H1548" s="6">
        <v>59.04</v>
      </c>
      <c r="I1548" s="6">
        <v>83</v>
      </c>
      <c r="J1548" s="6">
        <v>3200</v>
      </c>
      <c r="K1548" s="7">
        <f>(J1548-M1548)*税费参数!$B$12/(I1548*10000*(1+SUM(税费参数!$B$6:$B$8)))</f>
        <v>0.0355246652469442</v>
      </c>
      <c r="L1548" s="7">
        <f>J1548*税费参数!$B$12/(I1548*10000)</f>
        <v>0.0385542168674699</v>
      </c>
      <c r="M1548" s="6">
        <f>I1548*10000*SUM(税费参数!$B$9:$B$10)/税费参数!$B$11</f>
        <v>155.625</v>
      </c>
    </row>
    <row r="1549" ht="21" customHeight="1" spans="1:13">
      <c r="A1549" s="5" t="s">
        <v>16</v>
      </c>
      <c r="B1549" s="6" t="s">
        <v>112</v>
      </c>
      <c r="C1549" s="6" t="s">
        <v>152</v>
      </c>
      <c r="D1549" s="6" t="s">
        <v>155</v>
      </c>
      <c r="E1549" s="6" t="s">
        <v>1231</v>
      </c>
      <c r="F1549" s="6" t="s">
        <v>1974</v>
      </c>
      <c r="G1549" s="6">
        <v>58.93</v>
      </c>
      <c r="H1549" s="6">
        <v>59</v>
      </c>
      <c r="I1549" s="6">
        <v>83</v>
      </c>
      <c r="J1549" s="6">
        <v>2800</v>
      </c>
      <c r="K1549" s="7">
        <f>(J1549-M1549)*税费参数!$B$12/(I1549*10000*(1+SUM(税费参数!$B$6:$B$8)))</f>
        <v>0.0308570845123837</v>
      </c>
      <c r="L1549" s="7">
        <f>J1549*税费参数!$B$12/(I1549*10000)</f>
        <v>0.0337349397590361</v>
      </c>
      <c r="M1549" s="6">
        <f>I1549*10000*SUM(税费参数!$B$9:$B$10)/税费参数!$B$11</f>
        <v>155.625</v>
      </c>
    </row>
    <row r="1550" ht="21" customHeight="1" spans="1:13">
      <c r="A1550" s="5" t="s">
        <v>16</v>
      </c>
      <c r="B1550" s="6" t="s">
        <v>112</v>
      </c>
      <c r="C1550" s="6" t="s">
        <v>152</v>
      </c>
      <c r="D1550" s="6" t="s">
        <v>155</v>
      </c>
      <c r="E1550" s="6" t="s">
        <v>1229</v>
      </c>
      <c r="F1550" s="6" t="s">
        <v>1970</v>
      </c>
      <c r="G1550" s="6">
        <v>57.87</v>
      </c>
      <c r="H1550" s="6">
        <v>57.87</v>
      </c>
      <c r="I1550" s="6">
        <v>87.9</v>
      </c>
      <c r="J1550" s="6">
        <v>2700</v>
      </c>
      <c r="K1550" s="7">
        <f>(J1550-M1550)*税费参数!$B$12/(I1550*10000*(1+SUM(税费参数!$B$6:$B$8)))</f>
        <v>0.0279338726871555</v>
      </c>
      <c r="L1550" s="7">
        <f>J1550*税费参数!$B$12/(I1550*10000)</f>
        <v>0.0307167235494881</v>
      </c>
      <c r="M1550" s="6">
        <f>I1550*10000*SUM(税费参数!$B$9:$B$10)/税费参数!$B$11</f>
        <v>164.8125</v>
      </c>
    </row>
    <row r="1551" ht="21" customHeight="1" spans="1:13">
      <c r="A1551" s="5" t="s">
        <v>16</v>
      </c>
      <c r="B1551" s="6" t="s">
        <v>112</v>
      </c>
      <c r="C1551" s="6" t="s">
        <v>152</v>
      </c>
      <c r="D1551" s="6" t="s">
        <v>155</v>
      </c>
      <c r="E1551" s="6" t="s">
        <v>1229</v>
      </c>
      <c r="F1551" s="6" t="s">
        <v>1971</v>
      </c>
      <c r="G1551" s="6">
        <v>57.87</v>
      </c>
      <c r="H1551" s="6">
        <v>57.87</v>
      </c>
      <c r="I1551" s="6">
        <v>87.9</v>
      </c>
      <c r="J1551" s="6">
        <v>2500</v>
      </c>
      <c r="K1551" s="7">
        <f>(J1551-M1551)*税费参数!$B$12/(I1551*10000*(1+SUM(税费参数!$B$6:$B$8)))</f>
        <v>0.0257301798488818</v>
      </c>
      <c r="L1551" s="7">
        <f>J1551*税费参数!$B$12/(I1551*10000)</f>
        <v>0.0284414106939704</v>
      </c>
      <c r="M1551" s="6">
        <f>I1551*10000*SUM(税费参数!$B$9:$B$10)/税费参数!$B$11</f>
        <v>164.8125</v>
      </c>
    </row>
    <row r="1552" ht="21" customHeight="1" spans="1:13">
      <c r="A1552" s="5" t="s">
        <v>16</v>
      </c>
      <c r="B1552" s="6" t="s">
        <v>112</v>
      </c>
      <c r="C1552" s="6" t="s">
        <v>152</v>
      </c>
      <c r="D1552" s="6" t="s">
        <v>155</v>
      </c>
      <c r="E1552" s="6" t="s">
        <v>1229</v>
      </c>
      <c r="F1552" s="6" t="s">
        <v>1972</v>
      </c>
      <c r="G1552" s="6">
        <v>57.87</v>
      </c>
      <c r="H1552" s="6">
        <v>54.56</v>
      </c>
      <c r="I1552" s="6">
        <v>87.9</v>
      </c>
      <c r="J1552" s="6">
        <v>3800</v>
      </c>
      <c r="K1552" s="7">
        <f>(J1552-M1552)*税费参数!$B$12/(I1552*10000*(1+SUM(税费参数!$B$6:$B$8)))</f>
        <v>0.0400541832976611</v>
      </c>
      <c r="L1552" s="7">
        <f>J1552*税费参数!$B$12/(I1552*10000)</f>
        <v>0.043230944254835</v>
      </c>
      <c r="M1552" s="6">
        <f>I1552*10000*SUM(税费参数!$B$9:$B$10)/税费参数!$B$11</f>
        <v>164.8125</v>
      </c>
    </row>
    <row r="1553" ht="21" customHeight="1" spans="1:13">
      <c r="A1553" s="5" t="s">
        <v>16</v>
      </c>
      <c r="B1553" s="6" t="s">
        <v>112</v>
      </c>
      <c r="C1553" s="6" t="s">
        <v>152</v>
      </c>
      <c r="D1553" s="6" t="s">
        <v>155</v>
      </c>
      <c r="E1553" s="6" t="s">
        <v>1229</v>
      </c>
      <c r="F1553" s="6" t="s">
        <v>1973</v>
      </c>
      <c r="G1553" s="6">
        <v>57.87</v>
      </c>
      <c r="H1553" s="6">
        <v>59.04</v>
      </c>
      <c r="I1553" s="6">
        <v>87.9</v>
      </c>
      <c r="J1553" s="6">
        <v>3200</v>
      </c>
      <c r="K1553" s="7">
        <f>(J1553-M1553)*税费参数!$B$12/(I1553*10000*(1+SUM(税费参数!$B$6:$B$8)))</f>
        <v>0.0334431047828398</v>
      </c>
      <c r="L1553" s="7">
        <f>J1553*税费参数!$B$12/(I1553*10000)</f>
        <v>0.0364050056882821</v>
      </c>
      <c r="M1553" s="6">
        <f>I1553*10000*SUM(税费参数!$B$9:$B$10)/税费参数!$B$11</f>
        <v>164.8125</v>
      </c>
    </row>
    <row r="1554" ht="21" customHeight="1" spans="1:13">
      <c r="A1554" s="5" t="s">
        <v>16</v>
      </c>
      <c r="B1554" s="6" t="s">
        <v>112</v>
      </c>
      <c r="C1554" s="6" t="s">
        <v>152</v>
      </c>
      <c r="D1554" s="6" t="s">
        <v>155</v>
      </c>
      <c r="E1554" s="6" t="s">
        <v>1229</v>
      </c>
      <c r="F1554" s="6" t="s">
        <v>1974</v>
      </c>
      <c r="G1554" s="6">
        <v>57.87</v>
      </c>
      <c r="H1554" s="6">
        <v>59</v>
      </c>
      <c r="I1554" s="6">
        <v>87.9</v>
      </c>
      <c r="J1554" s="6">
        <v>2800</v>
      </c>
      <c r="K1554" s="7">
        <f>(J1554-M1554)*税费参数!$B$12/(I1554*10000*(1+SUM(税费参数!$B$6:$B$8)))</f>
        <v>0.0290357191062924</v>
      </c>
      <c r="L1554" s="7">
        <f>J1554*税费参数!$B$12/(I1554*10000)</f>
        <v>0.0318543799772469</v>
      </c>
      <c r="M1554" s="6">
        <f>I1554*10000*SUM(税费参数!$B$9:$B$10)/税费参数!$B$11</f>
        <v>164.8125</v>
      </c>
    </row>
    <row r="1555" ht="21" customHeight="1" spans="1:13">
      <c r="A1555" s="5" t="s">
        <v>16</v>
      </c>
      <c r="B1555" s="6" t="s">
        <v>112</v>
      </c>
      <c r="C1555" s="6" t="s">
        <v>152</v>
      </c>
      <c r="D1555" s="6" t="s">
        <v>155</v>
      </c>
      <c r="E1555" s="6" t="s">
        <v>1233</v>
      </c>
      <c r="F1555" s="6" t="s">
        <v>1970</v>
      </c>
      <c r="G1555" s="6">
        <v>56.49</v>
      </c>
      <c r="H1555" s="6">
        <v>57.87</v>
      </c>
      <c r="I1555" s="6">
        <v>88</v>
      </c>
      <c r="J1555" s="6">
        <v>2700</v>
      </c>
      <c r="K1555" s="7">
        <f>(J1555-M1555)*税费参数!$B$12/(I1555*10000*(1+SUM(税费参数!$B$6:$B$8)))</f>
        <v>0.0279000660356593</v>
      </c>
      <c r="L1555" s="7">
        <f>J1555*税费参数!$B$12/(I1555*10000)</f>
        <v>0.0306818181818182</v>
      </c>
      <c r="M1555" s="6">
        <f>I1555*10000*SUM(税费参数!$B$9:$B$10)/税费参数!$B$11</f>
        <v>165</v>
      </c>
    </row>
    <row r="1556" ht="21" customHeight="1" spans="1:13">
      <c r="A1556" s="5" t="s">
        <v>16</v>
      </c>
      <c r="B1556" s="6" t="s">
        <v>112</v>
      </c>
      <c r="C1556" s="6" t="s">
        <v>152</v>
      </c>
      <c r="D1556" s="6" t="s">
        <v>155</v>
      </c>
      <c r="E1556" s="6" t="s">
        <v>1233</v>
      </c>
      <c r="F1556" s="6" t="s">
        <v>1971</v>
      </c>
      <c r="G1556" s="6">
        <v>56.49</v>
      </c>
      <c r="H1556" s="6">
        <v>57.87</v>
      </c>
      <c r="I1556" s="6">
        <v>88</v>
      </c>
      <c r="J1556" s="6">
        <v>2500</v>
      </c>
      <c r="K1556" s="7">
        <f>(J1556-M1556)*税费参数!$B$12/(I1556*10000*(1+SUM(税费参数!$B$6:$B$8)))</f>
        <v>0.0256988773937926</v>
      </c>
      <c r="L1556" s="7">
        <f>J1556*税费参数!$B$12/(I1556*10000)</f>
        <v>0.0284090909090909</v>
      </c>
      <c r="M1556" s="6">
        <f>I1556*10000*SUM(税费参数!$B$9:$B$10)/税费参数!$B$11</f>
        <v>165</v>
      </c>
    </row>
    <row r="1557" ht="21" customHeight="1" spans="1:13">
      <c r="A1557" s="5" t="s">
        <v>16</v>
      </c>
      <c r="B1557" s="6" t="s">
        <v>112</v>
      </c>
      <c r="C1557" s="6" t="s">
        <v>152</v>
      </c>
      <c r="D1557" s="6" t="s">
        <v>155</v>
      </c>
      <c r="E1557" s="6" t="s">
        <v>1233</v>
      </c>
      <c r="F1557" s="6" t="s">
        <v>1972</v>
      </c>
      <c r="G1557" s="6">
        <v>56.49</v>
      </c>
      <c r="H1557" s="6">
        <v>54.56</v>
      </c>
      <c r="I1557" s="6">
        <v>88</v>
      </c>
      <c r="J1557" s="6">
        <v>3800</v>
      </c>
      <c r="K1557" s="7">
        <f>(J1557-M1557)*税费参数!$B$12/(I1557*10000*(1+SUM(税费参数!$B$6:$B$8)))</f>
        <v>0.0400066035659256</v>
      </c>
      <c r="L1557" s="7">
        <f>J1557*税费参数!$B$12/(I1557*10000)</f>
        <v>0.0431818181818182</v>
      </c>
      <c r="M1557" s="6">
        <f>I1557*10000*SUM(税费参数!$B$9:$B$10)/税费参数!$B$11</f>
        <v>165</v>
      </c>
    </row>
    <row r="1558" ht="21" customHeight="1" spans="1:13">
      <c r="A1558" s="5" t="s">
        <v>16</v>
      </c>
      <c r="B1558" s="6" t="s">
        <v>112</v>
      </c>
      <c r="C1558" s="6" t="s">
        <v>152</v>
      </c>
      <c r="D1558" s="6" t="s">
        <v>155</v>
      </c>
      <c r="E1558" s="6" t="s">
        <v>1233</v>
      </c>
      <c r="F1558" s="6" t="s">
        <v>1973</v>
      </c>
      <c r="G1558" s="6">
        <v>56.49</v>
      </c>
      <c r="H1558" s="6">
        <v>59.04</v>
      </c>
      <c r="I1558" s="6">
        <v>88</v>
      </c>
      <c r="J1558" s="6">
        <v>3200</v>
      </c>
      <c r="K1558" s="7">
        <f>(J1558-M1558)*税费参数!$B$12/(I1558*10000*(1+SUM(税费参数!$B$6:$B$8)))</f>
        <v>0.0334030376403258</v>
      </c>
      <c r="L1558" s="7">
        <f>J1558*税费参数!$B$12/(I1558*10000)</f>
        <v>0.0363636363636364</v>
      </c>
      <c r="M1558" s="6">
        <f>I1558*10000*SUM(税费参数!$B$9:$B$10)/税费参数!$B$11</f>
        <v>165</v>
      </c>
    </row>
    <row r="1559" ht="21" customHeight="1" spans="1:13">
      <c r="A1559" s="5" t="s">
        <v>16</v>
      </c>
      <c r="B1559" s="6" t="s">
        <v>112</v>
      </c>
      <c r="C1559" s="6" t="s">
        <v>152</v>
      </c>
      <c r="D1559" s="6" t="s">
        <v>155</v>
      </c>
      <c r="E1559" s="6" t="s">
        <v>1233</v>
      </c>
      <c r="F1559" s="6" t="s">
        <v>1974</v>
      </c>
      <c r="G1559" s="6">
        <v>56.49</v>
      </c>
      <c r="H1559" s="6">
        <v>59</v>
      </c>
      <c r="I1559" s="6">
        <v>88</v>
      </c>
      <c r="J1559" s="6">
        <v>2800</v>
      </c>
      <c r="K1559" s="7">
        <f>(J1559-M1559)*税费参数!$B$12/(I1559*10000*(1+SUM(税费参数!$B$6:$B$8)))</f>
        <v>0.0290006603565926</v>
      </c>
      <c r="L1559" s="7">
        <f>J1559*税费参数!$B$12/(I1559*10000)</f>
        <v>0.0318181818181818</v>
      </c>
      <c r="M1559" s="6">
        <f>I1559*10000*SUM(税费参数!$B$9:$B$10)/税费参数!$B$11</f>
        <v>165</v>
      </c>
    </row>
    <row r="1560" ht="21" customHeight="1" spans="1:13">
      <c r="A1560" s="5" t="s">
        <v>16</v>
      </c>
      <c r="B1560" s="6" t="s">
        <v>112</v>
      </c>
      <c r="C1560" s="6" t="s">
        <v>152</v>
      </c>
      <c r="D1560" s="6" t="s">
        <v>155</v>
      </c>
      <c r="E1560" s="6" t="s">
        <v>1227</v>
      </c>
      <c r="F1560" s="6" t="s">
        <v>1970</v>
      </c>
      <c r="G1560" s="6">
        <v>58.97</v>
      </c>
      <c r="H1560" s="6">
        <v>57.87</v>
      </c>
      <c r="I1560" s="6">
        <v>120</v>
      </c>
      <c r="J1560" s="6">
        <v>2700</v>
      </c>
      <c r="K1560" s="7">
        <f>(J1560-M1560)*税费参数!$B$12/(I1560*10000*(1+SUM(税费参数!$B$6:$B$8)))</f>
        <v>0.0199757869249395</v>
      </c>
      <c r="L1560" s="7">
        <f>J1560*税费参数!$B$12/(I1560*10000)</f>
        <v>0.0225</v>
      </c>
      <c r="M1560" s="6">
        <f>I1560*10000*SUM(税费参数!$B$9:$B$10)/税费参数!$B$11</f>
        <v>225</v>
      </c>
    </row>
    <row r="1561" ht="21" customHeight="1" spans="1:13">
      <c r="A1561" s="5" t="s">
        <v>16</v>
      </c>
      <c r="B1561" s="6" t="s">
        <v>112</v>
      </c>
      <c r="C1561" s="6" t="s">
        <v>152</v>
      </c>
      <c r="D1561" s="6" t="s">
        <v>155</v>
      </c>
      <c r="E1561" s="6" t="s">
        <v>1227</v>
      </c>
      <c r="F1561" s="6" t="s">
        <v>1971</v>
      </c>
      <c r="G1561" s="6">
        <v>58.97</v>
      </c>
      <c r="H1561" s="6">
        <v>57.87</v>
      </c>
      <c r="I1561" s="6">
        <v>120</v>
      </c>
      <c r="J1561" s="6">
        <v>2500</v>
      </c>
      <c r="K1561" s="7">
        <f>(J1561-M1561)*税费参数!$B$12/(I1561*10000*(1+SUM(税费参数!$B$6:$B$8)))</f>
        <v>0.018361581920904</v>
      </c>
      <c r="L1561" s="7">
        <f>J1561*税费参数!$B$12/(I1561*10000)</f>
        <v>0.0208333333333333</v>
      </c>
      <c r="M1561" s="6">
        <f>I1561*10000*SUM(税费参数!$B$9:$B$10)/税费参数!$B$11</f>
        <v>225</v>
      </c>
    </row>
    <row r="1562" ht="21" customHeight="1" spans="1:13">
      <c r="A1562" s="5" t="s">
        <v>16</v>
      </c>
      <c r="B1562" s="6" t="s">
        <v>112</v>
      </c>
      <c r="C1562" s="6" t="s">
        <v>152</v>
      </c>
      <c r="D1562" s="6" t="s">
        <v>155</v>
      </c>
      <c r="E1562" s="6" t="s">
        <v>1227</v>
      </c>
      <c r="F1562" s="6" t="s">
        <v>1972</v>
      </c>
      <c r="G1562" s="6">
        <v>58.97</v>
      </c>
      <c r="H1562" s="6">
        <v>54.56</v>
      </c>
      <c r="I1562" s="6">
        <v>120</v>
      </c>
      <c r="J1562" s="6">
        <v>3800</v>
      </c>
      <c r="K1562" s="7">
        <f>(J1562-M1562)*税费参数!$B$12/(I1562*10000*(1+SUM(税费参数!$B$6:$B$8)))</f>
        <v>0.0288539144471348</v>
      </c>
      <c r="L1562" s="7">
        <f>J1562*税费参数!$B$12/(I1562*10000)</f>
        <v>0.0316666666666667</v>
      </c>
      <c r="M1562" s="6">
        <f>I1562*10000*SUM(税费参数!$B$9:$B$10)/税费参数!$B$11</f>
        <v>225</v>
      </c>
    </row>
    <row r="1563" ht="21" customHeight="1" spans="1:13">
      <c r="A1563" s="5" t="s">
        <v>16</v>
      </c>
      <c r="B1563" s="6" t="s">
        <v>112</v>
      </c>
      <c r="C1563" s="6" t="s">
        <v>152</v>
      </c>
      <c r="D1563" s="6" t="s">
        <v>155</v>
      </c>
      <c r="E1563" s="6" t="s">
        <v>1227</v>
      </c>
      <c r="F1563" s="6" t="s">
        <v>1973</v>
      </c>
      <c r="G1563" s="6">
        <v>58.97</v>
      </c>
      <c r="H1563" s="6">
        <v>59.04</v>
      </c>
      <c r="I1563" s="6">
        <v>120</v>
      </c>
      <c r="J1563" s="6">
        <v>3200</v>
      </c>
      <c r="K1563" s="7">
        <f>(J1563-M1563)*税费参数!$B$12/(I1563*10000*(1+SUM(税费参数!$B$6:$B$8)))</f>
        <v>0.0240112994350282</v>
      </c>
      <c r="L1563" s="7">
        <f>J1563*税费参数!$B$12/(I1563*10000)</f>
        <v>0.0266666666666667</v>
      </c>
      <c r="M1563" s="6">
        <f>I1563*10000*SUM(税费参数!$B$9:$B$10)/税费参数!$B$11</f>
        <v>225</v>
      </c>
    </row>
    <row r="1564" ht="21" customHeight="1" spans="1:13">
      <c r="A1564" s="5" t="s">
        <v>16</v>
      </c>
      <c r="B1564" s="6" t="s">
        <v>112</v>
      </c>
      <c r="C1564" s="6" t="s">
        <v>152</v>
      </c>
      <c r="D1564" s="6" t="s">
        <v>155</v>
      </c>
      <c r="E1564" s="6" t="s">
        <v>1227</v>
      </c>
      <c r="F1564" s="6" t="s">
        <v>1974</v>
      </c>
      <c r="G1564" s="6">
        <v>58.97</v>
      </c>
      <c r="H1564" s="6">
        <v>59</v>
      </c>
      <c r="I1564" s="6">
        <v>120</v>
      </c>
      <c r="J1564" s="6">
        <v>2800</v>
      </c>
      <c r="K1564" s="7">
        <f>(J1564-M1564)*税费参数!$B$12/(I1564*10000*(1+SUM(税费参数!$B$6:$B$8)))</f>
        <v>0.0207828894269572</v>
      </c>
      <c r="L1564" s="7">
        <f>J1564*税费参数!$B$12/(I1564*10000)</f>
        <v>0.0233333333333333</v>
      </c>
      <c r="M1564" s="6">
        <f>I1564*10000*SUM(税费参数!$B$9:$B$10)/税费参数!$B$11</f>
        <v>225</v>
      </c>
    </row>
    <row r="1565" ht="21" customHeight="1" spans="1:13">
      <c r="A1565" s="5" t="s">
        <v>16</v>
      </c>
      <c r="B1565" s="6" t="s">
        <v>126</v>
      </c>
      <c r="C1565" s="6" t="s">
        <v>159</v>
      </c>
      <c r="D1565" s="6" t="s">
        <v>160</v>
      </c>
      <c r="E1565" s="6" t="s">
        <v>1251</v>
      </c>
      <c r="F1565" s="6" t="s">
        <v>1975</v>
      </c>
      <c r="G1565" s="6">
        <v>39.62</v>
      </c>
      <c r="H1565" s="6">
        <v>38.56</v>
      </c>
      <c r="I1565" s="6">
        <v>110</v>
      </c>
      <c r="J1565" s="6">
        <v>1500</v>
      </c>
      <c r="K1565" s="7">
        <f>(J1565-M1565)*税费参数!$B$12/(I1565*10000*(1+SUM(税费参数!$B$6:$B$8)))</f>
        <v>0.0113911512216597</v>
      </c>
      <c r="L1565" s="7">
        <f>J1565*税费参数!$B$12/(I1565*10000)</f>
        <v>0.0136363636363636</v>
      </c>
      <c r="M1565" s="6">
        <f>I1565*10000*SUM(税费参数!$B$9:$B$10)/税费参数!$B$11</f>
        <v>206.25</v>
      </c>
    </row>
    <row r="1566" ht="21" customHeight="1" spans="1:13">
      <c r="A1566" s="5" t="s">
        <v>16</v>
      </c>
      <c r="B1566" s="6" t="s">
        <v>126</v>
      </c>
      <c r="C1566" s="6" t="s">
        <v>152</v>
      </c>
      <c r="D1566" s="6" t="s">
        <v>160</v>
      </c>
      <c r="E1566" s="6" t="s">
        <v>1235</v>
      </c>
      <c r="F1566" s="6" t="s">
        <v>1976</v>
      </c>
      <c r="G1566" s="6">
        <v>52.59</v>
      </c>
      <c r="H1566" s="6">
        <v>52.59</v>
      </c>
      <c r="I1566" s="6">
        <v>118</v>
      </c>
      <c r="J1566" s="6">
        <v>1500</v>
      </c>
      <c r="K1566" s="7">
        <f>(J1566-M1566)*税费参数!$B$12/(I1566*10000*(1+SUM(税费参数!$B$6:$B$8)))</f>
        <v>0.0104957524520868</v>
      </c>
      <c r="L1566" s="7">
        <f>J1566*税费参数!$B$12/(I1566*10000)</f>
        <v>0.0127118644067797</v>
      </c>
      <c r="M1566" s="6">
        <f>I1566*10000*SUM(税费参数!$B$9:$B$10)/税费参数!$B$11</f>
        <v>221.25</v>
      </c>
    </row>
    <row r="1567" ht="21" customHeight="1" spans="1:13">
      <c r="A1567" s="5" t="s">
        <v>16</v>
      </c>
      <c r="B1567" s="6" t="s">
        <v>126</v>
      </c>
      <c r="C1567" s="6" t="s">
        <v>152</v>
      </c>
      <c r="D1567" s="6" t="s">
        <v>160</v>
      </c>
      <c r="E1567" s="6" t="s">
        <v>1243</v>
      </c>
      <c r="F1567" s="6" t="s">
        <v>1976</v>
      </c>
      <c r="G1567" s="6">
        <v>52.89</v>
      </c>
      <c r="H1567" s="6">
        <v>52.59</v>
      </c>
      <c r="I1567" s="6">
        <v>109</v>
      </c>
      <c r="J1567" s="6">
        <v>1500</v>
      </c>
      <c r="K1567" s="7">
        <f>(J1567-M1567)*税费参数!$B$12/(I1567*10000*(1+SUM(税费参数!$B$6:$B$8)))</f>
        <v>0.0115123175689184</v>
      </c>
      <c r="L1567" s="7">
        <f>J1567*税费参数!$B$12/(I1567*10000)</f>
        <v>0.0137614678899083</v>
      </c>
      <c r="M1567" s="6">
        <f>I1567*10000*SUM(税费参数!$B$9:$B$10)/税费参数!$B$11</f>
        <v>204.375</v>
      </c>
    </row>
    <row r="1568" ht="21" customHeight="1" spans="1:13">
      <c r="A1568" s="5" t="s">
        <v>16</v>
      </c>
      <c r="B1568" s="6" t="s">
        <v>126</v>
      </c>
      <c r="C1568" s="6" t="s">
        <v>152</v>
      </c>
      <c r="D1568" s="6" t="s">
        <v>160</v>
      </c>
      <c r="E1568" s="6" t="s">
        <v>1239</v>
      </c>
      <c r="F1568" s="6" t="s">
        <v>1976</v>
      </c>
      <c r="G1568" s="6">
        <v>46.15</v>
      </c>
      <c r="H1568" s="6">
        <v>52.59</v>
      </c>
      <c r="I1568" s="6">
        <v>113</v>
      </c>
      <c r="J1568" s="6">
        <v>1500</v>
      </c>
      <c r="K1568" s="7">
        <f>(J1568-M1568)*税费参数!$B$12/(I1568*10000*(1+SUM(税费参数!$B$6:$B$8)))</f>
        <v>0.0110405194026013</v>
      </c>
      <c r="L1568" s="7">
        <f>J1568*税费参数!$B$12/(I1568*10000)</f>
        <v>0.0132743362831858</v>
      </c>
      <c r="M1568" s="6">
        <f>I1568*10000*SUM(税费参数!$B$9:$B$10)/税费参数!$B$11</f>
        <v>211.875</v>
      </c>
    </row>
    <row r="1569" ht="21" customHeight="1" spans="1:13">
      <c r="A1569" s="5" t="s">
        <v>16</v>
      </c>
      <c r="B1569" s="6" t="s">
        <v>126</v>
      </c>
      <c r="C1569" s="6" t="s">
        <v>152</v>
      </c>
      <c r="D1569" s="6" t="s">
        <v>160</v>
      </c>
      <c r="E1569" s="6" t="s">
        <v>1237</v>
      </c>
      <c r="F1569" s="6" t="s">
        <v>1976</v>
      </c>
      <c r="G1569" s="6">
        <v>47.35</v>
      </c>
      <c r="H1569" s="6">
        <v>52.59</v>
      </c>
      <c r="I1569" s="6">
        <v>117</v>
      </c>
      <c r="J1569" s="6">
        <v>1500</v>
      </c>
      <c r="K1569" s="7">
        <f>(J1569-M1569)*税费参数!$B$12/(I1569*10000*(1+SUM(税费参数!$B$6:$B$8)))</f>
        <v>0.010600980939964</v>
      </c>
      <c r="L1569" s="7">
        <f>J1569*税费参数!$B$12/(I1569*10000)</f>
        <v>0.0128205128205128</v>
      </c>
      <c r="M1569" s="6">
        <f>I1569*10000*SUM(税费参数!$B$9:$B$10)/税费参数!$B$11</f>
        <v>219.375</v>
      </c>
    </row>
    <row r="1570" ht="21" customHeight="1" spans="1:13">
      <c r="A1570" s="5" t="s">
        <v>16</v>
      </c>
      <c r="B1570" s="6" t="s">
        <v>126</v>
      </c>
      <c r="C1570" s="6" t="s">
        <v>152</v>
      </c>
      <c r="D1570" s="6" t="s">
        <v>160</v>
      </c>
      <c r="E1570" s="6" t="s">
        <v>1241</v>
      </c>
      <c r="F1570" s="6" t="s">
        <v>1976</v>
      </c>
      <c r="G1570" s="6">
        <v>46.15</v>
      </c>
      <c r="H1570" s="6">
        <v>52.59</v>
      </c>
      <c r="I1570" s="6">
        <v>108</v>
      </c>
      <c r="J1570" s="6">
        <v>1500</v>
      </c>
      <c r="K1570" s="7">
        <f>(J1570-M1570)*税费参数!$B$12/(I1570*10000*(1+SUM(税费参数!$B$6:$B$8)))</f>
        <v>0.0116357277374227</v>
      </c>
      <c r="L1570" s="7">
        <f>J1570*税费参数!$B$12/(I1570*10000)</f>
        <v>0.0138888888888889</v>
      </c>
      <c r="M1570" s="6">
        <f>I1570*10000*SUM(税费参数!$B$9:$B$10)/税费参数!$B$11</f>
        <v>202.5</v>
      </c>
    </row>
    <row r="1571" ht="21" customHeight="1" spans="1:13">
      <c r="A1571" s="5" t="s">
        <v>16</v>
      </c>
      <c r="B1571" s="6" t="s">
        <v>126</v>
      </c>
      <c r="C1571" s="6" t="s">
        <v>152</v>
      </c>
      <c r="D1571" s="6" t="s">
        <v>153</v>
      </c>
      <c r="E1571" s="6" t="s">
        <v>1247</v>
      </c>
      <c r="F1571" s="6" t="s">
        <v>1977</v>
      </c>
      <c r="G1571" s="6">
        <v>50.91</v>
      </c>
      <c r="H1571" s="6">
        <v>44.04</v>
      </c>
      <c r="I1571" s="6">
        <v>110</v>
      </c>
      <c r="J1571" s="6">
        <v>1930</v>
      </c>
      <c r="K1571" s="7">
        <f>(J1571-M1571)*税费参数!$B$12/(I1571*10000*(1+SUM(税费参数!$B$6:$B$8)))</f>
        <v>0.0151771956856703</v>
      </c>
      <c r="L1571" s="7">
        <f>J1571*税费参数!$B$12/(I1571*10000)</f>
        <v>0.0175454545454545</v>
      </c>
      <c r="M1571" s="6">
        <f>I1571*10000*SUM(税费参数!$B$9:$B$10)/税费参数!$B$11</f>
        <v>206.25</v>
      </c>
    </row>
    <row r="1572" ht="21" customHeight="1" spans="1:13">
      <c r="A1572" s="5" t="s">
        <v>16</v>
      </c>
      <c r="B1572" s="6" t="s">
        <v>126</v>
      </c>
      <c r="C1572" s="6" t="s">
        <v>152</v>
      </c>
      <c r="D1572" s="6" t="s">
        <v>153</v>
      </c>
      <c r="E1572" s="6" t="s">
        <v>1249</v>
      </c>
      <c r="F1572" s="6" t="s">
        <v>1977</v>
      </c>
      <c r="G1572" s="6">
        <v>46.15</v>
      </c>
      <c r="H1572" s="6">
        <v>44.04</v>
      </c>
      <c r="I1572" s="6">
        <v>100</v>
      </c>
      <c r="J1572" s="6">
        <v>1930</v>
      </c>
      <c r="K1572" s="7">
        <f>(J1572-M1572)*税费参数!$B$12/(I1572*10000*(1+SUM(税费参数!$B$6:$B$8)))</f>
        <v>0.0168765133171913</v>
      </c>
      <c r="L1572" s="7">
        <f>J1572*税费参数!$B$12/(I1572*10000)</f>
        <v>0.0193</v>
      </c>
      <c r="M1572" s="6">
        <f>I1572*10000*SUM(税费参数!$B$9:$B$10)/税费参数!$B$11</f>
        <v>187.5</v>
      </c>
    </row>
    <row r="1573" ht="21" customHeight="1" spans="1:13">
      <c r="A1573" s="5" t="s">
        <v>16</v>
      </c>
      <c r="B1573" s="6" t="s">
        <v>126</v>
      </c>
      <c r="C1573" s="6" t="s">
        <v>152</v>
      </c>
      <c r="D1573" s="6" t="s">
        <v>153</v>
      </c>
      <c r="E1573" s="6" t="s">
        <v>1245</v>
      </c>
      <c r="F1573" s="6" t="s">
        <v>1977</v>
      </c>
      <c r="G1573" s="6">
        <v>47.35</v>
      </c>
      <c r="H1573" s="6">
        <v>44.04</v>
      </c>
      <c r="I1573" s="6">
        <v>119</v>
      </c>
      <c r="J1573" s="6">
        <v>1930</v>
      </c>
      <c r="K1573" s="7">
        <f>(J1573-M1573)*税费参数!$B$12/(I1573*10000*(1+SUM(税费参数!$B$6:$B$8)))</f>
        <v>0.0138919974769569</v>
      </c>
      <c r="L1573" s="7">
        <f>J1573*税费参数!$B$12/(I1573*10000)</f>
        <v>0.016218487394958</v>
      </c>
      <c r="M1573" s="6">
        <f>I1573*10000*SUM(税费参数!$B$9:$B$10)/税费参数!$B$11</f>
        <v>223.125</v>
      </c>
    </row>
    <row r="1574" ht="21" customHeight="1" spans="1:13">
      <c r="A1574" s="5" t="s">
        <v>16</v>
      </c>
      <c r="B1574" s="6" t="s">
        <v>116</v>
      </c>
      <c r="C1574" s="6" t="s">
        <v>152</v>
      </c>
      <c r="D1574" s="6" t="s">
        <v>153</v>
      </c>
      <c r="E1574" s="6" t="s">
        <v>1261</v>
      </c>
      <c r="F1574" s="6" t="s">
        <v>1978</v>
      </c>
      <c r="G1574" s="6">
        <v>51.36</v>
      </c>
      <c r="H1574" s="6">
        <v>47.23</v>
      </c>
      <c r="I1574" s="6">
        <v>98</v>
      </c>
      <c r="J1574" s="6">
        <v>2600</v>
      </c>
      <c r="K1574" s="7">
        <f>(J1574-M1574)*税费参数!$B$12/(I1574*10000*(1+SUM(税费参数!$B$6:$B$8)))</f>
        <v>0.0238795275979641</v>
      </c>
      <c r="L1574" s="7">
        <f>J1574*税费参数!$B$12/(I1574*10000)</f>
        <v>0.026530612244898</v>
      </c>
      <c r="M1574" s="6">
        <f>I1574*10000*SUM(税费参数!$B$9:$B$10)/税费参数!$B$11</f>
        <v>183.75</v>
      </c>
    </row>
    <row r="1575" ht="21" customHeight="1" spans="1:13">
      <c r="A1575" s="5" t="s">
        <v>16</v>
      </c>
      <c r="B1575" s="6" t="s">
        <v>116</v>
      </c>
      <c r="C1575" s="6" t="s">
        <v>152</v>
      </c>
      <c r="D1575" s="6" t="s">
        <v>153</v>
      </c>
      <c r="E1575" s="6" t="s">
        <v>1261</v>
      </c>
      <c r="F1575" s="6" t="s">
        <v>1979</v>
      </c>
      <c r="G1575" s="6">
        <v>51.36</v>
      </c>
      <c r="H1575" s="6">
        <v>53.4</v>
      </c>
      <c r="I1575" s="6">
        <v>98</v>
      </c>
      <c r="J1575" s="6">
        <v>2100</v>
      </c>
      <c r="K1575" s="7">
        <f>(J1575-M1575)*税费参数!$B$12/(I1575*10000*(1+SUM(税费参数!$B$6:$B$8)))</f>
        <v>0.0189380837080595</v>
      </c>
      <c r="L1575" s="7">
        <f>J1575*税费参数!$B$12/(I1575*10000)</f>
        <v>0.0214285714285714</v>
      </c>
      <c r="M1575" s="6">
        <f>I1575*10000*SUM(税费参数!$B$9:$B$10)/税费参数!$B$11</f>
        <v>183.75</v>
      </c>
    </row>
    <row r="1576" ht="21" customHeight="1" spans="1:13">
      <c r="A1576" s="5" t="s">
        <v>16</v>
      </c>
      <c r="B1576" s="6" t="s">
        <v>116</v>
      </c>
      <c r="C1576" s="6" t="s">
        <v>152</v>
      </c>
      <c r="D1576" s="6" t="s">
        <v>153</v>
      </c>
      <c r="E1576" s="6" t="s">
        <v>1261</v>
      </c>
      <c r="F1576" s="6" t="s">
        <v>1980</v>
      </c>
      <c r="G1576" s="6">
        <v>51.36</v>
      </c>
      <c r="H1576" s="6">
        <v>47.97</v>
      </c>
      <c r="I1576" s="6">
        <v>98</v>
      </c>
      <c r="J1576" s="6">
        <v>2300</v>
      </c>
      <c r="K1576" s="7">
        <f>(J1576-M1576)*税费参数!$B$12/(I1576*10000*(1+SUM(税费参数!$B$6:$B$8)))</f>
        <v>0.0209146612640213</v>
      </c>
      <c r="L1576" s="7">
        <f>J1576*税费参数!$B$12/(I1576*10000)</f>
        <v>0.023469387755102</v>
      </c>
      <c r="M1576" s="6">
        <f>I1576*10000*SUM(税费参数!$B$9:$B$10)/税费参数!$B$11</f>
        <v>183.75</v>
      </c>
    </row>
    <row r="1577" ht="21" customHeight="1" spans="1:13">
      <c r="A1577" s="5" t="s">
        <v>16</v>
      </c>
      <c r="B1577" s="6" t="s">
        <v>116</v>
      </c>
      <c r="C1577" s="6" t="s">
        <v>152</v>
      </c>
      <c r="D1577" s="6" t="s">
        <v>153</v>
      </c>
      <c r="E1577" s="6" t="s">
        <v>1263</v>
      </c>
      <c r="F1577" s="6" t="s">
        <v>1978</v>
      </c>
      <c r="G1577" s="6">
        <v>47.23</v>
      </c>
      <c r="H1577" s="6">
        <v>47.23</v>
      </c>
      <c r="I1577" s="6">
        <v>80</v>
      </c>
      <c r="J1577" s="6">
        <v>2600</v>
      </c>
      <c r="K1577" s="7">
        <f>(J1577-M1577)*税费参数!$B$12/(I1577*10000*(1+SUM(税费参数!$B$6:$B$8)))</f>
        <v>0.0296610169491525</v>
      </c>
      <c r="L1577" s="7">
        <f>J1577*税费参数!$B$12/(I1577*10000)</f>
        <v>0.0325</v>
      </c>
      <c r="M1577" s="6">
        <f>I1577*10000*SUM(税费参数!$B$9:$B$10)/税费参数!$B$11</f>
        <v>150</v>
      </c>
    </row>
    <row r="1578" ht="21" customHeight="1" spans="1:13">
      <c r="A1578" s="5" t="s">
        <v>16</v>
      </c>
      <c r="B1578" s="6" t="s">
        <v>116</v>
      </c>
      <c r="C1578" s="6" t="s">
        <v>152</v>
      </c>
      <c r="D1578" s="6" t="s">
        <v>153</v>
      </c>
      <c r="E1578" s="6" t="s">
        <v>1263</v>
      </c>
      <c r="F1578" s="6" t="s">
        <v>1979</v>
      </c>
      <c r="G1578" s="6">
        <v>47.23</v>
      </c>
      <c r="H1578" s="6">
        <v>53.4</v>
      </c>
      <c r="I1578" s="6">
        <v>80</v>
      </c>
      <c r="J1578" s="6">
        <v>2100</v>
      </c>
      <c r="K1578" s="7">
        <f>(J1578-M1578)*税费参数!$B$12/(I1578*10000*(1+SUM(税费参数!$B$6:$B$8)))</f>
        <v>0.0236077481840194</v>
      </c>
      <c r="L1578" s="7">
        <f>J1578*税费参数!$B$12/(I1578*10000)</f>
        <v>0.02625</v>
      </c>
      <c r="M1578" s="6">
        <f>I1578*10000*SUM(税费参数!$B$9:$B$10)/税费参数!$B$11</f>
        <v>150</v>
      </c>
    </row>
    <row r="1579" ht="21" customHeight="1" spans="1:13">
      <c r="A1579" s="5" t="s">
        <v>16</v>
      </c>
      <c r="B1579" s="6" t="s">
        <v>116</v>
      </c>
      <c r="C1579" s="6" t="s">
        <v>152</v>
      </c>
      <c r="D1579" s="6" t="s">
        <v>153</v>
      </c>
      <c r="E1579" s="6" t="s">
        <v>1263</v>
      </c>
      <c r="F1579" s="6" t="s">
        <v>1980</v>
      </c>
      <c r="G1579" s="6">
        <v>47.23</v>
      </c>
      <c r="H1579" s="6">
        <v>47.97</v>
      </c>
      <c r="I1579" s="6">
        <v>80</v>
      </c>
      <c r="J1579" s="6">
        <v>2300</v>
      </c>
      <c r="K1579" s="7">
        <f>(J1579-M1579)*税费参数!$B$12/(I1579*10000*(1+SUM(税费参数!$B$6:$B$8)))</f>
        <v>0.0260290556900726</v>
      </c>
      <c r="L1579" s="7">
        <f>J1579*税费参数!$B$12/(I1579*10000)</f>
        <v>0.02875</v>
      </c>
      <c r="M1579" s="6">
        <f>I1579*10000*SUM(税费参数!$B$9:$B$10)/税费参数!$B$11</f>
        <v>150</v>
      </c>
    </row>
    <row r="1580" ht="21" customHeight="1" spans="1:13">
      <c r="A1580" s="5" t="s">
        <v>16</v>
      </c>
      <c r="B1580" s="6" t="s">
        <v>116</v>
      </c>
      <c r="C1580" s="6" t="s">
        <v>152</v>
      </c>
      <c r="D1580" s="6" t="s">
        <v>153</v>
      </c>
      <c r="E1580" s="6" t="s">
        <v>1259</v>
      </c>
      <c r="F1580" s="6" t="s">
        <v>1978</v>
      </c>
      <c r="G1580" s="6">
        <v>49.97</v>
      </c>
      <c r="H1580" s="6">
        <v>47.23</v>
      </c>
      <c r="I1580" s="6">
        <v>100</v>
      </c>
      <c r="J1580" s="6">
        <v>2600</v>
      </c>
      <c r="K1580" s="7">
        <f>(J1580-M1580)*税费参数!$B$12/(I1580*10000*(1+SUM(税费参数!$B$6:$B$8)))</f>
        <v>0.023365617433414</v>
      </c>
      <c r="L1580" s="7">
        <f>J1580*税费参数!$B$12/(I1580*10000)</f>
        <v>0.026</v>
      </c>
      <c r="M1580" s="6">
        <f>I1580*10000*SUM(税费参数!$B$9:$B$10)/税费参数!$B$11</f>
        <v>187.5</v>
      </c>
    </row>
    <row r="1581" ht="21" customHeight="1" spans="1:13">
      <c r="A1581" s="5" t="s">
        <v>16</v>
      </c>
      <c r="B1581" s="6" t="s">
        <v>116</v>
      </c>
      <c r="C1581" s="6" t="s">
        <v>152</v>
      </c>
      <c r="D1581" s="6" t="s">
        <v>153</v>
      </c>
      <c r="E1581" s="6" t="s">
        <v>1259</v>
      </c>
      <c r="F1581" s="6" t="s">
        <v>1979</v>
      </c>
      <c r="G1581" s="6">
        <v>49.97</v>
      </c>
      <c r="H1581" s="6">
        <v>53.4</v>
      </c>
      <c r="I1581" s="6">
        <v>100</v>
      </c>
      <c r="J1581" s="6">
        <v>2100</v>
      </c>
      <c r="K1581" s="7">
        <f>(J1581-M1581)*税费参数!$B$12/(I1581*10000*(1+SUM(税费参数!$B$6:$B$8)))</f>
        <v>0.0185230024213075</v>
      </c>
      <c r="L1581" s="7">
        <f>J1581*税费参数!$B$12/(I1581*10000)</f>
        <v>0.021</v>
      </c>
      <c r="M1581" s="6">
        <f>I1581*10000*SUM(税费参数!$B$9:$B$10)/税费参数!$B$11</f>
        <v>187.5</v>
      </c>
    </row>
    <row r="1582" ht="21" customHeight="1" spans="1:13">
      <c r="A1582" s="5" t="s">
        <v>16</v>
      </c>
      <c r="B1582" s="6" t="s">
        <v>116</v>
      </c>
      <c r="C1582" s="6" t="s">
        <v>152</v>
      </c>
      <c r="D1582" s="6" t="s">
        <v>153</v>
      </c>
      <c r="E1582" s="6" t="s">
        <v>1259</v>
      </c>
      <c r="F1582" s="6" t="s">
        <v>1980</v>
      </c>
      <c r="G1582" s="6">
        <v>49.97</v>
      </c>
      <c r="H1582" s="6">
        <v>47.97</v>
      </c>
      <c r="I1582" s="6">
        <v>100</v>
      </c>
      <c r="J1582" s="6">
        <v>2300</v>
      </c>
      <c r="K1582" s="7">
        <f>(J1582-M1582)*税费参数!$B$12/(I1582*10000*(1+SUM(税费参数!$B$6:$B$8)))</f>
        <v>0.0204600484261501</v>
      </c>
      <c r="L1582" s="7">
        <f>J1582*税费参数!$B$12/(I1582*10000)</f>
        <v>0.023</v>
      </c>
      <c r="M1582" s="6">
        <f>I1582*10000*SUM(税费参数!$B$9:$B$10)/税费参数!$B$11</f>
        <v>187.5</v>
      </c>
    </row>
    <row r="1583" ht="21" customHeight="1" spans="1:13">
      <c r="A1583" s="5" t="s">
        <v>16</v>
      </c>
      <c r="B1583" s="6" t="s">
        <v>116</v>
      </c>
      <c r="C1583" s="6" t="s">
        <v>152</v>
      </c>
      <c r="D1583" s="6" t="s">
        <v>155</v>
      </c>
      <c r="E1583" s="6" t="s">
        <v>1265</v>
      </c>
      <c r="F1583" s="6" t="s">
        <v>1981</v>
      </c>
      <c r="G1583" s="6">
        <v>53.4</v>
      </c>
      <c r="H1583" s="6">
        <v>46.51</v>
      </c>
      <c r="I1583" s="6">
        <v>88</v>
      </c>
      <c r="J1583" s="6">
        <v>2300</v>
      </c>
      <c r="K1583" s="7">
        <f>(J1583-M1583)*税费参数!$B$12/(I1583*10000*(1+SUM(税费参数!$B$6:$B$8)))</f>
        <v>0.023497688751926</v>
      </c>
      <c r="L1583" s="7">
        <f>J1583*税费参数!$B$12/(I1583*10000)</f>
        <v>0.0261363636363636</v>
      </c>
      <c r="M1583" s="6">
        <f>I1583*10000*SUM(税费参数!$B$9:$B$10)/税费参数!$B$11</f>
        <v>165</v>
      </c>
    </row>
    <row r="1584" ht="21" customHeight="1" spans="1:13">
      <c r="A1584" s="5" t="s">
        <v>16</v>
      </c>
      <c r="B1584" s="6" t="s">
        <v>116</v>
      </c>
      <c r="C1584" s="6" t="s">
        <v>152</v>
      </c>
      <c r="D1584" s="6" t="s">
        <v>155</v>
      </c>
      <c r="E1584" s="6" t="s">
        <v>1265</v>
      </c>
      <c r="F1584" s="6" t="s">
        <v>1982</v>
      </c>
      <c r="G1584" s="6">
        <v>53.4</v>
      </c>
      <c r="H1584" s="6">
        <v>51.36</v>
      </c>
      <c r="I1584" s="6">
        <v>88</v>
      </c>
      <c r="J1584" s="6">
        <v>2250</v>
      </c>
      <c r="K1584" s="7">
        <f>(J1584-M1584)*税费参数!$B$12/(I1584*10000*(1+SUM(税费参数!$B$6:$B$8)))</f>
        <v>0.0229473915914594</v>
      </c>
      <c r="L1584" s="7">
        <f>J1584*税费参数!$B$12/(I1584*10000)</f>
        <v>0.0255681818181818</v>
      </c>
      <c r="M1584" s="6">
        <f>I1584*10000*SUM(税费参数!$B$9:$B$10)/税费参数!$B$11</f>
        <v>165</v>
      </c>
    </row>
    <row r="1585" ht="21" customHeight="1" spans="1:13">
      <c r="A1585" s="5" t="s">
        <v>16</v>
      </c>
      <c r="B1585" s="6" t="s">
        <v>116</v>
      </c>
      <c r="C1585" s="6" t="s">
        <v>152</v>
      </c>
      <c r="D1585" s="6" t="s">
        <v>155</v>
      </c>
      <c r="E1585" s="6" t="s">
        <v>1267</v>
      </c>
      <c r="F1585" s="6" t="s">
        <v>1981</v>
      </c>
      <c r="G1585" s="6">
        <v>51.36</v>
      </c>
      <c r="H1585" s="6">
        <v>46.51</v>
      </c>
      <c r="I1585" s="6">
        <v>92</v>
      </c>
      <c r="J1585" s="6">
        <v>2300</v>
      </c>
      <c r="K1585" s="7">
        <f>(J1585-M1585)*税费参数!$B$12/(I1585*10000*(1+SUM(税费参数!$B$6:$B$8)))</f>
        <v>0.0223970944309927</v>
      </c>
      <c r="L1585" s="7">
        <f>J1585*税费参数!$B$12/(I1585*10000)</f>
        <v>0.025</v>
      </c>
      <c r="M1585" s="6">
        <f>I1585*10000*SUM(税费参数!$B$9:$B$10)/税费参数!$B$11</f>
        <v>172.5</v>
      </c>
    </row>
    <row r="1586" ht="21" customHeight="1" spans="1:13">
      <c r="A1586" s="5" t="s">
        <v>16</v>
      </c>
      <c r="B1586" s="6" t="s">
        <v>116</v>
      </c>
      <c r="C1586" s="6" t="s">
        <v>152</v>
      </c>
      <c r="D1586" s="6" t="s">
        <v>155</v>
      </c>
      <c r="E1586" s="6" t="s">
        <v>1267</v>
      </c>
      <c r="F1586" s="6" t="s">
        <v>1982</v>
      </c>
      <c r="G1586" s="6">
        <v>51.36</v>
      </c>
      <c r="H1586" s="6">
        <v>51.36</v>
      </c>
      <c r="I1586" s="6">
        <v>92</v>
      </c>
      <c r="J1586" s="6">
        <v>2250</v>
      </c>
      <c r="K1586" s="7">
        <f>(J1586-M1586)*税费参数!$B$12/(I1586*10000*(1+SUM(税费参数!$B$6:$B$8)))</f>
        <v>0.0218707232340246</v>
      </c>
      <c r="L1586" s="7">
        <f>J1586*税费参数!$B$12/(I1586*10000)</f>
        <v>0.0244565217391304</v>
      </c>
      <c r="M1586" s="6">
        <f>I1586*10000*SUM(税费参数!$B$9:$B$10)/税费参数!$B$11</f>
        <v>172.5</v>
      </c>
    </row>
    <row r="1587" ht="21" customHeight="1" spans="1:13">
      <c r="A1587" s="5" t="s">
        <v>16</v>
      </c>
      <c r="B1587" s="6" t="s">
        <v>116</v>
      </c>
      <c r="C1587" s="6" t="s">
        <v>152</v>
      </c>
      <c r="D1587" s="6" t="s">
        <v>155</v>
      </c>
      <c r="E1587" s="6" t="s">
        <v>1273</v>
      </c>
      <c r="F1587" s="6" t="s">
        <v>1981</v>
      </c>
      <c r="G1587" s="6">
        <v>49.97</v>
      </c>
      <c r="H1587" s="6">
        <v>46.51</v>
      </c>
      <c r="I1587" s="6">
        <v>71</v>
      </c>
      <c r="J1587" s="6">
        <v>2300</v>
      </c>
      <c r="K1587" s="7">
        <f>(J1587-M1587)*税费参数!$B$12/(I1587*10000*(1+SUM(税费参数!$B$6:$B$8)))</f>
        <v>0.0295587081812911</v>
      </c>
      <c r="L1587" s="7">
        <f>J1587*税费参数!$B$12/(I1587*10000)</f>
        <v>0.0323943661971831</v>
      </c>
      <c r="M1587" s="6">
        <f>I1587*10000*SUM(税费参数!$B$9:$B$10)/税费参数!$B$11</f>
        <v>133.125</v>
      </c>
    </row>
    <row r="1588" ht="21" customHeight="1" spans="1:13">
      <c r="A1588" s="5" t="s">
        <v>16</v>
      </c>
      <c r="B1588" s="6" t="s">
        <v>116</v>
      </c>
      <c r="C1588" s="6" t="s">
        <v>152</v>
      </c>
      <c r="D1588" s="6" t="s">
        <v>155</v>
      </c>
      <c r="E1588" s="6" t="s">
        <v>1273</v>
      </c>
      <c r="F1588" s="6" t="s">
        <v>1982</v>
      </c>
      <c r="G1588" s="6">
        <v>49.97</v>
      </c>
      <c r="H1588" s="6">
        <v>51.36</v>
      </c>
      <c r="I1588" s="6">
        <v>71</v>
      </c>
      <c r="J1588" s="6">
        <v>2250</v>
      </c>
      <c r="K1588" s="7">
        <f>(J1588-M1588)*税费参数!$B$12/(I1588*10000*(1+SUM(税费参数!$B$6:$B$8)))</f>
        <v>0.0288766497288818</v>
      </c>
      <c r="L1588" s="7">
        <f>J1588*税费参数!$B$12/(I1588*10000)</f>
        <v>0.0316901408450704</v>
      </c>
      <c r="M1588" s="6">
        <f>I1588*10000*SUM(税费参数!$B$9:$B$10)/税费参数!$B$11</f>
        <v>133.125</v>
      </c>
    </row>
    <row r="1589" ht="21" customHeight="1" spans="1:13">
      <c r="A1589" s="5" t="s">
        <v>16</v>
      </c>
      <c r="B1589" s="6" t="s">
        <v>116</v>
      </c>
      <c r="C1589" s="6" t="s">
        <v>152</v>
      </c>
      <c r="D1589" s="6" t="s">
        <v>155</v>
      </c>
      <c r="E1589" s="6" t="s">
        <v>1271</v>
      </c>
      <c r="F1589" s="6" t="s">
        <v>1981</v>
      </c>
      <c r="G1589" s="6">
        <v>49.97</v>
      </c>
      <c r="H1589" s="6">
        <v>46.51</v>
      </c>
      <c r="I1589" s="6">
        <v>69.8</v>
      </c>
      <c r="J1589" s="6">
        <v>2300</v>
      </c>
      <c r="K1589" s="7">
        <f>(J1589-M1589)*税费参数!$B$12/(I1589*10000*(1+SUM(税费参数!$B$6:$B$8)))</f>
        <v>0.0300981011121364</v>
      </c>
      <c r="L1589" s="7">
        <f>J1589*税费参数!$B$12/(I1589*10000)</f>
        <v>0.0329512893982808</v>
      </c>
      <c r="M1589" s="6">
        <f>I1589*10000*SUM(税费参数!$B$9:$B$10)/税费参数!$B$11</f>
        <v>130.875</v>
      </c>
    </row>
    <row r="1590" ht="21" customHeight="1" spans="1:13">
      <c r="A1590" s="5" t="s">
        <v>16</v>
      </c>
      <c r="B1590" s="6" t="s">
        <v>116</v>
      </c>
      <c r="C1590" s="6" t="s">
        <v>152</v>
      </c>
      <c r="D1590" s="6" t="s">
        <v>155</v>
      </c>
      <c r="E1590" s="6" t="s">
        <v>1271</v>
      </c>
      <c r="F1590" s="6" t="s">
        <v>1982</v>
      </c>
      <c r="G1590" s="6">
        <v>49.97</v>
      </c>
      <c r="H1590" s="6">
        <v>51.36</v>
      </c>
      <c r="I1590" s="6">
        <v>69.8</v>
      </c>
      <c r="J1590" s="6">
        <v>2250</v>
      </c>
      <c r="K1590" s="7">
        <f>(J1590-M1590)*税费参数!$B$12/(I1590*10000*(1+SUM(税费参数!$B$6:$B$8)))</f>
        <v>0.0294043167264478</v>
      </c>
      <c r="L1590" s="7">
        <f>J1590*税费参数!$B$12/(I1590*10000)</f>
        <v>0.0322349570200573</v>
      </c>
      <c r="M1590" s="6">
        <f>I1590*10000*SUM(税费参数!$B$9:$B$10)/税费参数!$B$11</f>
        <v>130.875</v>
      </c>
    </row>
    <row r="1591" ht="21" customHeight="1" spans="1:13">
      <c r="A1591" s="5" t="s">
        <v>16</v>
      </c>
      <c r="B1591" s="6" t="s">
        <v>116</v>
      </c>
      <c r="C1591" s="6" t="s">
        <v>152</v>
      </c>
      <c r="D1591" s="6" t="s">
        <v>155</v>
      </c>
      <c r="E1591" s="6" t="s">
        <v>1269</v>
      </c>
      <c r="F1591" s="6" t="s">
        <v>1981</v>
      </c>
      <c r="G1591" s="6">
        <v>49.97</v>
      </c>
      <c r="H1591" s="6">
        <v>46.51</v>
      </c>
      <c r="I1591" s="6">
        <v>76</v>
      </c>
      <c r="J1591" s="6">
        <v>2300</v>
      </c>
      <c r="K1591" s="7">
        <f>(J1591-M1591)*税费参数!$B$12/(I1591*10000*(1+SUM(税费参数!$B$6:$B$8)))</f>
        <v>0.0274945839174207</v>
      </c>
      <c r="L1591" s="7">
        <f>J1591*税费参数!$B$12/(I1591*10000)</f>
        <v>0.0302631578947368</v>
      </c>
      <c r="M1591" s="6">
        <f>I1591*10000*SUM(税费参数!$B$9:$B$10)/税费参数!$B$11</f>
        <v>142.5</v>
      </c>
    </row>
    <row r="1592" ht="21" customHeight="1" spans="1:13">
      <c r="A1592" s="5" t="s">
        <v>16</v>
      </c>
      <c r="B1592" s="6" t="s">
        <v>116</v>
      </c>
      <c r="C1592" s="6" t="s">
        <v>152</v>
      </c>
      <c r="D1592" s="6" t="s">
        <v>155</v>
      </c>
      <c r="E1592" s="6" t="s">
        <v>1269</v>
      </c>
      <c r="F1592" s="6" t="s">
        <v>1982</v>
      </c>
      <c r="G1592" s="6">
        <v>49.97</v>
      </c>
      <c r="H1592" s="6">
        <v>51.36</v>
      </c>
      <c r="I1592" s="6">
        <v>76</v>
      </c>
      <c r="J1592" s="6">
        <v>2250</v>
      </c>
      <c r="K1592" s="7">
        <f>(J1592-M1592)*税费参数!$B$12/(I1592*10000*(1+SUM(税费参数!$B$6:$B$8)))</f>
        <v>0.0268573977316172</v>
      </c>
      <c r="L1592" s="7">
        <f>J1592*税费参数!$B$12/(I1592*10000)</f>
        <v>0.0296052631578947</v>
      </c>
      <c r="M1592" s="6">
        <f>I1592*10000*SUM(税费参数!$B$9:$B$10)/税费参数!$B$11</f>
        <v>142.5</v>
      </c>
    </row>
    <row r="1593" ht="21" customHeight="1" spans="1:13">
      <c r="A1593" s="5" t="s">
        <v>16</v>
      </c>
      <c r="B1593" s="6" t="s">
        <v>116</v>
      </c>
      <c r="C1593" s="6" t="s">
        <v>157</v>
      </c>
      <c r="D1593" s="6" t="s">
        <v>155</v>
      </c>
      <c r="E1593" s="6" t="s">
        <v>1281</v>
      </c>
      <c r="F1593" s="6" t="s">
        <v>1983</v>
      </c>
      <c r="G1593" s="6">
        <v>70.08</v>
      </c>
      <c r="H1593" s="6">
        <v>70.08</v>
      </c>
      <c r="I1593" s="6">
        <v>115</v>
      </c>
      <c r="J1593" s="6">
        <v>4320</v>
      </c>
      <c r="K1593" s="7">
        <f>(J1593-M1593)*税费参数!$B$12/(I1593*10000*(1+SUM(税费参数!$B$6:$B$8)))</f>
        <v>0.0345667965048953</v>
      </c>
      <c r="L1593" s="7">
        <f>J1593*税费参数!$B$12/(I1593*10000)</f>
        <v>0.0375652173913043</v>
      </c>
      <c r="M1593" s="6">
        <f>I1593*10000*SUM(税费参数!$B$9:$B$10)/税费参数!$B$11</f>
        <v>215.625</v>
      </c>
    </row>
    <row r="1594" ht="21" customHeight="1" spans="1:13">
      <c r="A1594" s="5" t="s">
        <v>16</v>
      </c>
      <c r="B1594" s="6" t="s">
        <v>116</v>
      </c>
      <c r="C1594" s="6" t="s">
        <v>157</v>
      </c>
      <c r="D1594" s="6" t="s">
        <v>155</v>
      </c>
      <c r="E1594" s="6" t="s">
        <v>1281</v>
      </c>
      <c r="F1594" s="6" t="s">
        <v>1984</v>
      </c>
      <c r="G1594" s="6">
        <v>70.08</v>
      </c>
      <c r="H1594" s="6">
        <v>70.09</v>
      </c>
      <c r="I1594" s="6">
        <v>115</v>
      </c>
      <c r="J1594" s="6">
        <v>2500</v>
      </c>
      <c r="K1594" s="7">
        <f>(J1594-M1594)*税费参数!$B$12/(I1594*10000*(1+SUM(税费参数!$B$6:$B$8)))</f>
        <v>0.0192388672491841</v>
      </c>
      <c r="L1594" s="7">
        <f>J1594*税费参数!$B$12/(I1594*10000)</f>
        <v>0.0217391304347826</v>
      </c>
      <c r="M1594" s="6">
        <f>I1594*10000*SUM(税费参数!$B$9:$B$10)/税费参数!$B$11</f>
        <v>215.625</v>
      </c>
    </row>
    <row r="1595" ht="21" customHeight="1" spans="1:13">
      <c r="A1595" s="5" t="s">
        <v>16</v>
      </c>
      <c r="B1595" s="6" t="s">
        <v>116</v>
      </c>
      <c r="C1595" s="6" t="s">
        <v>157</v>
      </c>
      <c r="D1595" s="6" t="s">
        <v>155</v>
      </c>
      <c r="E1595" s="6" t="s">
        <v>1281</v>
      </c>
      <c r="F1595" s="6" t="s">
        <v>1985</v>
      </c>
      <c r="G1595" s="6">
        <v>70.08</v>
      </c>
      <c r="H1595" s="6">
        <v>63</v>
      </c>
      <c r="I1595" s="6">
        <v>115</v>
      </c>
      <c r="J1595" s="6">
        <v>2400</v>
      </c>
      <c r="K1595" s="7">
        <f>(J1595-M1595)*税费参数!$B$12/(I1595*10000*(1+SUM(税费参数!$B$6:$B$8)))</f>
        <v>0.0183966733340352</v>
      </c>
      <c r="L1595" s="7">
        <f>J1595*税费参数!$B$12/(I1595*10000)</f>
        <v>0.0208695652173913</v>
      </c>
      <c r="M1595" s="6">
        <f>I1595*10000*SUM(税费参数!$B$9:$B$10)/税费参数!$B$11</f>
        <v>215.625</v>
      </c>
    </row>
    <row r="1596" ht="21" customHeight="1" spans="1:13">
      <c r="A1596" s="5" t="s">
        <v>16</v>
      </c>
      <c r="B1596" s="6" t="s">
        <v>116</v>
      </c>
      <c r="C1596" s="6" t="s">
        <v>157</v>
      </c>
      <c r="D1596" s="6" t="s">
        <v>155</v>
      </c>
      <c r="E1596" s="6" t="s">
        <v>1281</v>
      </c>
      <c r="F1596" s="6" t="s">
        <v>1986</v>
      </c>
      <c r="G1596" s="6">
        <v>70.08</v>
      </c>
      <c r="H1596" s="6">
        <v>73.53</v>
      </c>
      <c r="I1596" s="6">
        <v>115</v>
      </c>
      <c r="J1596" s="6">
        <v>3000</v>
      </c>
      <c r="K1596" s="7">
        <f>(J1596-M1596)*税费参数!$B$12/(I1596*10000*(1+SUM(税费参数!$B$6:$B$8)))</f>
        <v>0.0234498368249289</v>
      </c>
      <c r="L1596" s="7">
        <f>J1596*税费参数!$B$12/(I1596*10000)</f>
        <v>0.0260869565217391</v>
      </c>
      <c r="M1596" s="6">
        <f>I1596*10000*SUM(税费参数!$B$9:$B$10)/税费参数!$B$11</f>
        <v>215.625</v>
      </c>
    </row>
    <row r="1597" ht="21" customHeight="1" spans="1:13">
      <c r="A1597" s="5" t="s">
        <v>16</v>
      </c>
      <c r="B1597" s="6" t="s">
        <v>116</v>
      </c>
      <c r="C1597" s="6" t="s">
        <v>157</v>
      </c>
      <c r="D1597" s="6" t="s">
        <v>155</v>
      </c>
      <c r="E1597" s="6" t="s">
        <v>1281</v>
      </c>
      <c r="F1597" s="6" t="s">
        <v>1987</v>
      </c>
      <c r="G1597" s="6">
        <v>70.08</v>
      </c>
      <c r="H1597" s="6">
        <v>73.6</v>
      </c>
      <c r="I1597" s="6">
        <v>115</v>
      </c>
      <c r="J1597" s="6">
        <v>3600</v>
      </c>
      <c r="K1597" s="7">
        <f>(J1597-M1597)*税费参数!$B$12/(I1597*10000*(1+SUM(税费参数!$B$6:$B$8)))</f>
        <v>0.0285030003158227</v>
      </c>
      <c r="L1597" s="7">
        <f>J1597*税费参数!$B$12/(I1597*10000)</f>
        <v>0.031304347826087</v>
      </c>
      <c r="M1597" s="6">
        <f>I1597*10000*SUM(税费参数!$B$9:$B$10)/税费参数!$B$11</f>
        <v>215.625</v>
      </c>
    </row>
    <row r="1598" ht="21" customHeight="1" spans="1:13">
      <c r="A1598" s="5" t="s">
        <v>16</v>
      </c>
      <c r="B1598" s="6" t="s">
        <v>116</v>
      </c>
      <c r="C1598" s="6" t="s">
        <v>157</v>
      </c>
      <c r="D1598" s="6" t="s">
        <v>155</v>
      </c>
      <c r="E1598" s="6" t="s">
        <v>1287</v>
      </c>
      <c r="F1598" s="6" t="s">
        <v>1983</v>
      </c>
      <c r="G1598" s="6">
        <v>73.6</v>
      </c>
      <c r="H1598" s="6">
        <v>70.08</v>
      </c>
      <c r="I1598" s="6">
        <v>105.8</v>
      </c>
      <c r="J1598" s="6">
        <v>4320</v>
      </c>
      <c r="K1598" s="7">
        <f>(J1598-M1598)*税费参数!$B$12/(I1598*10000*(1+SUM(税费参数!$B$6:$B$8)))</f>
        <v>0.0377305162557157</v>
      </c>
      <c r="L1598" s="7">
        <f>J1598*税费参数!$B$12/(I1598*10000)</f>
        <v>0.0408317580340265</v>
      </c>
      <c r="M1598" s="6">
        <f>I1598*10000*SUM(税费参数!$B$9:$B$10)/税费参数!$B$11</f>
        <v>198.375</v>
      </c>
    </row>
    <row r="1599" ht="21" customHeight="1" spans="1:13">
      <c r="A1599" s="5" t="s">
        <v>16</v>
      </c>
      <c r="B1599" s="6" t="s">
        <v>116</v>
      </c>
      <c r="C1599" s="6" t="s">
        <v>157</v>
      </c>
      <c r="D1599" s="6" t="s">
        <v>155</v>
      </c>
      <c r="E1599" s="6" t="s">
        <v>1287</v>
      </c>
      <c r="F1599" s="6" t="s">
        <v>1984</v>
      </c>
      <c r="G1599" s="6">
        <v>73.6</v>
      </c>
      <c r="H1599" s="6">
        <v>70.09</v>
      </c>
      <c r="I1599" s="6">
        <v>105.8</v>
      </c>
      <c r="J1599" s="6">
        <v>2500</v>
      </c>
      <c r="K1599" s="7">
        <f>(J1599-M1599)*税费参数!$B$12/(I1599*10000*(1+SUM(税费参数!$B$6:$B$8)))</f>
        <v>0.0210697235864645</v>
      </c>
      <c r="L1599" s="7">
        <f>J1599*税费参数!$B$12/(I1599*10000)</f>
        <v>0.0236294896030246</v>
      </c>
      <c r="M1599" s="6">
        <f>I1599*10000*SUM(税费参数!$B$9:$B$10)/税费参数!$B$11</f>
        <v>198.375</v>
      </c>
    </row>
    <row r="1600" ht="21" customHeight="1" spans="1:13">
      <c r="A1600" s="5" t="s">
        <v>16</v>
      </c>
      <c r="B1600" s="6" t="s">
        <v>116</v>
      </c>
      <c r="C1600" s="6" t="s">
        <v>157</v>
      </c>
      <c r="D1600" s="6" t="s">
        <v>155</v>
      </c>
      <c r="E1600" s="6" t="s">
        <v>1287</v>
      </c>
      <c r="F1600" s="6" t="s">
        <v>1985</v>
      </c>
      <c r="G1600" s="6">
        <v>73.6</v>
      </c>
      <c r="H1600" s="6">
        <v>63</v>
      </c>
      <c r="I1600" s="6">
        <v>105.8</v>
      </c>
      <c r="J1600" s="6">
        <v>2400</v>
      </c>
      <c r="K1600" s="7">
        <f>(J1600-M1600)*税费参数!$B$12/(I1600*10000*(1+SUM(税费参数!$B$6:$B$8)))</f>
        <v>0.0201542954178243</v>
      </c>
      <c r="L1600" s="7">
        <f>J1600*税费参数!$B$12/(I1600*10000)</f>
        <v>0.0226843100189036</v>
      </c>
      <c r="M1600" s="6">
        <f>I1600*10000*SUM(税费参数!$B$9:$B$10)/税费参数!$B$11</f>
        <v>198.375</v>
      </c>
    </row>
    <row r="1601" ht="21" customHeight="1" spans="1:13">
      <c r="A1601" s="5" t="s">
        <v>16</v>
      </c>
      <c r="B1601" s="6" t="s">
        <v>116</v>
      </c>
      <c r="C1601" s="6" t="s">
        <v>157</v>
      </c>
      <c r="D1601" s="6" t="s">
        <v>155</v>
      </c>
      <c r="E1601" s="6" t="s">
        <v>1287</v>
      </c>
      <c r="F1601" s="6" t="s">
        <v>1986</v>
      </c>
      <c r="G1601" s="6">
        <v>73.6</v>
      </c>
      <c r="H1601" s="6">
        <v>73.53</v>
      </c>
      <c r="I1601" s="6">
        <v>105.8</v>
      </c>
      <c r="J1601" s="6">
        <v>3000</v>
      </c>
      <c r="K1601" s="7">
        <f>(J1601-M1601)*税费参数!$B$12/(I1601*10000*(1+SUM(税费参数!$B$6:$B$8)))</f>
        <v>0.0256468644296654</v>
      </c>
      <c r="L1601" s="7">
        <f>J1601*税费参数!$B$12/(I1601*10000)</f>
        <v>0.0283553875236295</v>
      </c>
      <c r="M1601" s="6">
        <f>I1601*10000*SUM(税费参数!$B$9:$B$10)/税费参数!$B$11</f>
        <v>198.375</v>
      </c>
    </row>
    <row r="1602" ht="21" customHeight="1" spans="1:13">
      <c r="A1602" s="5" t="s">
        <v>16</v>
      </c>
      <c r="B1602" s="6" t="s">
        <v>116</v>
      </c>
      <c r="C1602" s="6" t="s">
        <v>157</v>
      </c>
      <c r="D1602" s="6" t="s">
        <v>155</v>
      </c>
      <c r="E1602" s="6" t="s">
        <v>1287</v>
      </c>
      <c r="F1602" s="6" t="s">
        <v>1987</v>
      </c>
      <c r="G1602" s="6">
        <v>73.6</v>
      </c>
      <c r="H1602" s="6">
        <v>73.6</v>
      </c>
      <c r="I1602" s="6">
        <v>105.8</v>
      </c>
      <c r="J1602" s="6">
        <v>3600</v>
      </c>
      <c r="K1602" s="7">
        <f>(J1602-M1602)*税费参数!$B$12/(I1602*10000*(1+SUM(税费参数!$B$6:$B$8)))</f>
        <v>0.0311394334415064</v>
      </c>
      <c r="L1602" s="7">
        <f>J1602*税费参数!$B$12/(I1602*10000)</f>
        <v>0.0340264650283554</v>
      </c>
      <c r="M1602" s="6">
        <f>I1602*10000*SUM(税费参数!$B$9:$B$10)/税费参数!$B$11</f>
        <v>198.375</v>
      </c>
    </row>
    <row r="1603" ht="21" customHeight="1" spans="1:13">
      <c r="A1603" s="5" t="s">
        <v>16</v>
      </c>
      <c r="B1603" s="6" t="s">
        <v>116</v>
      </c>
      <c r="C1603" s="6" t="s">
        <v>157</v>
      </c>
      <c r="D1603" s="6" t="s">
        <v>155</v>
      </c>
      <c r="E1603" s="6" t="s">
        <v>1279</v>
      </c>
      <c r="F1603" s="6" t="s">
        <v>1983</v>
      </c>
      <c r="G1603" s="6">
        <v>73.53</v>
      </c>
      <c r="H1603" s="6">
        <v>70.08</v>
      </c>
      <c r="I1603" s="6">
        <v>102</v>
      </c>
      <c r="J1603" s="6">
        <v>4320</v>
      </c>
      <c r="K1603" s="7">
        <f>(J1603-M1603)*税费参数!$B$12/(I1603*10000*(1+SUM(税费参数!$B$6:$B$8)))</f>
        <v>0.0392038171200684</v>
      </c>
      <c r="L1603" s="7">
        <f>J1603*税费参数!$B$12/(I1603*10000)</f>
        <v>0.0423529411764706</v>
      </c>
      <c r="M1603" s="6">
        <f>I1603*10000*SUM(税费参数!$B$9:$B$10)/税费参数!$B$11</f>
        <v>191.25</v>
      </c>
    </row>
    <row r="1604" ht="21" customHeight="1" spans="1:13">
      <c r="A1604" s="5" t="s">
        <v>16</v>
      </c>
      <c r="B1604" s="6" t="s">
        <v>116</v>
      </c>
      <c r="C1604" s="6" t="s">
        <v>157</v>
      </c>
      <c r="D1604" s="6" t="s">
        <v>155</v>
      </c>
      <c r="E1604" s="6" t="s">
        <v>1279</v>
      </c>
      <c r="F1604" s="6" t="s">
        <v>1984</v>
      </c>
      <c r="G1604" s="6">
        <v>73.53</v>
      </c>
      <c r="H1604" s="6">
        <v>70.09</v>
      </c>
      <c r="I1604" s="6">
        <v>102</v>
      </c>
      <c r="J1604" s="6">
        <v>2500</v>
      </c>
      <c r="K1604" s="7">
        <f>(J1604-M1604)*税费参数!$B$12/(I1604*10000*(1+SUM(税费参数!$B$6:$B$8)))</f>
        <v>0.0219223282533352</v>
      </c>
      <c r="L1604" s="7">
        <f>J1604*税费参数!$B$12/(I1604*10000)</f>
        <v>0.0245098039215686</v>
      </c>
      <c r="M1604" s="6">
        <f>I1604*10000*SUM(税费参数!$B$9:$B$10)/税费参数!$B$11</f>
        <v>191.25</v>
      </c>
    </row>
    <row r="1605" ht="21" customHeight="1" spans="1:13">
      <c r="A1605" s="5" t="s">
        <v>16</v>
      </c>
      <c r="B1605" s="6" t="s">
        <v>116</v>
      </c>
      <c r="C1605" s="6" t="s">
        <v>157</v>
      </c>
      <c r="D1605" s="6" t="s">
        <v>155</v>
      </c>
      <c r="E1605" s="6" t="s">
        <v>1279</v>
      </c>
      <c r="F1605" s="6" t="s">
        <v>1985</v>
      </c>
      <c r="G1605" s="6">
        <v>73.53</v>
      </c>
      <c r="H1605" s="6">
        <v>63</v>
      </c>
      <c r="I1605" s="6">
        <v>102</v>
      </c>
      <c r="J1605" s="6">
        <v>2400</v>
      </c>
      <c r="K1605" s="7">
        <f>(J1605-M1605)*税费参数!$B$12/(I1605*10000*(1+SUM(税费参数!$B$6:$B$8)))</f>
        <v>0.0209727958980202</v>
      </c>
      <c r="L1605" s="7">
        <f>J1605*税费参数!$B$12/(I1605*10000)</f>
        <v>0.0235294117647059</v>
      </c>
      <c r="M1605" s="6">
        <f>I1605*10000*SUM(税费参数!$B$9:$B$10)/税费参数!$B$11</f>
        <v>191.25</v>
      </c>
    </row>
    <row r="1606" ht="21" customHeight="1" spans="1:13">
      <c r="A1606" s="5" t="s">
        <v>16</v>
      </c>
      <c r="B1606" s="6" t="s">
        <v>116</v>
      </c>
      <c r="C1606" s="6" t="s">
        <v>157</v>
      </c>
      <c r="D1606" s="6" t="s">
        <v>155</v>
      </c>
      <c r="E1606" s="6" t="s">
        <v>1279</v>
      </c>
      <c r="F1606" s="6" t="s">
        <v>1986</v>
      </c>
      <c r="G1606" s="6">
        <v>73.53</v>
      </c>
      <c r="H1606" s="6">
        <v>73.53</v>
      </c>
      <c r="I1606" s="6">
        <v>102</v>
      </c>
      <c r="J1606" s="6">
        <v>3000</v>
      </c>
      <c r="K1606" s="7">
        <f>(J1606-M1606)*税费参数!$B$12/(I1606*10000*(1+SUM(税费参数!$B$6:$B$8)))</f>
        <v>0.0266699900299103</v>
      </c>
      <c r="L1606" s="7">
        <f>J1606*税费参数!$B$12/(I1606*10000)</f>
        <v>0.0294117647058824</v>
      </c>
      <c r="M1606" s="6">
        <f>I1606*10000*SUM(税费参数!$B$9:$B$10)/税费参数!$B$11</f>
        <v>191.25</v>
      </c>
    </row>
    <row r="1607" ht="21" customHeight="1" spans="1:13">
      <c r="A1607" s="5" t="s">
        <v>16</v>
      </c>
      <c r="B1607" s="6" t="s">
        <v>116</v>
      </c>
      <c r="C1607" s="6" t="s">
        <v>157</v>
      </c>
      <c r="D1607" s="6" t="s">
        <v>155</v>
      </c>
      <c r="E1607" s="6" t="s">
        <v>1279</v>
      </c>
      <c r="F1607" s="6" t="s">
        <v>1987</v>
      </c>
      <c r="G1607" s="6">
        <v>73.53</v>
      </c>
      <c r="H1607" s="6">
        <v>73.6</v>
      </c>
      <c r="I1607" s="6">
        <v>102</v>
      </c>
      <c r="J1607" s="6">
        <v>3600</v>
      </c>
      <c r="K1607" s="7">
        <f>(J1607-M1607)*税费参数!$B$12/(I1607*10000*(1+SUM(税费参数!$B$6:$B$8)))</f>
        <v>0.0323671841618003</v>
      </c>
      <c r="L1607" s="7">
        <f>J1607*税费参数!$B$12/(I1607*10000)</f>
        <v>0.0352941176470588</v>
      </c>
      <c r="M1607" s="6">
        <f>I1607*10000*SUM(税费参数!$B$9:$B$10)/税费参数!$B$11</f>
        <v>191.25</v>
      </c>
    </row>
    <row r="1608" ht="21" customHeight="1" spans="1:13">
      <c r="A1608" s="5" t="s">
        <v>16</v>
      </c>
      <c r="B1608" s="6" t="s">
        <v>116</v>
      </c>
      <c r="C1608" s="6" t="s">
        <v>157</v>
      </c>
      <c r="D1608" s="6" t="s">
        <v>155</v>
      </c>
      <c r="E1608" s="6" t="s">
        <v>1277</v>
      </c>
      <c r="F1608" s="6" t="s">
        <v>1983</v>
      </c>
      <c r="G1608" s="6">
        <v>73.53</v>
      </c>
      <c r="H1608" s="6">
        <v>70.08</v>
      </c>
      <c r="I1608" s="6">
        <v>110</v>
      </c>
      <c r="J1608" s="6">
        <v>4320</v>
      </c>
      <c r="K1608" s="7">
        <f>(J1608-M1608)*税费参数!$B$12/(I1608*10000*(1+SUM(税费参数!$B$6:$B$8)))</f>
        <v>0.036220559101915</v>
      </c>
      <c r="L1608" s="7">
        <f>J1608*税费参数!$B$12/(I1608*10000)</f>
        <v>0.0392727272727273</v>
      </c>
      <c r="M1608" s="6">
        <f>I1608*10000*SUM(税费参数!$B$9:$B$10)/税费参数!$B$11</f>
        <v>206.25</v>
      </c>
    </row>
    <row r="1609" ht="21" customHeight="1" spans="1:13">
      <c r="A1609" s="5" t="s">
        <v>16</v>
      </c>
      <c r="B1609" s="6" t="s">
        <v>116</v>
      </c>
      <c r="C1609" s="6" t="s">
        <v>157</v>
      </c>
      <c r="D1609" s="6" t="s">
        <v>155</v>
      </c>
      <c r="E1609" s="6" t="s">
        <v>1277</v>
      </c>
      <c r="F1609" s="6" t="s">
        <v>1984</v>
      </c>
      <c r="G1609" s="6">
        <v>73.53</v>
      </c>
      <c r="H1609" s="6">
        <v>70.09</v>
      </c>
      <c r="I1609" s="6">
        <v>110</v>
      </c>
      <c r="J1609" s="6">
        <v>2500</v>
      </c>
      <c r="K1609" s="7">
        <f>(J1609-M1609)*税费参数!$B$12/(I1609*10000*(1+SUM(税费参数!$B$6:$B$8)))</f>
        <v>0.0201959057891261</v>
      </c>
      <c r="L1609" s="7">
        <f>J1609*税费参数!$B$12/(I1609*10000)</f>
        <v>0.0227272727272727</v>
      </c>
      <c r="M1609" s="6">
        <f>I1609*10000*SUM(税费参数!$B$9:$B$10)/税费参数!$B$11</f>
        <v>206.25</v>
      </c>
    </row>
    <row r="1610" ht="21" customHeight="1" spans="1:13">
      <c r="A1610" s="5" t="s">
        <v>16</v>
      </c>
      <c r="B1610" s="6" t="s">
        <v>116</v>
      </c>
      <c r="C1610" s="6" t="s">
        <v>157</v>
      </c>
      <c r="D1610" s="6" t="s">
        <v>155</v>
      </c>
      <c r="E1610" s="6" t="s">
        <v>1277</v>
      </c>
      <c r="F1610" s="6" t="s">
        <v>1985</v>
      </c>
      <c r="G1610" s="6">
        <v>73.53</v>
      </c>
      <c r="H1610" s="6">
        <v>63</v>
      </c>
      <c r="I1610" s="6">
        <v>110</v>
      </c>
      <c r="J1610" s="6">
        <v>2400</v>
      </c>
      <c r="K1610" s="7">
        <f>(J1610-M1610)*税费参数!$B$12/(I1610*10000*(1+SUM(税费参数!$B$6:$B$8)))</f>
        <v>0.0193154303323795</v>
      </c>
      <c r="L1610" s="7">
        <f>J1610*税费参数!$B$12/(I1610*10000)</f>
        <v>0.0218181818181818</v>
      </c>
      <c r="M1610" s="6">
        <f>I1610*10000*SUM(税费参数!$B$9:$B$10)/税费参数!$B$11</f>
        <v>206.25</v>
      </c>
    </row>
    <row r="1611" ht="21" customHeight="1" spans="1:13">
      <c r="A1611" s="5" t="s">
        <v>16</v>
      </c>
      <c r="B1611" s="6" t="s">
        <v>116</v>
      </c>
      <c r="C1611" s="6" t="s">
        <v>157</v>
      </c>
      <c r="D1611" s="6" t="s">
        <v>155</v>
      </c>
      <c r="E1611" s="6" t="s">
        <v>1277</v>
      </c>
      <c r="F1611" s="6" t="s">
        <v>1986</v>
      </c>
      <c r="G1611" s="6">
        <v>73.53</v>
      </c>
      <c r="H1611" s="6">
        <v>73.53</v>
      </c>
      <c r="I1611" s="6">
        <v>110</v>
      </c>
      <c r="J1611" s="6">
        <v>3000</v>
      </c>
      <c r="K1611" s="7">
        <f>(J1611-M1611)*税费参数!$B$12/(I1611*10000*(1+SUM(税费参数!$B$6:$B$8)))</f>
        <v>0.0245982830728593</v>
      </c>
      <c r="L1611" s="7">
        <f>J1611*税费参数!$B$12/(I1611*10000)</f>
        <v>0.0272727272727273</v>
      </c>
      <c r="M1611" s="6">
        <f>I1611*10000*SUM(税费参数!$B$9:$B$10)/税费参数!$B$11</f>
        <v>206.25</v>
      </c>
    </row>
    <row r="1612" ht="21" customHeight="1" spans="1:13">
      <c r="A1612" s="5" t="s">
        <v>16</v>
      </c>
      <c r="B1612" s="6" t="s">
        <v>116</v>
      </c>
      <c r="C1612" s="6" t="s">
        <v>157</v>
      </c>
      <c r="D1612" s="6" t="s">
        <v>155</v>
      </c>
      <c r="E1612" s="6" t="s">
        <v>1277</v>
      </c>
      <c r="F1612" s="6" t="s">
        <v>1987</v>
      </c>
      <c r="G1612" s="6">
        <v>73.53</v>
      </c>
      <c r="H1612" s="6">
        <v>73.6</v>
      </c>
      <c r="I1612" s="6">
        <v>110</v>
      </c>
      <c r="J1612" s="6">
        <v>3600</v>
      </c>
      <c r="K1612" s="7">
        <f>(J1612-M1612)*税费参数!$B$12/(I1612*10000*(1+SUM(税费参数!$B$6:$B$8)))</f>
        <v>0.0298811358133392</v>
      </c>
      <c r="L1612" s="7">
        <f>J1612*税费参数!$B$12/(I1612*10000)</f>
        <v>0.0327272727272727</v>
      </c>
      <c r="M1612" s="6">
        <f>I1612*10000*SUM(税费参数!$B$9:$B$10)/税费参数!$B$11</f>
        <v>206.25</v>
      </c>
    </row>
    <row r="1613" ht="21" customHeight="1" spans="1:13">
      <c r="A1613" s="5" t="s">
        <v>16</v>
      </c>
      <c r="B1613" s="6" t="s">
        <v>116</v>
      </c>
      <c r="C1613" s="6" t="s">
        <v>157</v>
      </c>
      <c r="D1613" s="6" t="s">
        <v>155</v>
      </c>
      <c r="E1613" s="6" t="s">
        <v>1283</v>
      </c>
      <c r="F1613" s="6" t="s">
        <v>1983</v>
      </c>
      <c r="G1613" s="6">
        <v>73.53</v>
      </c>
      <c r="H1613" s="6">
        <v>70.08</v>
      </c>
      <c r="I1613" s="6">
        <v>115</v>
      </c>
      <c r="J1613" s="6">
        <v>4320</v>
      </c>
      <c r="K1613" s="7">
        <f>(J1613-M1613)*税费参数!$B$12/(I1613*10000*(1+SUM(税费参数!$B$6:$B$8)))</f>
        <v>0.0345667965048953</v>
      </c>
      <c r="L1613" s="7">
        <f>J1613*税费参数!$B$12/(I1613*10000)</f>
        <v>0.0375652173913043</v>
      </c>
      <c r="M1613" s="6">
        <f>I1613*10000*SUM(税费参数!$B$9:$B$10)/税费参数!$B$11</f>
        <v>215.625</v>
      </c>
    </row>
    <row r="1614" ht="21" customHeight="1" spans="1:13">
      <c r="A1614" s="5" t="s">
        <v>16</v>
      </c>
      <c r="B1614" s="6" t="s">
        <v>116</v>
      </c>
      <c r="C1614" s="6" t="s">
        <v>157</v>
      </c>
      <c r="D1614" s="6" t="s">
        <v>155</v>
      </c>
      <c r="E1614" s="6" t="s">
        <v>1283</v>
      </c>
      <c r="F1614" s="6" t="s">
        <v>1984</v>
      </c>
      <c r="G1614" s="6">
        <v>73.53</v>
      </c>
      <c r="H1614" s="6">
        <v>70.09</v>
      </c>
      <c r="I1614" s="6">
        <v>115</v>
      </c>
      <c r="J1614" s="6">
        <v>2500</v>
      </c>
      <c r="K1614" s="7">
        <f>(J1614-M1614)*税费参数!$B$12/(I1614*10000*(1+SUM(税费参数!$B$6:$B$8)))</f>
        <v>0.0192388672491841</v>
      </c>
      <c r="L1614" s="7">
        <f>J1614*税费参数!$B$12/(I1614*10000)</f>
        <v>0.0217391304347826</v>
      </c>
      <c r="M1614" s="6">
        <f>I1614*10000*SUM(税费参数!$B$9:$B$10)/税费参数!$B$11</f>
        <v>215.625</v>
      </c>
    </row>
    <row r="1615" ht="21" customHeight="1" spans="1:13">
      <c r="A1615" s="5" t="s">
        <v>16</v>
      </c>
      <c r="B1615" s="6" t="s">
        <v>116</v>
      </c>
      <c r="C1615" s="6" t="s">
        <v>157</v>
      </c>
      <c r="D1615" s="6" t="s">
        <v>155</v>
      </c>
      <c r="E1615" s="6" t="s">
        <v>1283</v>
      </c>
      <c r="F1615" s="6" t="s">
        <v>1985</v>
      </c>
      <c r="G1615" s="6">
        <v>73.53</v>
      </c>
      <c r="H1615" s="6">
        <v>63</v>
      </c>
      <c r="I1615" s="6">
        <v>115</v>
      </c>
      <c r="J1615" s="6">
        <v>2400</v>
      </c>
      <c r="K1615" s="7">
        <f>(J1615-M1615)*税费参数!$B$12/(I1615*10000*(1+SUM(税费参数!$B$6:$B$8)))</f>
        <v>0.0183966733340352</v>
      </c>
      <c r="L1615" s="7">
        <f>J1615*税费参数!$B$12/(I1615*10000)</f>
        <v>0.0208695652173913</v>
      </c>
      <c r="M1615" s="6">
        <f>I1615*10000*SUM(税费参数!$B$9:$B$10)/税费参数!$B$11</f>
        <v>215.625</v>
      </c>
    </row>
    <row r="1616" ht="21" customHeight="1" spans="1:13">
      <c r="A1616" s="5" t="s">
        <v>16</v>
      </c>
      <c r="B1616" s="6" t="s">
        <v>116</v>
      </c>
      <c r="C1616" s="6" t="s">
        <v>157</v>
      </c>
      <c r="D1616" s="6" t="s">
        <v>155</v>
      </c>
      <c r="E1616" s="6" t="s">
        <v>1283</v>
      </c>
      <c r="F1616" s="6" t="s">
        <v>1986</v>
      </c>
      <c r="G1616" s="6">
        <v>73.53</v>
      </c>
      <c r="H1616" s="6">
        <v>73.53</v>
      </c>
      <c r="I1616" s="6">
        <v>115</v>
      </c>
      <c r="J1616" s="6">
        <v>3000</v>
      </c>
      <c r="K1616" s="7">
        <f>(J1616-M1616)*税费参数!$B$12/(I1616*10000*(1+SUM(税费参数!$B$6:$B$8)))</f>
        <v>0.0234498368249289</v>
      </c>
      <c r="L1616" s="7">
        <f>J1616*税费参数!$B$12/(I1616*10000)</f>
        <v>0.0260869565217391</v>
      </c>
      <c r="M1616" s="6">
        <f>I1616*10000*SUM(税费参数!$B$9:$B$10)/税费参数!$B$11</f>
        <v>215.625</v>
      </c>
    </row>
    <row r="1617" ht="21" customHeight="1" spans="1:13">
      <c r="A1617" s="5" t="s">
        <v>16</v>
      </c>
      <c r="B1617" s="6" t="s">
        <v>116</v>
      </c>
      <c r="C1617" s="6" t="s">
        <v>157</v>
      </c>
      <c r="D1617" s="6" t="s">
        <v>155</v>
      </c>
      <c r="E1617" s="6" t="s">
        <v>1283</v>
      </c>
      <c r="F1617" s="6" t="s">
        <v>1987</v>
      </c>
      <c r="G1617" s="6">
        <v>73.53</v>
      </c>
      <c r="H1617" s="6">
        <v>73.6</v>
      </c>
      <c r="I1617" s="6">
        <v>115</v>
      </c>
      <c r="J1617" s="6">
        <v>3600</v>
      </c>
      <c r="K1617" s="7">
        <f>(J1617-M1617)*税费参数!$B$12/(I1617*10000*(1+SUM(税费参数!$B$6:$B$8)))</f>
        <v>0.0285030003158227</v>
      </c>
      <c r="L1617" s="7">
        <f>J1617*税费参数!$B$12/(I1617*10000)</f>
        <v>0.031304347826087</v>
      </c>
      <c r="M1617" s="6">
        <f>I1617*10000*SUM(税费参数!$B$9:$B$10)/税费参数!$B$11</f>
        <v>215.625</v>
      </c>
    </row>
    <row r="1618" ht="21" customHeight="1" spans="1:13">
      <c r="A1618" s="5" t="s">
        <v>16</v>
      </c>
      <c r="B1618" s="6" t="s">
        <v>116</v>
      </c>
      <c r="C1618" s="6" t="s">
        <v>157</v>
      </c>
      <c r="D1618" s="6" t="s">
        <v>155</v>
      </c>
      <c r="E1618" s="6" t="s">
        <v>1285</v>
      </c>
      <c r="F1618" s="6" t="s">
        <v>1983</v>
      </c>
      <c r="G1618" s="6">
        <v>73.6</v>
      </c>
      <c r="H1618" s="6">
        <v>70.08</v>
      </c>
      <c r="I1618" s="6">
        <v>102</v>
      </c>
      <c r="J1618" s="6">
        <v>4320</v>
      </c>
      <c r="K1618" s="7">
        <f>(J1618-M1618)*税费参数!$B$12/(I1618*10000*(1+SUM(税费参数!$B$6:$B$8)))</f>
        <v>0.0392038171200684</v>
      </c>
      <c r="L1618" s="7">
        <f>J1618*税费参数!$B$12/(I1618*10000)</f>
        <v>0.0423529411764706</v>
      </c>
      <c r="M1618" s="6">
        <f>I1618*10000*SUM(税费参数!$B$9:$B$10)/税费参数!$B$11</f>
        <v>191.25</v>
      </c>
    </row>
    <row r="1619" ht="21" customHeight="1" spans="1:13">
      <c r="A1619" s="5" t="s">
        <v>16</v>
      </c>
      <c r="B1619" s="6" t="s">
        <v>116</v>
      </c>
      <c r="C1619" s="6" t="s">
        <v>157</v>
      </c>
      <c r="D1619" s="6" t="s">
        <v>155</v>
      </c>
      <c r="E1619" s="6" t="s">
        <v>1285</v>
      </c>
      <c r="F1619" s="6" t="s">
        <v>1984</v>
      </c>
      <c r="G1619" s="6">
        <v>73.6</v>
      </c>
      <c r="H1619" s="6">
        <v>70.09</v>
      </c>
      <c r="I1619" s="6">
        <v>102</v>
      </c>
      <c r="J1619" s="6">
        <v>2500</v>
      </c>
      <c r="K1619" s="7">
        <f>(J1619-M1619)*税费参数!$B$12/(I1619*10000*(1+SUM(税费参数!$B$6:$B$8)))</f>
        <v>0.0219223282533352</v>
      </c>
      <c r="L1619" s="7">
        <f>J1619*税费参数!$B$12/(I1619*10000)</f>
        <v>0.0245098039215686</v>
      </c>
      <c r="M1619" s="6">
        <f>I1619*10000*SUM(税费参数!$B$9:$B$10)/税费参数!$B$11</f>
        <v>191.25</v>
      </c>
    </row>
    <row r="1620" ht="21" customHeight="1" spans="1:13">
      <c r="A1620" s="5" t="s">
        <v>16</v>
      </c>
      <c r="B1620" s="6" t="s">
        <v>116</v>
      </c>
      <c r="C1620" s="6" t="s">
        <v>157</v>
      </c>
      <c r="D1620" s="6" t="s">
        <v>155</v>
      </c>
      <c r="E1620" s="6" t="s">
        <v>1285</v>
      </c>
      <c r="F1620" s="6" t="s">
        <v>1985</v>
      </c>
      <c r="G1620" s="6">
        <v>73.6</v>
      </c>
      <c r="H1620" s="6">
        <v>63</v>
      </c>
      <c r="I1620" s="6">
        <v>102</v>
      </c>
      <c r="J1620" s="6">
        <v>2400</v>
      </c>
      <c r="K1620" s="7">
        <f>(J1620-M1620)*税费参数!$B$12/(I1620*10000*(1+SUM(税费参数!$B$6:$B$8)))</f>
        <v>0.0209727958980202</v>
      </c>
      <c r="L1620" s="7">
        <f>J1620*税费参数!$B$12/(I1620*10000)</f>
        <v>0.0235294117647059</v>
      </c>
      <c r="M1620" s="6">
        <f>I1620*10000*SUM(税费参数!$B$9:$B$10)/税费参数!$B$11</f>
        <v>191.25</v>
      </c>
    </row>
    <row r="1621" ht="21" customHeight="1" spans="1:13">
      <c r="A1621" s="5" t="s">
        <v>16</v>
      </c>
      <c r="B1621" s="6" t="s">
        <v>116</v>
      </c>
      <c r="C1621" s="6" t="s">
        <v>157</v>
      </c>
      <c r="D1621" s="6" t="s">
        <v>155</v>
      </c>
      <c r="E1621" s="6" t="s">
        <v>1285</v>
      </c>
      <c r="F1621" s="6" t="s">
        <v>1986</v>
      </c>
      <c r="G1621" s="6">
        <v>73.6</v>
      </c>
      <c r="H1621" s="6">
        <v>73.53</v>
      </c>
      <c r="I1621" s="6">
        <v>102</v>
      </c>
      <c r="J1621" s="6">
        <v>3000</v>
      </c>
      <c r="K1621" s="7">
        <f>(J1621-M1621)*税费参数!$B$12/(I1621*10000*(1+SUM(税费参数!$B$6:$B$8)))</f>
        <v>0.0266699900299103</v>
      </c>
      <c r="L1621" s="7">
        <f>J1621*税费参数!$B$12/(I1621*10000)</f>
        <v>0.0294117647058824</v>
      </c>
      <c r="M1621" s="6">
        <f>I1621*10000*SUM(税费参数!$B$9:$B$10)/税费参数!$B$11</f>
        <v>191.25</v>
      </c>
    </row>
    <row r="1622" ht="21" customHeight="1" spans="1:13">
      <c r="A1622" s="5" t="s">
        <v>16</v>
      </c>
      <c r="B1622" s="6" t="s">
        <v>116</v>
      </c>
      <c r="C1622" s="6" t="s">
        <v>157</v>
      </c>
      <c r="D1622" s="6" t="s">
        <v>155</v>
      </c>
      <c r="E1622" s="6" t="s">
        <v>1285</v>
      </c>
      <c r="F1622" s="6" t="s">
        <v>1987</v>
      </c>
      <c r="G1622" s="6">
        <v>73.6</v>
      </c>
      <c r="H1622" s="6">
        <v>73.6</v>
      </c>
      <c r="I1622" s="6">
        <v>102</v>
      </c>
      <c r="J1622" s="6">
        <v>3600</v>
      </c>
      <c r="K1622" s="7">
        <f>(J1622-M1622)*税费参数!$B$12/(I1622*10000*(1+SUM(税费参数!$B$6:$B$8)))</f>
        <v>0.0323671841618003</v>
      </c>
      <c r="L1622" s="7">
        <f>J1622*税费参数!$B$12/(I1622*10000)</f>
        <v>0.0352941176470588</v>
      </c>
      <c r="M1622" s="6">
        <f>I1622*10000*SUM(税费参数!$B$9:$B$10)/税费参数!$B$11</f>
        <v>191.25</v>
      </c>
    </row>
    <row r="1623" ht="21" customHeight="1" spans="1:13">
      <c r="A1623" s="5" t="s">
        <v>16</v>
      </c>
      <c r="B1623" s="6" t="s">
        <v>116</v>
      </c>
      <c r="C1623" s="6" t="s">
        <v>157</v>
      </c>
      <c r="D1623" s="6" t="s">
        <v>155</v>
      </c>
      <c r="E1623" s="6" t="s">
        <v>1275</v>
      </c>
      <c r="F1623" s="6" t="s">
        <v>1983</v>
      </c>
      <c r="G1623" s="6">
        <v>73.6</v>
      </c>
      <c r="H1623" s="6">
        <v>70.08</v>
      </c>
      <c r="I1623" s="6">
        <v>105</v>
      </c>
      <c r="J1623" s="6">
        <v>4320</v>
      </c>
      <c r="K1623" s="7">
        <f>(J1623-M1623)*税费参数!$B$12/(I1623*10000*(1+SUM(税费参数!$B$6:$B$8)))</f>
        <v>0.038031822898651</v>
      </c>
      <c r="L1623" s="7">
        <f>J1623*税费参数!$B$12/(I1623*10000)</f>
        <v>0.0411428571428571</v>
      </c>
      <c r="M1623" s="6">
        <f>I1623*10000*SUM(税费参数!$B$9:$B$10)/税费参数!$B$11</f>
        <v>196.875</v>
      </c>
    </row>
    <row r="1624" ht="21" customHeight="1" spans="1:13">
      <c r="A1624" s="5" t="s">
        <v>16</v>
      </c>
      <c r="B1624" s="6" t="s">
        <v>116</v>
      </c>
      <c r="C1624" s="6" t="s">
        <v>157</v>
      </c>
      <c r="D1624" s="6" t="s">
        <v>155</v>
      </c>
      <c r="E1624" s="6" t="s">
        <v>1275</v>
      </c>
      <c r="F1624" s="6" t="s">
        <v>1984</v>
      </c>
      <c r="G1624" s="6">
        <v>73.6</v>
      </c>
      <c r="H1624" s="6">
        <v>70.09</v>
      </c>
      <c r="I1624" s="6">
        <v>105</v>
      </c>
      <c r="J1624" s="6">
        <v>2500</v>
      </c>
      <c r="K1624" s="7">
        <f>(J1624-M1624)*税费参数!$B$12/(I1624*10000*(1+SUM(税费参数!$B$6:$B$8)))</f>
        <v>0.0212440908566817</v>
      </c>
      <c r="L1624" s="7">
        <f>J1624*税费参数!$B$12/(I1624*10000)</f>
        <v>0.0238095238095238</v>
      </c>
      <c r="M1624" s="6">
        <f>I1624*10000*SUM(税费参数!$B$9:$B$10)/税费参数!$B$11</f>
        <v>196.875</v>
      </c>
    </row>
    <row r="1625" ht="21" customHeight="1" spans="1:13">
      <c r="A1625" s="5" t="s">
        <v>16</v>
      </c>
      <c r="B1625" s="6" t="s">
        <v>116</v>
      </c>
      <c r="C1625" s="6" t="s">
        <v>157</v>
      </c>
      <c r="D1625" s="6" t="s">
        <v>155</v>
      </c>
      <c r="E1625" s="6" t="s">
        <v>1275</v>
      </c>
      <c r="F1625" s="6" t="s">
        <v>1985</v>
      </c>
      <c r="G1625" s="6">
        <v>73.6</v>
      </c>
      <c r="H1625" s="6">
        <v>63</v>
      </c>
      <c r="I1625" s="6">
        <v>105</v>
      </c>
      <c r="J1625" s="6">
        <v>2400</v>
      </c>
      <c r="K1625" s="7">
        <f>(J1625-M1625)*税费参数!$B$12/(I1625*10000*(1+SUM(税费参数!$B$6:$B$8)))</f>
        <v>0.0203216879972328</v>
      </c>
      <c r="L1625" s="7">
        <f>J1625*税费参数!$B$12/(I1625*10000)</f>
        <v>0.0228571428571429</v>
      </c>
      <c r="M1625" s="6">
        <f>I1625*10000*SUM(税费参数!$B$9:$B$10)/税费参数!$B$11</f>
        <v>196.875</v>
      </c>
    </row>
    <row r="1626" ht="21" customHeight="1" spans="1:13">
      <c r="A1626" s="5" t="s">
        <v>16</v>
      </c>
      <c r="B1626" s="6" t="s">
        <v>116</v>
      </c>
      <c r="C1626" s="6" t="s">
        <v>157</v>
      </c>
      <c r="D1626" s="6" t="s">
        <v>155</v>
      </c>
      <c r="E1626" s="6" t="s">
        <v>1275</v>
      </c>
      <c r="F1626" s="6" t="s">
        <v>1986</v>
      </c>
      <c r="G1626" s="6">
        <v>73.6</v>
      </c>
      <c r="H1626" s="6">
        <v>73.53</v>
      </c>
      <c r="I1626" s="6">
        <v>105</v>
      </c>
      <c r="J1626" s="6">
        <v>3000</v>
      </c>
      <c r="K1626" s="7">
        <f>(J1626-M1626)*税费参数!$B$12/(I1626*10000*(1+SUM(税费参数!$B$6:$B$8)))</f>
        <v>0.025856105153926</v>
      </c>
      <c r="L1626" s="7">
        <f>J1626*税费参数!$B$12/(I1626*10000)</f>
        <v>0.0285714285714286</v>
      </c>
      <c r="M1626" s="6">
        <f>I1626*10000*SUM(税费参数!$B$9:$B$10)/税费参数!$B$11</f>
        <v>196.875</v>
      </c>
    </row>
    <row r="1627" ht="21" customHeight="1" spans="1:13">
      <c r="A1627" s="5" t="s">
        <v>16</v>
      </c>
      <c r="B1627" s="6" t="s">
        <v>116</v>
      </c>
      <c r="C1627" s="6" t="s">
        <v>157</v>
      </c>
      <c r="D1627" s="6" t="s">
        <v>155</v>
      </c>
      <c r="E1627" s="6" t="s">
        <v>1275</v>
      </c>
      <c r="F1627" s="6" t="s">
        <v>1987</v>
      </c>
      <c r="G1627" s="6">
        <v>73.6</v>
      </c>
      <c r="H1627" s="6">
        <v>73.6</v>
      </c>
      <c r="I1627" s="6">
        <v>105</v>
      </c>
      <c r="J1627" s="6">
        <v>3600</v>
      </c>
      <c r="K1627" s="7">
        <f>(J1627-M1627)*税费参数!$B$12/(I1627*10000*(1+SUM(税费参数!$B$6:$B$8)))</f>
        <v>0.0313905223106192</v>
      </c>
      <c r="L1627" s="7">
        <f>J1627*税费参数!$B$12/(I1627*10000)</f>
        <v>0.0342857142857143</v>
      </c>
      <c r="M1627" s="6">
        <f>I1627*10000*SUM(税费参数!$B$9:$B$10)/税费参数!$B$11</f>
        <v>196.875</v>
      </c>
    </row>
    <row r="1628" ht="21" customHeight="1" spans="1:13">
      <c r="A1628" s="5" t="s">
        <v>16</v>
      </c>
      <c r="B1628" s="6" t="s">
        <v>122</v>
      </c>
      <c r="C1628" s="6" t="s">
        <v>159</v>
      </c>
      <c r="D1628" s="6" t="s">
        <v>160</v>
      </c>
      <c r="E1628" s="6" t="s">
        <v>1351</v>
      </c>
      <c r="F1628" s="6" t="s">
        <v>1988</v>
      </c>
      <c r="G1628" s="6">
        <v>21.69</v>
      </c>
      <c r="H1628" s="6">
        <v>21.69</v>
      </c>
      <c r="I1628" s="6">
        <v>83</v>
      </c>
      <c r="J1628" s="6">
        <v>1300</v>
      </c>
      <c r="K1628" s="7">
        <f>(J1628-M1628)*税费参数!$B$12/(I1628*10000*(1+SUM(税费参数!$B$6:$B$8)))</f>
        <v>0.0133536567577817</v>
      </c>
      <c r="L1628" s="7">
        <f>J1628*税费参数!$B$12/(I1628*10000)</f>
        <v>0.0156626506024096</v>
      </c>
      <c r="M1628" s="6">
        <f>I1628*10000*SUM(税费参数!$B$9:$B$10)/税费参数!$B$11</f>
        <v>155.625</v>
      </c>
    </row>
    <row r="1629" ht="21" customHeight="1" spans="1:13">
      <c r="A1629" s="5" t="s">
        <v>16</v>
      </c>
      <c r="B1629" s="6" t="s">
        <v>122</v>
      </c>
      <c r="C1629" s="6" t="s">
        <v>159</v>
      </c>
      <c r="D1629" s="6" t="s">
        <v>160</v>
      </c>
      <c r="E1629" s="6" t="s">
        <v>1385</v>
      </c>
      <c r="F1629" s="6" t="s">
        <v>1988</v>
      </c>
      <c r="G1629" s="6">
        <v>21.69</v>
      </c>
      <c r="H1629" s="6">
        <v>21.69</v>
      </c>
      <c r="I1629" s="6">
        <v>79</v>
      </c>
      <c r="J1629" s="6">
        <v>1300</v>
      </c>
      <c r="K1629" s="7">
        <f>(J1629-M1629)*税费参数!$B$12/(I1629*10000*(1+SUM(税费参数!$B$6:$B$8)))</f>
        <v>0.0141217396634689</v>
      </c>
      <c r="L1629" s="7">
        <f>J1629*税费参数!$B$12/(I1629*10000)</f>
        <v>0.0164556962025316</v>
      </c>
      <c r="M1629" s="6">
        <f>I1629*10000*SUM(税费参数!$B$9:$B$10)/税费参数!$B$11</f>
        <v>148.125</v>
      </c>
    </row>
    <row r="1630" ht="21" customHeight="1" spans="1:13">
      <c r="A1630" s="5" t="s">
        <v>16</v>
      </c>
      <c r="B1630" s="6" t="s">
        <v>122</v>
      </c>
      <c r="C1630" s="6" t="s">
        <v>159</v>
      </c>
      <c r="D1630" s="6" t="s">
        <v>160</v>
      </c>
      <c r="E1630" s="6" t="s">
        <v>1365</v>
      </c>
      <c r="F1630" s="6" t="s">
        <v>1989</v>
      </c>
      <c r="G1630" s="6">
        <v>33.85</v>
      </c>
      <c r="H1630" s="6">
        <v>29.4</v>
      </c>
      <c r="I1630" s="6">
        <v>99</v>
      </c>
      <c r="J1630" s="6">
        <v>1500</v>
      </c>
      <c r="K1630" s="7">
        <f>(J1630-M1630)*税费参数!$B$12/(I1630*10000*(1+SUM(税费参数!$B$6:$B$8)))</f>
        <v>0.0128586103162374</v>
      </c>
      <c r="L1630" s="7">
        <f>J1630*税费参数!$B$12/(I1630*10000)</f>
        <v>0.0151515151515152</v>
      </c>
      <c r="M1630" s="6">
        <f>I1630*10000*SUM(税费参数!$B$9:$B$10)/税费参数!$B$11</f>
        <v>185.625</v>
      </c>
    </row>
    <row r="1631" ht="21" customHeight="1" spans="1:13">
      <c r="A1631" s="5" t="s">
        <v>16</v>
      </c>
      <c r="B1631" s="6" t="s">
        <v>122</v>
      </c>
      <c r="C1631" s="6" t="s">
        <v>159</v>
      </c>
      <c r="D1631" s="6" t="s">
        <v>160</v>
      </c>
      <c r="E1631" s="6" t="s">
        <v>1365</v>
      </c>
      <c r="F1631" s="6" t="s">
        <v>1990</v>
      </c>
      <c r="G1631" s="6">
        <v>33.85</v>
      </c>
      <c r="H1631" s="6">
        <v>29.14</v>
      </c>
      <c r="I1631" s="6">
        <v>99</v>
      </c>
      <c r="J1631" s="6">
        <v>1380</v>
      </c>
      <c r="K1631" s="7">
        <f>(J1631-M1631)*税费参数!$B$12/(I1631*10000*(1+SUM(税费参数!$B$6:$B$8)))</f>
        <v>0.0116846430405752</v>
      </c>
      <c r="L1631" s="7">
        <f>J1631*税费参数!$B$12/(I1631*10000)</f>
        <v>0.0139393939393939</v>
      </c>
      <c r="M1631" s="6">
        <f>I1631*10000*SUM(税费参数!$B$9:$B$10)/税费参数!$B$11</f>
        <v>185.625</v>
      </c>
    </row>
    <row r="1632" ht="21" customHeight="1" spans="1:13">
      <c r="A1632" s="5" t="s">
        <v>16</v>
      </c>
      <c r="B1632" s="6" t="s">
        <v>122</v>
      </c>
      <c r="C1632" s="6" t="s">
        <v>159</v>
      </c>
      <c r="D1632" s="6" t="s">
        <v>160</v>
      </c>
      <c r="E1632" s="6" t="s">
        <v>1365</v>
      </c>
      <c r="F1632" s="6" t="s">
        <v>1991</v>
      </c>
      <c r="G1632" s="6">
        <v>33.85</v>
      </c>
      <c r="H1632" s="6">
        <v>33.42</v>
      </c>
      <c r="I1632" s="6">
        <v>99</v>
      </c>
      <c r="J1632" s="6">
        <v>1700</v>
      </c>
      <c r="K1632" s="7">
        <f>(J1632-M1632)*税费参数!$B$12/(I1632*10000*(1+SUM(税费参数!$B$6:$B$8)))</f>
        <v>0.0148152224423411</v>
      </c>
      <c r="L1632" s="7">
        <f>J1632*税费参数!$B$12/(I1632*10000)</f>
        <v>0.0171717171717172</v>
      </c>
      <c r="M1632" s="6">
        <f>I1632*10000*SUM(税费参数!$B$9:$B$10)/税费参数!$B$11</f>
        <v>185.625</v>
      </c>
    </row>
    <row r="1633" ht="21" customHeight="1" spans="1:13">
      <c r="A1633" s="5" t="s">
        <v>16</v>
      </c>
      <c r="B1633" s="6" t="s">
        <v>122</v>
      </c>
      <c r="C1633" s="6" t="s">
        <v>159</v>
      </c>
      <c r="D1633" s="6" t="s">
        <v>160</v>
      </c>
      <c r="E1633" s="6" t="s">
        <v>1365</v>
      </c>
      <c r="F1633" s="6" t="s">
        <v>1992</v>
      </c>
      <c r="G1633" s="6">
        <v>33.85</v>
      </c>
      <c r="H1633" s="6">
        <v>34.25</v>
      </c>
      <c r="I1633" s="6">
        <v>99</v>
      </c>
      <c r="J1633" s="6">
        <v>1850</v>
      </c>
      <c r="K1633" s="7">
        <f>(J1633-M1633)*税费参数!$B$12/(I1633*10000*(1+SUM(税费参数!$B$6:$B$8)))</f>
        <v>0.0162826815369188</v>
      </c>
      <c r="L1633" s="7">
        <f>J1633*税费参数!$B$12/(I1633*10000)</f>
        <v>0.0186868686868687</v>
      </c>
      <c r="M1633" s="6">
        <f>I1633*10000*SUM(税费参数!$B$9:$B$10)/税费参数!$B$11</f>
        <v>185.625</v>
      </c>
    </row>
    <row r="1634" ht="21" customHeight="1" spans="1:13">
      <c r="A1634" s="5" t="s">
        <v>16</v>
      </c>
      <c r="B1634" s="6" t="s">
        <v>122</v>
      </c>
      <c r="C1634" s="6" t="s">
        <v>159</v>
      </c>
      <c r="D1634" s="6" t="s">
        <v>160</v>
      </c>
      <c r="E1634" s="6" t="s">
        <v>1365</v>
      </c>
      <c r="F1634" s="6" t="s">
        <v>1993</v>
      </c>
      <c r="G1634" s="6">
        <v>33.85</v>
      </c>
      <c r="H1634" s="6">
        <v>34.34</v>
      </c>
      <c r="I1634" s="6">
        <v>99</v>
      </c>
      <c r="J1634" s="6">
        <v>1750</v>
      </c>
      <c r="K1634" s="7">
        <f>(J1634-M1634)*税费参数!$B$12/(I1634*10000*(1+SUM(税费参数!$B$6:$B$8)))</f>
        <v>0.015304375473867</v>
      </c>
      <c r="L1634" s="7">
        <f>J1634*税费参数!$B$12/(I1634*10000)</f>
        <v>0.0176767676767677</v>
      </c>
      <c r="M1634" s="6">
        <f>I1634*10000*SUM(税费参数!$B$9:$B$10)/税费参数!$B$11</f>
        <v>185.625</v>
      </c>
    </row>
    <row r="1635" ht="21" customHeight="1" spans="1:13">
      <c r="A1635" s="5" t="s">
        <v>16</v>
      </c>
      <c r="B1635" s="6" t="s">
        <v>122</v>
      </c>
      <c r="C1635" s="6" t="s">
        <v>159</v>
      </c>
      <c r="D1635" s="6" t="s">
        <v>160</v>
      </c>
      <c r="E1635" s="6" t="s">
        <v>1365</v>
      </c>
      <c r="F1635" s="6" t="s">
        <v>1994</v>
      </c>
      <c r="G1635" s="6">
        <v>33.85</v>
      </c>
      <c r="H1635" s="6">
        <v>29.05</v>
      </c>
      <c r="I1635" s="6">
        <v>99</v>
      </c>
      <c r="J1635" s="6">
        <v>1500</v>
      </c>
      <c r="K1635" s="7">
        <f>(J1635-M1635)*税费参数!$B$12/(I1635*10000*(1+SUM(税费参数!$B$6:$B$8)))</f>
        <v>0.0128586103162374</v>
      </c>
      <c r="L1635" s="7">
        <f>J1635*税费参数!$B$12/(I1635*10000)</f>
        <v>0.0151515151515152</v>
      </c>
      <c r="M1635" s="6">
        <f>I1635*10000*SUM(税费参数!$B$9:$B$10)/税费参数!$B$11</f>
        <v>185.625</v>
      </c>
    </row>
    <row r="1636" ht="21" customHeight="1" spans="1:13">
      <c r="A1636" s="5" t="s">
        <v>16</v>
      </c>
      <c r="B1636" s="6" t="s">
        <v>122</v>
      </c>
      <c r="C1636" s="6" t="s">
        <v>159</v>
      </c>
      <c r="D1636" s="6" t="s">
        <v>160</v>
      </c>
      <c r="E1636" s="6" t="s">
        <v>1365</v>
      </c>
      <c r="F1636" s="6" t="s">
        <v>1995</v>
      </c>
      <c r="G1636" s="6">
        <v>33.85</v>
      </c>
      <c r="H1636" s="6">
        <v>29.14</v>
      </c>
      <c r="I1636" s="6">
        <v>99</v>
      </c>
      <c r="J1636" s="6">
        <v>1550</v>
      </c>
      <c r="K1636" s="7">
        <f>(J1636-M1636)*税费参数!$B$12/(I1636*10000*(1+SUM(税费参数!$B$6:$B$8)))</f>
        <v>0.0133477633477633</v>
      </c>
      <c r="L1636" s="7">
        <f>J1636*税费参数!$B$12/(I1636*10000)</f>
        <v>0.0156565656565657</v>
      </c>
      <c r="M1636" s="6">
        <f>I1636*10000*SUM(税费参数!$B$9:$B$10)/税费参数!$B$11</f>
        <v>185.625</v>
      </c>
    </row>
    <row r="1637" ht="21" customHeight="1" spans="1:13">
      <c r="A1637" s="5" t="s">
        <v>16</v>
      </c>
      <c r="B1637" s="6" t="s">
        <v>122</v>
      </c>
      <c r="C1637" s="6" t="s">
        <v>159</v>
      </c>
      <c r="D1637" s="6" t="s">
        <v>160</v>
      </c>
      <c r="E1637" s="6" t="s">
        <v>1365</v>
      </c>
      <c r="F1637" s="6" t="s">
        <v>1996</v>
      </c>
      <c r="G1637" s="6">
        <v>33.85</v>
      </c>
      <c r="H1637" s="6">
        <v>33.44</v>
      </c>
      <c r="I1637" s="6">
        <v>99</v>
      </c>
      <c r="J1637" s="6">
        <v>1700</v>
      </c>
      <c r="K1637" s="7">
        <f>(J1637-M1637)*税费参数!$B$12/(I1637*10000*(1+SUM(税费参数!$B$6:$B$8)))</f>
        <v>0.0148152224423411</v>
      </c>
      <c r="L1637" s="7">
        <f>J1637*税费参数!$B$12/(I1637*10000)</f>
        <v>0.0171717171717172</v>
      </c>
      <c r="M1637" s="6">
        <f>I1637*10000*SUM(税费参数!$B$9:$B$10)/税费参数!$B$11</f>
        <v>185.625</v>
      </c>
    </row>
    <row r="1638" ht="21" customHeight="1" spans="1:13">
      <c r="A1638" s="5" t="s">
        <v>16</v>
      </c>
      <c r="B1638" s="6" t="s">
        <v>122</v>
      </c>
      <c r="C1638" s="6" t="s">
        <v>159</v>
      </c>
      <c r="D1638" s="6" t="s">
        <v>160</v>
      </c>
      <c r="E1638" s="6" t="s">
        <v>1353</v>
      </c>
      <c r="F1638" s="6" t="s">
        <v>1989</v>
      </c>
      <c r="G1638" s="6">
        <v>29.14</v>
      </c>
      <c r="H1638" s="6">
        <v>29.4</v>
      </c>
      <c r="I1638" s="6">
        <v>113</v>
      </c>
      <c r="J1638" s="6">
        <v>1500</v>
      </c>
      <c r="K1638" s="7">
        <f>(J1638-M1638)*税费参数!$B$12/(I1638*10000*(1+SUM(税费参数!$B$6:$B$8)))</f>
        <v>0.0110405194026013</v>
      </c>
      <c r="L1638" s="7">
        <f>J1638*税费参数!$B$12/(I1638*10000)</f>
        <v>0.0132743362831858</v>
      </c>
      <c r="M1638" s="6">
        <f>I1638*10000*SUM(税费参数!$B$9:$B$10)/税费参数!$B$11</f>
        <v>211.875</v>
      </c>
    </row>
    <row r="1639" ht="21" customHeight="1" spans="1:13">
      <c r="A1639" s="5" t="s">
        <v>16</v>
      </c>
      <c r="B1639" s="6" t="s">
        <v>122</v>
      </c>
      <c r="C1639" s="6" t="s">
        <v>159</v>
      </c>
      <c r="D1639" s="6" t="s">
        <v>160</v>
      </c>
      <c r="E1639" s="6" t="s">
        <v>1353</v>
      </c>
      <c r="F1639" s="6" t="s">
        <v>1990</v>
      </c>
      <c r="G1639" s="6">
        <v>29.14</v>
      </c>
      <c r="H1639" s="6">
        <v>29.14</v>
      </c>
      <c r="I1639" s="6">
        <v>113</v>
      </c>
      <c r="J1639" s="6">
        <v>1380</v>
      </c>
      <c r="K1639" s="7">
        <f>(J1639-M1639)*税费参数!$B$12/(I1639*10000*(1+SUM(税费参数!$B$6:$B$8)))</f>
        <v>0.01001199940003</v>
      </c>
      <c r="L1639" s="7">
        <f>J1639*税费参数!$B$12/(I1639*10000)</f>
        <v>0.012212389380531</v>
      </c>
      <c r="M1639" s="6">
        <f>I1639*10000*SUM(税费参数!$B$9:$B$10)/税费参数!$B$11</f>
        <v>211.875</v>
      </c>
    </row>
    <row r="1640" ht="21" customHeight="1" spans="1:13">
      <c r="A1640" s="5" t="s">
        <v>16</v>
      </c>
      <c r="B1640" s="6" t="s">
        <v>122</v>
      </c>
      <c r="C1640" s="6" t="s">
        <v>159</v>
      </c>
      <c r="D1640" s="6" t="s">
        <v>160</v>
      </c>
      <c r="E1640" s="6" t="s">
        <v>1353</v>
      </c>
      <c r="F1640" s="6" t="s">
        <v>1991</v>
      </c>
      <c r="G1640" s="6">
        <v>29.14</v>
      </c>
      <c r="H1640" s="6">
        <v>33.42</v>
      </c>
      <c r="I1640" s="6">
        <v>113</v>
      </c>
      <c r="J1640" s="6">
        <v>1700</v>
      </c>
      <c r="K1640" s="7">
        <f>(J1640-M1640)*税费参数!$B$12/(I1640*10000*(1+SUM(税费参数!$B$6:$B$8)))</f>
        <v>0.0127547194068868</v>
      </c>
      <c r="L1640" s="7">
        <f>J1640*税费参数!$B$12/(I1640*10000)</f>
        <v>0.0150442477876106</v>
      </c>
      <c r="M1640" s="6">
        <f>I1640*10000*SUM(税费参数!$B$9:$B$10)/税费参数!$B$11</f>
        <v>211.875</v>
      </c>
    </row>
    <row r="1641" ht="21" customHeight="1" spans="1:13">
      <c r="A1641" s="5" t="s">
        <v>16</v>
      </c>
      <c r="B1641" s="6" t="s">
        <v>122</v>
      </c>
      <c r="C1641" s="6" t="s">
        <v>159</v>
      </c>
      <c r="D1641" s="6" t="s">
        <v>160</v>
      </c>
      <c r="E1641" s="6" t="s">
        <v>1353</v>
      </c>
      <c r="F1641" s="6" t="s">
        <v>1997</v>
      </c>
      <c r="G1641" s="6">
        <v>29.14</v>
      </c>
      <c r="H1641" s="6">
        <v>25.51</v>
      </c>
      <c r="I1641" s="6">
        <v>113</v>
      </c>
      <c r="J1641" s="6">
        <v>1500</v>
      </c>
      <c r="K1641" s="7">
        <f>(J1641-M1641)*税费参数!$B$12/(I1641*10000*(1+SUM(税费参数!$B$6:$B$8)))</f>
        <v>0.0110405194026013</v>
      </c>
      <c r="L1641" s="7">
        <f>J1641*税费参数!$B$12/(I1641*10000)</f>
        <v>0.0132743362831858</v>
      </c>
      <c r="M1641" s="6">
        <f>I1641*10000*SUM(税费参数!$B$9:$B$10)/税费参数!$B$11</f>
        <v>211.875</v>
      </c>
    </row>
    <row r="1642" ht="21" customHeight="1" spans="1:13">
      <c r="A1642" s="5" t="s">
        <v>16</v>
      </c>
      <c r="B1642" s="6" t="s">
        <v>122</v>
      </c>
      <c r="C1642" s="6" t="s">
        <v>159</v>
      </c>
      <c r="D1642" s="6" t="s">
        <v>160</v>
      </c>
      <c r="E1642" s="6" t="s">
        <v>1353</v>
      </c>
      <c r="F1642" s="6" t="s">
        <v>1994</v>
      </c>
      <c r="G1642" s="6">
        <v>29.14</v>
      </c>
      <c r="H1642" s="6">
        <v>29.05</v>
      </c>
      <c r="I1642" s="6">
        <v>113</v>
      </c>
      <c r="J1642" s="6">
        <v>1500</v>
      </c>
      <c r="K1642" s="7">
        <f>(J1642-M1642)*税费参数!$B$12/(I1642*10000*(1+SUM(税费参数!$B$6:$B$8)))</f>
        <v>0.0110405194026013</v>
      </c>
      <c r="L1642" s="7">
        <f>J1642*税费参数!$B$12/(I1642*10000)</f>
        <v>0.0132743362831858</v>
      </c>
      <c r="M1642" s="6">
        <f>I1642*10000*SUM(税费参数!$B$9:$B$10)/税费参数!$B$11</f>
        <v>211.875</v>
      </c>
    </row>
    <row r="1643" ht="21" customHeight="1" spans="1:13">
      <c r="A1643" s="5" t="s">
        <v>16</v>
      </c>
      <c r="B1643" s="6" t="s">
        <v>122</v>
      </c>
      <c r="C1643" s="6" t="s">
        <v>159</v>
      </c>
      <c r="D1643" s="6" t="s">
        <v>160</v>
      </c>
      <c r="E1643" s="6" t="s">
        <v>1353</v>
      </c>
      <c r="F1643" s="6" t="s">
        <v>1995</v>
      </c>
      <c r="G1643" s="6">
        <v>29.14</v>
      </c>
      <c r="H1643" s="6">
        <v>29.14</v>
      </c>
      <c r="I1643" s="6">
        <v>113</v>
      </c>
      <c r="J1643" s="6">
        <v>1550</v>
      </c>
      <c r="K1643" s="7">
        <f>(J1643-M1643)*税费参数!$B$12/(I1643*10000*(1+SUM(税费参数!$B$6:$B$8)))</f>
        <v>0.0114690694036727</v>
      </c>
      <c r="L1643" s="7">
        <f>J1643*税费参数!$B$12/(I1643*10000)</f>
        <v>0.013716814159292</v>
      </c>
      <c r="M1643" s="6">
        <f>I1643*10000*SUM(税费参数!$B$9:$B$10)/税费参数!$B$11</f>
        <v>211.875</v>
      </c>
    </row>
    <row r="1644" ht="21" customHeight="1" spans="1:13">
      <c r="A1644" s="5" t="s">
        <v>16</v>
      </c>
      <c r="B1644" s="6" t="s">
        <v>122</v>
      </c>
      <c r="C1644" s="6" t="s">
        <v>159</v>
      </c>
      <c r="D1644" s="6" t="s">
        <v>160</v>
      </c>
      <c r="E1644" s="6" t="s">
        <v>1353</v>
      </c>
      <c r="F1644" s="6" t="s">
        <v>1996</v>
      </c>
      <c r="G1644" s="6">
        <v>29.14</v>
      </c>
      <c r="H1644" s="6">
        <v>33.44</v>
      </c>
      <c r="I1644" s="6">
        <v>113</v>
      </c>
      <c r="J1644" s="6">
        <v>1700</v>
      </c>
      <c r="K1644" s="7">
        <f>(J1644-M1644)*税费参数!$B$12/(I1644*10000*(1+SUM(税费参数!$B$6:$B$8)))</f>
        <v>0.0127547194068868</v>
      </c>
      <c r="L1644" s="7">
        <f>J1644*税费参数!$B$12/(I1644*10000)</f>
        <v>0.0150442477876106</v>
      </c>
      <c r="M1644" s="6">
        <f>I1644*10000*SUM(税费参数!$B$9:$B$10)/税费参数!$B$11</f>
        <v>211.875</v>
      </c>
    </row>
    <row r="1645" ht="21" customHeight="1" spans="1:13">
      <c r="A1645" s="5" t="s">
        <v>16</v>
      </c>
      <c r="B1645" s="6" t="s">
        <v>122</v>
      </c>
      <c r="C1645" s="6" t="s">
        <v>159</v>
      </c>
      <c r="D1645" s="6" t="s">
        <v>160</v>
      </c>
      <c r="E1645" s="6" t="s">
        <v>1361</v>
      </c>
      <c r="F1645" s="6" t="s">
        <v>1989</v>
      </c>
      <c r="G1645" s="6">
        <v>33.42</v>
      </c>
      <c r="H1645" s="6">
        <v>29.4</v>
      </c>
      <c r="I1645" s="6">
        <v>112</v>
      </c>
      <c r="J1645" s="6">
        <v>1500</v>
      </c>
      <c r="K1645" s="7">
        <f>(J1645-M1645)*税费参数!$B$12/(I1645*10000*(1+SUM(税费参数!$B$6:$B$8)))</f>
        <v>0.0111553095814597</v>
      </c>
      <c r="L1645" s="7">
        <f>J1645*税费参数!$B$12/(I1645*10000)</f>
        <v>0.0133928571428571</v>
      </c>
      <c r="M1645" s="6">
        <f>I1645*10000*SUM(税费参数!$B$9:$B$10)/税费参数!$B$11</f>
        <v>210</v>
      </c>
    </row>
    <row r="1646" ht="21" customHeight="1" spans="1:13">
      <c r="A1646" s="5" t="s">
        <v>16</v>
      </c>
      <c r="B1646" s="6" t="s">
        <v>122</v>
      </c>
      <c r="C1646" s="6" t="s">
        <v>159</v>
      </c>
      <c r="D1646" s="6" t="s">
        <v>160</v>
      </c>
      <c r="E1646" s="6" t="s">
        <v>1361</v>
      </c>
      <c r="F1646" s="6" t="s">
        <v>1990</v>
      </c>
      <c r="G1646" s="6">
        <v>33.42</v>
      </c>
      <c r="H1646" s="6">
        <v>29.14</v>
      </c>
      <c r="I1646" s="6">
        <v>112</v>
      </c>
      <c r="J1646" s="6">
        <v>1380</v>
      </c>
      <c r="K1646" s="7">
        <f>(J1646-M1646)*税费参数!$B$12/(I1646*10000*(1+SUM(税费参数!$B$6:$B$8)))</f>
        <v>0.0101176063645797</v>
      </c>
      <c r="L1646" s="7">
        <f>J1646*税费参数!$B$12/(I1646*10000)</f>
        <v>0.0123214285714286</v>
      </c>
      <c r="M1646" s="6">
        <f>I1646*10000*SUM(税费参数!$B$9:$B$10)/税费参数!$B$11</f>
        <v>210</v>
      </c>
    </row>
    <row r="1647" ht="21" customHeight="1" spans="1:13">
      <c r="A1647" s="5" t="s">
        <v>16</v>
      </c>
      <c r="B1647" s="6" t="s">
        <v>122</v>
      </c>
      <c r="C1647" s="6" t="s">
        <v>159</v>
      </c>
      <c r="D1647" s="6" t="s">
        <v>160</v>
      </c>
      <c r="E1647" s="6" t="s">
        <v>1361</v>
      </c>
      <c r="F1647" s="6" t="s">
        <v>1991</v>
      </c>
      <c r="G1647" s="6">
        <v>33.42</v>
      </c>
      <c r="H1647" s="6">
        <v>33.42</v>
      </c>
      <c r="I1647" s="6">
        <v>112</v>
      </c>
      <c r="J1647" s="6">
        <v>1700</v>
      </c>
      <c r="K1647" s="7">
        <f>(J1647-M1647)*税费参数!$B$12/(I1647*10000*(1+SUM(税费参数!$B$6:$B$8)))</f>
        <v>0.0128848149429263</v>
      </c>
      <c r="L1647" s="7">
        <f>J1647*税费参数!$B$12/(I1647*10000)</f>
        <v>0.0151785714285714</v>
      </c>
      <c r="M1647" s="6">
        <f>I1647*10000*SUM(税费参数!$B$9:$B$10)/税费参数!$B$11</f>
        <v>210</v>
      </c>
    </row>
    <row r="1648" ht="21" customHeight="1" spans="1:13">
      <c r="A1648" s="5" t="s">
        <v>16</v>
      </c>
      <c r="B1648" s="6" t="s">
        <v>122</v>
      </c>
      <c r="C1648" s="6" t="s">
        <v>159</v>
      </c>
      <c r="D1648" s="6" t="s">
        <v>160</v>
      </c>
      <c r="E1648" s="6" t="s">
        <v>1361</v>
      </c>
      <c r="F1648" s="6" t="s">
        <v>1992</v>
      </c>
      <c r="G1648" s="6">
        <v>33.42</v>
      </c>
      <c r="H1648" s="6">
        <v>34.25</v>
      </c>
      <c r="I1648" s="6">
        <v>112</v>
      </c>
      <c r="J1648" s="6">
        <v>1850</v>
      </c>
      <c r="K1648" s="7">
        <f>(J1648-M1648)*税费参数!$B$12/(I1648*10000*(1+SUM(税费参数!$B$6:$B$8)))</f>
        <v>0.0141819439640263</v>
      </c>
      <c r="L1648" s="7">
        <f>J1648*税费参数!$B$12/(I1648*10000)</f>
        <v>0.0165178571428571</v>
      </c>
      <c r="M1648" s="6">
        <f>I1648*10000*SUM(税费参数!$B$9:$B$10)/税费参数!$B$11</f>
        <v>210</v>
      </c>
    </row>
    <row r="1649" ht="21" customHeight="1" spans="1:13">
      <c r="A1649" s="5" t="s">
        <v>16</v>
      </c>
      <c r="B1649" s="6" t="s">
        <v>122</v>
      </c>
      <c r="C1649" s="6" t="s">
        <v>159</v>
      </c>
      <c r="D1649" s="6" t="s">
        <v>160</v>
      </c>
      <c r="E1649" s="6" t="s">
        <v>1361</v>
      </c>
      <c r="F1649" s="6" t="s">
        <v>1993</v>
      </c>
      <c r="G1649" s="6">
        <v>33.42</v>
      </c>
      <c r="H1649" s="6">
        <v>34.34</v>
      </c>
      <c r="I1649" s="6">
        <v>112</v>
      </c>
      <c r="J1649" s="6">
        <v>1750</v>
      </c>
      <c r="K1649" s="7">
        <f>(J1649-M1649)*税费参数!$B$12/(I1649*10000*(1+SUM(税费参数!$B$6:$B$8)))</f>
        <v>0.013317191283293</v>
      </c>
      <c r="L1649" s="7">
        <f>J1649*税费参数!$B$12/(I1649*10000)</f>
        <v>0.015625</v>
      </c>
      <c r="M1649" s="6">
        <f>I1649*10000*SUM(税费参数!$B$9:$B$10)/税费参数!$B$11</f>
        <v>210</v>
      </c>
    </row>
    <row r="1650" ht="21" customHeight="1" spans="1:13">
      <c r="A1650" s="5" t="s">
        <v>16</v>
      </c>
      <c r="B1650" s="6" t="s">
        <v>122</v>
      </c>
      <c r="C1650" s="6" t="s">
        <v>159</v>
      </c>
      <c r="D1650" s="6" t="s">
        <v>160</v>
      </c>
      <c r="E1650" s="6" t="s">
        <v>1361</v>
      </c>
      <c r="F1650" s="6" t="s">
        <v>1994</v>
      </c>
      <c r="G1650" s="6">
        <v>33.42</v>
      </c>
      <c r="H1650" s="6">
        <v>29.05</v>
      </c>
      <c r="I1650" s="6">
        <v>112</v>
      </c>
      <c r="J1650" s="6">
        <v>1500</v>
      </c>
      <c r="K1650" s="7">
        <f>(J1650-M1650)*税费参数!$B$12/(I1650*10000*(1+SUM(税费参数!$B$6:$B$8)))</f>
        <v>0.0111553095814597</v>
      </c>
      <c r="L1650" s="7">
        <f>J1650*税费参数!$B$12/(I1650*10000)</f>
        <v>0.0133928571428571</v>
      </c>
      <c r="M1650" s="6">
        <f>I1650*10000*SUM(税费参数!$B$9:$B$10)/税费参数!$B$11</f>
        <v>210</v>
      </c>
    </row>
    <row r="1651" ht="21" customHeight="1" spans="1:13">
      <c r="A1651" s="5" t="s">
        <v>16</v>
      </c>
      <c r="B1651" s="6" t="s">
        <v>122</v>
      </c>
      <c r="C1651" s="6" t="s">
        <v>159</v>
      </c>
      <c r="D1651" s="6" t="s">
        <v>160</v>
      </c>
      <c r="E1651" s="6" t="s">
        <v>1361</v>
      </c>
      <c r="F1651" s="6" t="s">
        <v>1995</v>
      </c>
      <c r="G1651" s="6">
        <v>33.42</v>
      </c>
      <c r="H1651" s="6">
        <v>29.14</v>
      </c>
      <c r="I1651" s="6">
        <v>112</v>
      </c>
      <c r="J1651" s="6">
        <v>1550</v>
      </c>
      <c r="K1651" s="7">
        <f>(J1651-M1651)*税费参数!$B$12/(I1651*10000*(1+SUM(税费参数!$B$6:$B$8)))</f>
        <v>0.0115876859218264</v>
      </c>
      <c r="L1651" s="7">
        <f>J1651*税费参数!$B$12/(I1651*10000)</f>
        <v>0.0138392857142857</v>
      </c>
      <c r="M1651" s="6">
        <f>I1651*10000*SUM(税费参数!$B$9:$B$10)/税费参数!$B$11</f>
        <v>210</v>
      </c>
    </row>
    <row r="1652" ht="21" customHeight="1" spans="1:13">
      <c r="A1652" s="5" t="s">
        <v>16</v>
      </c>
      <c r="B1652" s="6" t="s">
        <v>122</v>
      </c>
      <c r="C1652" s="6" t="s">
        <v>159</v>
      </c>
      <c r="D1652" s="6" t="s">
        <v>160</v>
      </c>
      <c r="E1652" s="6" t="s">
        <v>1361</v>
      </c>
      <c r="F1652" s="6" t="s">
        <v>1996</v>
      </c>
      <c r="G1652" s="6">
        <v>33.42</v>
      </c>
      <c r="H1652" s="6">
        <v>33.44</v>
      </c>
      <c r="I1652" s="6">
        <v>112</v>
      </c>
      <c r="J1652" s="6">
        <v>1700</v>
      </c>
      <c r="K1652" s="7">
        <f>(J1652-M1652)*税费参数!$B$12/(I1652*10000*(1+SUM(税费参数!$B$6:$B$8)))</f>
        <v>0.0128848149429263</v>
      </c>
      <c r="L1652" s="7">
        <f>J1652*税费参数!$B$12/(I1652*10000)</f>
        <v>0.0151785714285714</v>
      </c>
      <c r="M1652" s="6">
        <f>I1652*10000*SUM(税费参数!$B$9:$B$10)/税费参数!$B$11</f>
        <v>210</v>
      </c>
    </row>
    <row r="1653" ht="21" customHeight="1" spans="1:13">
      <c r="A1653" s="5" t="s">
        <v>16</v>
      </c>
      <c r="B1653" s="6" t="s">
        <v>122</v>
      </c>
      <c r="C1653" s="6" t="s">
        <v>159</v>
      </c>
      <c r="D1653" s="6" t="s">
        <v>160</v>
      </c>
      <c r="E1653" s="6" t="s">
        <v>1373</v>
      </c>
      <c r="F1653" s="6" t="s">
        <v>1989</v>
      </c>
      <c r="G1653" s="6">
        <v>28.27</v>
      </c>
      <c r="H1653" s="6">
        <v>29.4</v>
      </c>
      <c r="I1653" s="6">
        <v>106</v>
      </c>
      <c r="J1653" s="6">
        <v>1500</v>
      </c>
      <c r="K1653" s="7">
        <f>(J1653-M1653)*税费参数!$B$12/(I1653*10000*(1+SUM(税费参数!$B$6:$B$8)))</f>
        <v>0.0118895335556672</v>
      </c>
      <c r="L1653" s="7">
        <f>J1653*税费参数!$B$12/(I1653*10000)</f>
        <v>0.0141509433962264</v>
      </c>
      <c r="M1653" s="6">
        <f>I1653*10000*SUM(税费参数!$B$9:$B$10)/税费参数!$B$11</f>
        <v>198.75</v>
      </c>
    </row>
    <row r="1654" ht="21" customHeight="1" spans="1:13">
      <c r="A1654" s="5" t="s">
        <v>16</v>
      </c>
      <c r="B1654" s="6" t="s">
        <v>122</v>
      </c>
      <c r="C1654" s="6" t="s">
        <v>159</v>
      </c>
      <c r="D1654" s="6" t="s">
        <v>160</v>
      </c>
      <c r="E1654" s="6" t="s">
        <v>1373</v>
      </c>
      <c r="F1654" s="6" t="s">
        <v>1990</v>
      </c>
      <c r="G1654" s="6">
        <v>28.27</v>
      </c>
      <c r="H1654" s="6">
        <v>29.14</v>
      </c>
      <c r="I1654" s="6">
        <v>106</v>
      </c>
      <c r="J1654" s="6">
        <v>1380</v>
      </c>
      <c r="K1654" s="7">
        <f>(J1654-M1654)*税费参数!$B$12/(I1654*10000*(1+SUM(税费参数!$B$6:$B$8)))</f>
        <v>0.0107930924208507</v>
      </c>
      <c r="L1654" s="7">
        <f>J1654*税费参数!$B$12/(I1654*10000)</f>
        <v>0.0130188679245283</v>
      </c>
      <c r="M1654" s="6">
        <f>I1654*10000*SUM(税费参数!$B$9:$B$10)/税费参数!$B$11</f>
        <v>198.75</v>
      </c>
    </row>
    <row r="1655" ht="21" customHeight="1" spans="1:13">
      <c r="A1655" s="5" t="s">
        <v>16</v>
      </c>
      <c r="B1655" s="6" t="s">
        <v>122</v>
      </c>
      <c r="C1655" s="6" t="s">
        <v>159</v>
      </c>
      <c r="D1655" s="6" t="s">
        <v>160</v>
      </c>
      <c r="E1655" s="6" t="s">
        <v>1373</v>
      </c>
      <c r="F1655" s="6" t="s">
        <v>1997</v>
      </c>
      <c r="G1655" s="6">
        <v>28.27</v>
      </c>
      <c r="H1655" s="6">
        <v>25.51</v>
      </c>
      <c r="I1655" s="6">
        <v>106</v>
      </c>
      <c r="J1655" s="6">
        <v>1500</v>
      </c>
      <c r="K1655" s="7">
        <f>(J1655-M1655)*税费参数!$B$12/(I1655*10000*(1+SUM(税费参数!$B$6:$B$8)))</f>
        <v>0.0118895335556672</v>
      </c>
      <c r="L1655" s="7">
        <f>J1655*税费参数!$B$12/(I1655*10000)</f>
        <v>0.0141509433962264</v>
      </c>
      <c r="M1655" s="6">
        <f>I1655*10000*SUM(税费参数!$B$9:$B$10)/税费参数!$B$11</f>
        <v>198.75</v>
      </c>
    </row>
    <row r="1656" ht="21" customHeight="1" spans="1:13">
      <c r="A1656" s="5" t="s">
        <v>16</v>
      </c>
      <c r="B1656" s="6" t="s">
        <v>122</v>
      </c>
      <c r="C1656" s="6" t="s">
        <v>159</v>
      </c>
      <c r="D1656" s="6" t="s">
        <v>160</v>
      </c>
      <c r="E1656" s="6" t="s">
        <v>1373</v>
      </c>
      <c r="F1656" s="6" t="s">
        <v>1994</v>
      </c>
      <c r="G1656" s="6">
        <v>28.27</v>
      </c>
      <c r="H1656" s="6">
        <v>29.05</v>
      </c>
      <c r="I1656" s="6">
        <v>106</v>
      </c>
      <c r="J1656" s="6">
        <v>1500</v>
      </c>
      <c r="K1656" s="7">
        <f>(J1656-M1656)*税费参数!$B$12/(I1656*10000*(1+SUM(税费参数!$B$6:$B$8)))</f>
        <v>0.0118895335556672</v>
      </c>
      <c r="L1656" s="7">
        <f>J1656*税费参数!$B$12/(I1656*10000)</f>
        <v>0.0141509433962264</v>
      </c>
      <c r="M1656" s="6">
        <f>I1656*10000*SUM(税费参数!$B$9:$B$10)/税费参数!$B$11</f>
        <v>198.75</v>
      </c>
    </row>
    <row r="1657" ht="21" customHeight="1" spans="1:13">
      <c r="A1657" s="5" t="s">
        <v>16</v>
      </c>
      <c r="B1657" s="6" t="s">
        <v>122</v>
      </c>
      <c r="C1657" s="6" t="s">
        <v>159</v>
      </c>
      <c r="D1657" s="6" t="s">
        <v>160</v>
      </c>
      <c r="E1657" s="6" t="s">
        <v>1373</v>
      </c>
      <c r="F1657" s="6" t="s">
        <v>1995</v>
      </c>
      <c r="G1657" s="6">
        <v>28.27</v>
      </c>
      <c r="H1657" s="6">
        <v>29.14</v>
      </c>
      <c r="I1657" s="6">
        <v>106</v>
      </c>
      <c r="J1657" s="6">
        <v>1550</v>
      </c>
      <c r="K1657" s="7">
        <f>(J1657-M1657)*税费参数!$B$12/(I1657*10000*(1+SUM(税费参数!$B$6:$B$8)))</f>
        <v>0.0123463840285075</v>
      </c>
      <c r="L1657" s="7">
        <f>J1657*税费参数!$B$12/(I1657*10000)</f>
        <v>0.014622641509434</v>
      </c>
      <c r="M1657" s="6">
        <f>I1657*10000*SUM(税费参数!$B$9:$B$10)/税费参数!$B$11</f>
        <v>198.75</v>
      </c>
    </row>
    <row r="1658" ht="21" customHeight="1" spans="1:13">
      <c r="A1658" s="5" t="s">
        <v>16</v>
      </c>
      <c r="B1658" s="6" t="s">
        <v>122</v>
      </c>
      <c r="C1658" s="6" t="s">
        <v>159</v>
      </c>
      <c r="D1658" s="6" t="s">
        <v>160</v>
      </c>
      <c r="E1658" s="6" t="s">
        <v>1357</v>
      </c>
      <c r="F1658" s="6" t="s">
        <v>1989</v>
      </c>
      <c r="G1658" s="6">
        <v>30.71</v>
      </c>
      <c r="H1658" s="6">
        <v>29.4</v>
      </c>
      <c r="I1658" s="6">
        <v>114.5</v>
      </c>
      <c r="J1658" s="6">
        <v>1500</v>
      </c>
      <c r="K1658" s="7">
        <f>(J1658-M1658)*税费参数!$B$12/(I1658*10000*(1+SUM(税费参数!$B$6:$B$8)))</f>
        <v>0.0108720936379881</v>
      </c>
      <c r="L1658" s="7">
        <f>J1658*税费参数!$B$12/(I1658*10000)</f>
        <v>0.0131004366812227</v>
      </c>
      <c r="M1658" s="6">
        <f>I1658*10000*SUM(税费参数!$B$9:$B$10)/税费参数!$B$11</f>
        <v>214.6875</v>
      </c>
    </row>
    <row r="1659" ht="21" customHeight="1" spans="1:13">
      <c r="A1659" s="5" t="s">
        <v>16</v>
      </c>
      <c r="B1659" s="6" t="s">
        <v>122</v>
      </c>
      <c r="C1659" s="6" t="s">
        <v>159</v>
      </c>
      <c r="D1659" s="6" t="s">
        <v>160</v>
      </c>
      <c r="E1659" s="6" t="s">
        <v>1357</v>
      </c>
      <c r="F1659" s="6" t="s">
        <v>1990</v>
      </c>
      <c r="G1659" s="6">
        <v>30.71</v>
      </c>
      <c r="H1659" s="6">
        <v>29.14</v>
      </c>
      <c r="I1659" s="6">
        <v>114.5</v>
      </c>
      <c r="J1659" s="6">
        <v>1380</v>
      </c>
      <c r="K1659" s="7">
        <f>(J1659-M1659)*税费参数!$B$12/(I1659*10000*(1+SUM(税费参数!$B$6:$B$8)))</f>
        <v>0.00985704769658585</v>
      </c>
      <c r="L1659" s="7">
        <f>J1659*税费参数!$B$12/(I1659*10000)</f>
        <v>0.0120524017467249</v>
      </c>
      <c r="M1659" s="6">
        <f>I1659*10000*SUM(税费参数!$B$9:$B$10)/税费参数!$B$11</f>
        <v>214.6875</v>
      </c>
    </row>
    <row r="1660" ht="21" customHeight="1" spans="1:13">
      <c r="A1660" s="5" t="s">
        <v>16</v>
      </c>
      <c r="B1660" s="6" t="s">
        <v>122</v>
      </c>
      <c r="C1660" s="6" t="s">
        <v>159</v>
      </c>
      <c r="D1660" s="6" t="s">
        <v>160</v>
      </c>
      <c r="E1660" s="6" t="s">
        <v>1357</v>
      </c>
      <c r="F1660" s="6" t="s">
        <v>1991</v>
      </c>
      <c r="G1660" s="6">
        <v>30.71</v>
      </c>
      <c r="H1660" s="6">
        <v>33.42</v>
      </c>
      <c r="I1660" s="6">
        <v>114.5</v>
      </c>
      <c r="J1660" s="6">
        <v>1700</v>
      </c>
      <c r="K1660" s="7">
        <f>(J1660-M1660)*税费参数!$B$12/(I1660*10000*(1+SUM(税费参数!$B$6:$B$8)))</f>
        <v>0.0125638368736585</v>
      </c>
      <c r="L1660" s="7">
        <f>J1660*税费参数!$B$12/(I1660*10000)</f>
        <v>0.0148471615720524</v>
      </c>
      <c r="M1660" s="6">
        <f>I1660*10000*SUM(税费参数!$B$9:$B$10)/税费参数!$B$11</f>
        <v>214.6875</v>
      </c>
    </row>
    <row r="1661" ht="21" customHeight="1" spans="1:13">
      <c r="A1661" s="5" t="s">
        <v>16</v>
      </c>
      <c r="B1661" s="6" t="s">
        <v>122</v>
      </c>
      <c r="C1661" s="6" t="s">
        <v>159</v>
      </c>
      <c r="D1661" s="6" t="s">
        <v>160</v>
      </c>
      <c r="E1661" s="6" t="s">
        <v>1357</v>
      </c>
      <c r="F1661" s="6" t="s">
        <v>1992</v>
      </c>
      <c r="G1661" s="6">
        <v>30.71</v>
      </c>
      <c r="H1661" s="6">
        <v>34.25</v>
      </c>
      <c r="I1661" s="6">
        <v>114.5</v>
      </c>
      <c r="J1661" s="6">
        <v>1850</v>
      </c>
      <c r="K1661" s="7">
        <f>(J1661-M1661)*税费参数!$B$12/(I1661*10000*(1+SUM(税费参数!$B$6:$B$8)))</f>
        <v>0.0138326443004113</v>
      </c>
      <c r="L1661" s="7">
        <f>J1661*税费参数!$B$12/(I1661*10000)</f>
        <v>0.0161572052401747</v>
      </c>
      <c r="M1661" s="6">
        <f>I1661*10000*SUM(税费参数!$B$9:$B$10)/税费参数!$B$11</f>
        <v>214.6875</v>
      </c>
    </row>
    <row r="1662" ht="21" customHeight="1" spans="1:13">
      <c r="A1662" s="5" t="s">
        <v>16</v>
      </c>
      <c r="B1662" s="6" t="s">
        <v>122</v>
      </c>
      <c r="C1662" s="6" t="s">
        <v>159</v>
      </c>
      <c r="D1662" s="6" t="s">
        <v>160</v>
      </c>
      <c r="E1662" s="6" t="s">
        <v>1357</v>
      </c>
      <c r="F1662" s="6" t="s">
        <v>1993</v>
      </c>
      <c r="G1662" s="6">
        <v>30.71</v>
      </c>
      <c r="H1662" s="6">
        <v>34.34</v>
      </c>
      <c r="I1662" s="6">
        <v>114.5</v>
      </c>
      <c r="J1662" s="6">
        <v>1750</v>
      </c>
      <c r="K1662" s="7">
        <f>(J1662-M1662)*税费参数!$B$12/(I1662*10000*(1+SUM(税费参数!$B$6:$B$8)))</f>
        <v>0.0129867726825761</v>
      </c>
      <c r="L1662" s="7">
        <f>J1662*税费参数!$B$12/(I1662*10000)</f>
        <v>0.0152838427947598</v>
      </c>
      <c r="M1662" s="6">
        <f>I1662*10000*SUM(税费参数!$B$9:$B$10)/税费参数!$B$11</f>
        <v>214.6875</v>
      </c>
    </row>
    <row r="1663" ht="21" customHeight="1" spans="1:13">
      <c r="A1663" s="5" t="s">
        <v>16</v>
      </c>
      <c r="B1663" s="6" t="s">
        <v>122</v>
      </c>
      <c r="C1663" s="6" t="s">
        <v>159</v>
      </c>
      <c r="D1663" s="6" t="s">
        <v>160</v>
      </c>
      <c r="E1663" s="6" t="s">
        <v>1357</v>
      </c>
      <c r="F1663" s="6" t="s">
        <v>1994</v>
      </c>
      <c r="G1663" s="6">
        <v>30.71</v>
      </c>
      <c r="H1663" s="6">
        <v>29.05</v>
      </c>
      <c r="I1663" s="6">
        <v>114.5</v>
      </c>
      <c r="J1663" s="6">
        <v>1500</v>
      </c>
      <c r="K1663" s="7">
        <f>(J1663-M1663)*税费参数!$B$12/(I1663*10000*(1+SUM(税费参数!$B$6:$B$8)))</f>
        <v>0.0108720936379881</v>
      </c>
      <c r="L1663" s="7">
        <f>J1663*税费参数!$B$12/(I1663*10000)</f>
        <v>0.0131004366812227</v>
      </c>
      <c r="M1663" s="6">
        <f>I1663*10000*SUM(税费参数!$B$9:$B$10)/税费参数!$B$11</f>
        <v>214.6875</v>
      </c>
    </row>
    <row r="1664" ht="21" customHeight="1" spans="1:13">
      <c r="A1664" s="5" t="s">
        <v>16</v>
      </c>
      <c r="B1664" s="6" t="s">
        <v>122</v>
      </c>
      <c r="C1664" s="6" t="s">
        <v>159</v>
      </c>
      <c r="D1664" s="6" t="s">
        <v>160</v>
      </c>
      <c r="E1664" s="6" t="s">
        <v>1357</v>
      </c>
      <c r="F1664" s="6" t="s">
        <v>1995</v>
      </c>
      <c r="G1664" s="6">
        <v>30.71</v>
      </c>
      <c r="H1664" s="6">
        <v>29.14</v>
      </c>
      <c r="I1664" s="6">
        <v>114.5</v>
      </c>
      <c r="J1664" s="6">
        <v>1550</v>
      </c>
      <c r="K1664" s="7">
        <f>(J1664-M1664)*税费参数!$B$12/(I1664*10000*(1+SUM(税费参数!$B$6:$B$8)))</f>
        <v>0.0112950294469057</v>
      </c>
      <c r="L1664" s="7">
        <f>J1664*税费参数!$B$12/(I1664*10000)</f>
        <v>0.0135371179039301</v>
      </c>
      <c r="M1664" s="6">
        <f>I1664*10000*SUM(税费参数!$B$9:$B$10)/税费参数!$B$11</f>
        <v>214.6875</v>
      </c>
    </row>
    <row r="1665" ht="21" customHeight="1" spans="1:13">
      <c r="A1665" s="5" t="s">
        <v>16</v>
      </c>
      <c r="B1665" s="6" t="s">
        <v>122</v>
      </c>
      <c r="C1665" s="6" t="s">
        <v>159</v>
      </c>
      <c r="D1665" s="6" t="s">
        <v>160</v>
      </c>
      <c r="E1665" s="6" t="s">
        <v>1357</v>
      </c>
      <c r="F1665" s="6" t="s">
        <v>1996</v>
      </c>
      <c r="G1665" s="6">
        <v>30.71</v>
      </c>
      <c r="H1665" s="6">
        <v>33.44</v>
      </c>
      <c r="I1665" s="6">
        <v>114.5</v>
      </c>
      <c r="J1665" s="6">
        <v>1700</v>
      </c>
      <c r="K1665" s="7">
        <f>(J1665-M1665)*税费参数!$B$12/(I1665*10000*(1+SUM(税费参数!$B$6:$B$8)))</f>
        <v>0.0125638368736585</v>
      </c>
      <c r="L1665" s="7">
        <f>J1665*税费参数!$B$12/(I1665*10000)</f>
        <v>0.0148471615720524</v>
      </c>
      <c r="M1665" s="6">
        <f>I1665*10000*SUM(税费参数!$B$9:$B$10)/税费参数!$B$11</f>
        <v>214.6875</v>
      </c>
    </row>
    <row r="1666" ht="21" customHeight="1" spans="1:13">
      <c r="A1666" s="5" t="s">
        <v>16</v>
      </c>
      <c r="B1666" s="6" t="s">
        <v>122</v>
      </c>
      <c r="C1666" s="6" t="s">
        <v>159</v>
      </c>
      <c r="D1666" s="6" t="s">
        <v>160</v>
      </c>
      <c r="E1666" s="6" t="s">
        <v>1375</v>
      </c>
      <c r="F1666" s="6" t="s">
        <v>1989</v>
      </c>
      <c r="G1666" s="6">
        <v>29.4</v>
      </c>
      <c r="H1666" s="6">
        <v>29.4</v>
      </c>
      <c r="I1666" s="6">
        <v>94</v>
      </c>
      <c r="J1666" s="6">
        <v>1500</v>
      </c>
      <c r="K1666" s="7">
        <f>(J1666-M1666)*税费参数!$B$12/(I1666*10000*(1+SUM(税费参数!$B$6:$B$8)))</f>
        <v>0.0136391736644171</v>
      </c>
      <c r="L1666" s="7">
        <f>J1666*税费参数!$B$12/(I1666*10000)</f>
        <v>0.0159574468085106</v>
      </c>
      <c r="M1666" s="6">
        <f>I1666*10000*SUM(税费参数!$B$9:$B$10)/税费参数!$B$11</f>
        <v>176.25</v>
      </c>
    </row>
    <row r="1667" ht="21" customHeight="1" spans="1:13">
      <c r="A1667" s="5" t="s">
        <v>16</v>
      </c>
      <c r="B1667" s="6" t="s">
        <v>122</v>
      </c>
      <c r="C1667" s="6" t="s">
        <v>159</v>
      </c>
      <c r="D1667" s="6" t="s">
        <v>160</v>
      </c>
      <c r="E1667" s="6" t="s">
        <v>1375</v>
      </c>
      <c r="F1667" s="6" t="s">
        <v>1990</v>
      </c>
      <c r="G1667" s="6">
        <v>29.4</v>
      </c>
      <c r="H1667" s="6">
        <v>29.14</v>
      </c>
      <c r="I1667" s="6">
        <v>94</v>
      </c>
      <c r="J1667" s="6">
        <v>1380</v>
      </c>
      <c r="K1667" s="7">
        <f>(J1667-M1667)*税费参数!$B$12/(I1667*10000*(1+SUM(税费参数!$B$6:$B$8)))</f>
        <v>0.0124027613209005</v>
      </c>
      <c r="L1667" s="7">
        <f>J1667*税费参数!$B$12/(I1667*10000)</f>
        <v>0.0146808510638298</v>
      </c>
      <c r="M1667" s="6">
        <f>I1667*10000*SUM(税费参数!$B$9:$B$10)/税费参数!$B$11</f>
        <v>176.25</v>
      </c>
    </row>
    <row r="1668" ht="21" customHeight="1" spans="1:13">
      <c r="A1668" s="5" t="s">
        <v>16</v>
      </c>
      <c r="B1668" s="6" t="s">
        <v>122</v>
      </c>
      <c r="C1668" s="6" t="s">
        <v>159</v>
      </c>
      <c r="D1668" s="6" t="s">
        <v>160</v>
      </c>
      <c r="E1668" s="6" t="s">
        <v>1375</v>
      </c>
      <c r="F1668" s="6" t="s">
        <v>1991</v>
      </c>
      <c r="G1668" s="6">
        <v>29.4</v>
      </c>
      <c r="H1668" s="6">
        <v>33.42</v>
      </c>
      <c r="I1668" s="6">
        <v>94</v>
      </c>
      <c r="J1668" s="6">
        <v>1700</v>
      </c>
      <c r="K1668" s="7">
        <f>(J1668-M1668)*税费参数!$B$12/(I1668*10000*(1+SUM(税费参数!$B$6:$B$8)))</f>
        <v>0.0156998609036114</v>
      </c>
      <c r="L1668" s="7">
        <f>J1668*税费参数!$B$12/(I1668*10000)</f>
        <v>0.0180851063829787</v>
      </c>
      <c r="M1668" s="6">
        <f>I1668*10000*SUM(税费参数!$B$9:$B$10)/税费参数!$B$11</f>
        <v>176.25</v>
      </c>
    </row>
    <row r="1669" ht="21" customHeight="1" spans="1:13">
      <c r="A1669" s="5" t="s">
        <v>16</v>
      </c>
      <c r="B1669" s="6" t="s">
        <v>122</v>
      </c>
      <c r="C1669" s="6" t="s">
        <v>159</v>
      </c>
      <c r="D1669" s="6" t="s">
        <v>160</v>
      </c>
      <c r="E1669" s="6" t="s">
        <v>1375</v>
      </c>
      <c r="F1669" s="6" t="s">
        <v>1997</v>
      </c>
      <c r="G1669" s="6">
        <v>29.4</v>
      </c>
      <c r="H1669" s="6">
        <v>25.51</v>
      </c>
      <c r="I1669" s="6">
        <v>94</v>
      </c>
      <c r="J1669" s="6">
        <v>1500</v>
      </c>
      <c r="K1669" s="7">
        <f>(J1669-M1669)*税费参数!$B$12/(I1669*10000*(1+SUM(税费参数!$B$6:$B$8)))</f>
        <v>0.0136391736644171</v>
      </c>
      <c r="L1669" s="7">
        <f>J1669*税费参数!$B$12/(I1669*10000)</f>
        <v>0.0159574468085106</v>
      </c>
      <c r="M1669" s="6">
        <f>I1669*10000*SUM(税费参数!$B$9:$B$10)/税费参数!$B$11</f>
        <v>176.25</v>
      </c>
    </row>
    <row r="1670" ht="21" customHeight="1" spans="1:13">
      <c r="A1670" s="5" t="s">
        <v>16</v>
      </c>
      <c r="B1670" s="6" t="s">
        <v>122</v>
      </c>
      <c r="C1670" s="6" t="s">
        <v>159</v>
      </c>
      <c r="D1670" s="6" t="s">
        <v>160</v>
      </c>
      <c r="E1670" s="6" t="s">
        <v>1375</v>
      </c>
      <c r="F1670" s="6" t="s">
        <v>1994</v>
      </c>
      <c r="G1670" s="6">
        <v>29.4</v>
      </c>
      <c r="H1670" s="6">
        <v>29.05</v>
      </c>
      <c r="I1670" s="6">
        <v>94</v>
      </c>
      <c r="J1670" s="6">
        <v>1500</v>
      </c>
      <c r="K1670" s="7">
        <f>(J1670-M1670)*税费参数!$B$12/(I1670*10000*(1+SUM(税费参数!$B$6:$B$8)))</f>
        <v>0.0136391736644171</v>
      </c>
      <c r="L1670" s="7">
        <f>J1670*税费参数!$B$12/(I1670*10000)</f>
        <v>0.0159574468085106</v>
      </c>
      <c r="M1670" s="6">
        <f>I1670*10000*SUM(税费参数!$B$9:$B$10)/税费参数!$B$11</f>
        <v>176.25</v>
      </c>
    </row>
    <row r="1671" ht="21" customHeight="1" spans="1:13">
      <c r="A1671" s="5" t="s">
        <v>16</v>
      </c>
      <c r="B1671" s="6" t="s">
        <v>122</v>
      </c>
      <c r="C1671" s="6" t="s">
        <v>159</v>
      </c>
      <c r="D1671" s="6" t="s">
        <v>160</v>
      </c>
      <c r="E1671" s="6" t="s">
        <v>1375</v>
      </c>
      <c r="F1671" s="6" t="s">
        <v>1995</v>
      </c>
      <c r="G1671" s="6">
        <v>29.4</v>
      </c>
      <c r="H1671" s="6">
        <v>29.14</v>
      </c>
      <c r="I1671" s="6">
        <v>94</v>
      </c>
      <c r="J1671" s="6">
        <v>1550</v>
      </c>
      <c r="K1671" s="7">
        <f>(J1671-M1671)*税费参数!$B$12/(I1671*10000*(1+SUM(税费参数!$B$6:$B$8)))</f>
        <v>0.0141543454742157</v>
      </c>
      <c r="L1671" s="7">
        <f>J1671*税费参数!$B$12/(I1671*10000)</f>
        <v>0.0164893617021277</v>
      </c>
      <c r="M1671" s="6">
        <f>I1671*10000*SUM(税费参数!$B$9:$B$10)/税费参数!$B$11</f>
        <v>176.25</v>
      </c>
    </row>
    <row r="1672" ht="21" customHeight="1" spans="1:13">
      <c r="A1672" s="5" t="s">
        <v>16</v>
      </c>
      <c r="B1672" s="6" t="s">
        <v>122</v>
      </c>
      <c r="C1672" s="6" t="s">
        <v>159</v>
      </c>
      <c r="D1672" s="6" t="s">
        <v>160</v>
      </c>
      <c r="E1672" s="6" t="s">
        <v>1375</v>
      </c>
      <c r="F1672" s="6" t="s">
        <v>1996</v>
      </c>
      <c r="G1672" s="6">
        <v>29.4</v>
      </c>
      <c r="H1672" s="6">
        <v>33.44</v>
      </c>
      <c r="I1672" s="6">
        <v>94</v>
      </c>
      <c r="J1672" s="6">
        <v>1700</v>
      </c>
      <c r="K1672" s="7">
        <f>(J1672-M1672)*税费参数!$B$12/(I1672*10000*(1+SUM(税费参数!$B$6:$B$8)))</f>
        <v>0.0156998609036114</v>
      </c>
      <c r="L1672" s="7">
        <f>J1672*税费参数!$B$12/(I1672*10000)</f>
        <v>0.0180851063829787</v>
      </c>
      <c r="M1672" s="6">
        <f>I1672*10000*SUM(税费参数!$B$9:$B$10)/税费参数!$B$11</f>
        <v>176.25</v>
      </c>
    </row>
    <row r="1673" ht="21" customHeight="1" spans="1:13">
      <c r="A1673" s="5" t="s">
        <v>16</v>
      </c>
      <c r="B1673" s="6" t="s">
        <v>122</v>
      </c>
      <c r="C1673" s="6" t="s">
        <v>159</v>
      </c>
      <c r="D1673" s="6" t="s">
        <v>160</v>
      </c>
      <c r="E1673" s="6" t="s">
        <v>1371</v>
      </c>
      <c r="F1673" s="6" t="s">
        <v>1989</v>
      </c>
      <c r="G1673" s="6">
        <v>33.69</v>
      </c>
      <c r="H1673" s="6">
        <v>29.4</v>
      </c>
      <c r="I1673" s="6">
        <v>115</v>
      </c>
      <c r="J1673" s="6">
        <v>1500</v>
      </c>
      <c r="K1673" s="7">
        <f>(J1673-M1673)*税费参数!$B$12/(I1673*10000*(1+SUM(税费参数!$B$6:$B$8)))</f>
        <v>0.0108169280976945</v>
      </c>
      <c r="L1673" s="7">
        <f>J1673*税费参数!$B$12/(I1673*10000)</f>
        <v>0.0130434782608696</v>
      </c>
      <c r="M1673" s="6">
        <f>I1673*10000*SUM(税费参数!$B$9:$B$10)/税费参数!$B$11</f>
        <v>215.625</v>
      </c>
    </row>
    <row r="1674" ht="21" customHeight="1" spans="1:13">
      <c r="A1674" s="5" t="s">
        <v>16</v>
      </c>
      <c r="B1674" s="6" t="s">
        <v>122</v>
      </c>
      <c r="C1674" s="6" t="s">
        <v>159</v>
      </c>
      <c r="D1674" s="6" t="s">
        <v>160</v>
      </c>
      <c r="E1674" s="6" t="s">
        <v>1371</v>
      </c>
      <c r="F1674" s="6" t="s">
        <v>1990</v>
      </c>
      <c r="G1674" s="6">
        <v>33.69</v>
      </c>
      <c r="H1674" s="6">
        <v>29.14</v>
      </c>
      <c r="I1674" s="6">
        <v>115</v>
      </c>
      <c r="J1674" s="6">
        <v>1380</v>
      </c>
      <c r="K1674" s="7">
        <f>(J1674-M1674)*税费参数!$B$12/(I1674*10000*(1+SUM(税费参数!$B$6:$B$8)))</f>
        <v>0.00980629539951574</v>
      </c>
      <c r="L1674" s="7">
        <f>J1674*税费参数!$B$12/(I1674*10000)</f>
        <v>0.012</v>
      </c>
      <c r="M1674" s="6">
        <f>I1674*10000*SUM(税费参数!$B$9:$B$10)/税费参数!$B$11</f>
        <v>215.625</v>
      </c>
    </row>
    <row r="1675" ht="21" customHeight="1" spans="1:13">
      <c r="A1675" s="5" t="s">
        <v>16</v>
      </c>
      <c r="B1675" s="6" t="s">
        <v>122</v>
      </c>
      <c r="C1675" s="6" t="s">
        <v>159</v>
      </c>
      <c r="D1675" s="6" t="s">
        <v>160</v>
      </c>
      <c r="E1675" s="6" t="s">
        <v>1371</v>
      </c>
      <c r="F1675" s="6" t="s">
        <v>1991</v>
      </c>
      <c r="G1675" s="6">
        <v>33.69</v>
      </c>
      <c r="H1675" s="6">
        <v>33.42</v>
      </c>
      <c r="I1675" s="6">
        <v>115</v>
      </c>
      <c r="J1675" s="6">
        <v>1700</v>
      </c>
      <c r="K1675" s="7">
        <f>(J1675-M1675)*税费参数!$B$12/(I1675*10000*(1+SUM(税费参数!$B$6:$B$8)))</f>
        <v>0.0125013159279924</v>
      </c>
      <c r="L1675" s="7">
        <f>J1675*税费参数!$B$12/(I1675*10000)</f>
        <v>0.0147826086956522</v>
      </c>
      <c r="M1675" s="6">
        <f>I1675*10000*SUM(税费参数!$B$9:$B$10)/税费参数!$B$11</f>
        <v>215.625</v>
      </c>
    </row>
    <row r="1676" ht="21" customHeight="1" spans="1:13">
      <c r="A1676" s="5" t="s">
        <v>16</v>
      </c>
      <c r="B1676" s="6" t="s">
        <v>122</v>
      </c>
      <c r="C1676" s="6" t="s">
        <v>159</v>
      </c>
      <c r="D1676" s="6" t="s">
        <v>160</v>
      </c>
      <c r="E1676" s="6" t="s">
        <v>1371</v>
      </c>
      <c r="F1676" s="6" t="s">
        <v>1992</v>
      </c>
      <c r="G1676" s="6">
        <v>33.69</v>
      </c>
      <c r="H1676" s="6">
        <v>34.25</v>
      </c>
      <c r="I1676" s="6">
        <v>115</v>
      </c>
      <c r="J1676" s="6">
        <v>1850</v>
      </c>
      <c r="K1676" s="7">
        <f>(J1676-M1676)*税费参数!$B$12/(I1676*10000*(1+SUM(税费参数!$B$6:$B$8)))</f>
        <v>0.0137646068007159</v>
      </c>
      <c r="L1676" s="7">
        <f>J1676*税费参数!$B$12/(I1676*10000)</f>
        <v>0.0160869565217391</v>
      </c>
      <c r="M1676" s="6">
        <f>I1676*10000*SUM(税费参数!$B$9:$B$10)/税费参数!$B$11</f>
        <v>215.625</v>
      </c>
    </row>
    <row r="1677" ht="21" customHeight="1" spans="1:13">
      <c r="A1677" s="5" t="s">
        <v>16</v>
      </c>
      <c r="B1677" s="6" t="s">
        <v>122</v>
      </c>
      <c r="C1677" s="6" t="s">
        <v>159</v>
      </c>
      <c r="D1677" s="6" t="s">
        <v>160</v>
      </c>
      <c r="E1677" s="6" t="s">
        <v>1371</v>
      </c>
      <c r="F1677" s="6" t="s">
        <v>1993</v>
      </c>
      <c r="G1677" s="6">
        <v>33.69</v>
      </c>
      <c r="H1677" s="6">
        <v>34.34</v>
      </c>
      <c r="I1677" s="6">
        <v>115</v>
      </c>
      <c r="J1677" s="6">
        <v>1750</v>
      </c>
      <c r="K1677" s="7">
        <f>(J1677-M1677)*税费参数!$B$12/(I1677*10000*(1+SUM(税费参数!$B$6:$B$8)))</f>
        <v>0.0129224128855669</v>
      </c>
      <c r="L1677" s="7">
        <f>J1677*税费参数!$B$12/(I1677*10000)</f>
        <v>0.0152173913043478</v>
      </c>
      <c r="M1677" s="6">
        <f>I1677*10000*SUM(税费参数!$B$9:$B$10)/税费参数!$B$11</f>
        <v>215.625</v>
      </c>
    </row>
    <row r="1678" ht="21" customHeight="1" spans="1:13">
      <c r="A1678" s="5" t="s">
        <v>16</v>
      </c>
      <c r="B1678" s="6" t="s">
        <v>122</v>
      </c>
      <c r="C1678" s="6" t="s">
        <v>159</v>
      </c>
      <c r="D1678" s="6" t="s">
        <v>160</v>
      </c>
      <c r="E1678" s="6" t="s">
        <v>1371</v>
      </c>
      <c r="F1678" s="6" t="s">
        <v>1994</v>
      </c>
      <c r="G1678" s="6">
        <v>33.69</v>
      </c>
      <c r="H1678" s="6">
        <v>29.05</v>
      </c>
      <c r="I1678" s="6">
        <v>115</v>
      </c>
      <c r="J1678" s="6">
        <v>1500</v>
      </c>
      <c r="K1678" s="7">
        <f>(J1678-M1678)*税费参数!$B$12/(I1678*10000*(1+SUM(税费参数!$B$6:$B$8)))</f>
        <v>0.0108169280976945</v>
      </c>
      <c r="L1678" s="7">
        <f>J1678*税费参数!$B$12/(I1678*10000)</f>
        <v>0.0130434782608696</v>
      </c>
      <c r="M1678" s="6">
        <f>I1678*10000*SUM(税费参数!$B$9:$B$10)/税费参数!$B$11</f>
        <v>215.625</v>
      </c>
    </row>
    <row r="1679" ht="21" customHeight="1" spans="1:13">
      <c r="A1679" s="5" t="s">
        <v>16</v>
      </c>
      <c r="B1679" s="6" t="s">
        <v>122</v>
      </c>
      <c r="C1679" s="6" t="s">
        <v>159</v>
      </c>
      <c r="D1679" s="6" t="s">
        <v>160</v>
      </c>
      <c r="E1679" s="6" t="s">
        <v>1371</v>
      </c>
      <c r="F1679" s="6" t="s">
        <v>1995</v>
      </c>
      <c r="G1679" s="6">
        <v>33.69</v>
      </c>
      <c r="H1679" s="6">
        <v>29.14</v>
      </c>
      <c r="I1679" s="6">
        <v>115</v>
      </c>
      <c r="J1679" s="6">
        <v>1550</v>
      </c>
      <c r="K1679" s="7">
        <f>(J1679-M1679)*税费参数!$B$12/(I1679*10000*(1+SUM(税费参数!$B$6:$B$8)))</f>
        <v>0.011238025055269</v>
      </c>
      <c r="L1679" s="7">
        <f>J1679*税费参数!$B$12/(I1679*10000)</f>
        <v>0.0134782608695652</v>
      </c>
      <c r="M1679" s="6">
        <f>I1679*10000*SUM(税费参数!$B$9:$B$10)/税费参数!$B$11</f>
        <v>215.625</v>
      </c>
    </row>
    <row r="1680" ht="21" customHeight="1" spans="1:13">
      <c r="A1680" s="5" t="s">
        <v>16</v>
      </c>
      <c r="B1680" s="6" t="s">
        <v>122</v>
      </c>
      <c r="C1680" s="6" t="s">
        <v>159</v>
      </c>
      <c r="D1680" s="6" t="s">
        <v>160</v>
      </c>
      <c r="E1680" s="6" t="s">
        <v>1371</v>
      </c>
      <c r="F1680" s="6" t="s">
        <v>1996</v>
      </c>
      <c r="G1680" s="6">
        <v>33.69</v>
      </c>
      <c r="H1680" s="6">
        <v>33.44</v>
      </c>
      <c r="I1680" s="6">
        <v>115</v>
      </c>
      <c r="J1680" s="6">
        <v>1700</v>
      </c>
      <c r="K1680" s="7">
        <f>(J1680-M1680)*税费参数!$B$12/(I1680*10000*(1+SUM(税费参数!$B$6:$B$8)))</f>
        <v>0.0125013159279924</v>
      </c>
      <c r="L1680" s="7">
        <f>J1680*税费参数!$B$12/(I1680*10000)</f>
        <v>0.0147826086956522</v>
      </c>
      <c r="M1680" s="6">
        <f>I1680*10000*SUM(税费参数!$B$9:$B$10)/税费参数!$B$11</f>
        <v>215.625</v>
      </c>
    </row>
    <row r="1681" ht="21" customHeight="1" spans="1:13">
      <c r="A1681" s="5" t="s">
        <v>16</v>
      </c>
      <c r="B1681" s="6" t="s">
        <v>122</v>
      </c>
      <c r="C1681" s="6" t="s">
        <v>159</v>
      </c>
      <c r="D1681" s="6" t="s">
        <v>160</v>
      </c>
      <c r="E1681" s="6" t="s">
        <v>1363</v>
      </c>
      <c r="F1681" s="6" t="s">
        <v>1989</v>
      </c>
      <c r="G1681" s="6">
        <v>31</v>
      </c>
      <c r="H1681" s="6">
        <v>29.4</v>
      </c>
      <c r="I1681" s="6">
        <v>100</v>
      </c>
      <c r="J1681" s="6">
        <v>1500</v>
      </c>
      <c r="K1681" s="7">
        <f>(J1681-M1681)*税费参数!$B$12/(I1681*10000*(1+SUM(税费参数!$B$6:$B$8)))</f>
        <v>0.0127118644067797</v>
      </c>
      <c r="L1681" s="7">
        <f>J1681*税费参数!$B$12/(I1681*10000)</f>
        <v>0.015</v>
      </c>
      <c r="M1681" s="6">
        <f>I1681*10000*SUM(税费参数!$B$9:$B$10)/税费参数!$B$11</f>
        <v>187.5</v>
      </c>
    </row>
    <row r="1682" ht="21" customHeight="1" spans="1:13">
      <c r="A1682" s="5" t="s">
        <v>16</v>
      </c>
      <c r="B1682" s="6" t="s">
        <v>122</v>
      </c>
      <c r="C1682" s="6" t="s">
        <v>159</v>
      </c>
      <c r="D1682" s="6" t="s">
        <v>160</v>
      </c>
      <c r="E1682" s="6" t="s">
        <v>1363</v>
      </c>
      <c r="F1682" s="6" t="s">
        <v>1990</v>
      </c>
      <c r="G1682" s="6">
        <v>31</v>
      </c>
      <c r="H1682" s="6">
        <v>29.14</v>
      </c>
      <c r="I1682" s="6">
        <v>100</v>
      </c>
      <c r="J1682" s="6">
        <v>1380</v>
      </c>
      <c r="K1682" s="7">
        <f>(J1682-M1682)*税费参数!$B$12/(I1682*10000*(1+SUM(税费参数!$B$6:$B$8)))</f>
        <v>0.0115496368038741</v>
      </c>
      <c r="L1682" s="7">
        <f>J1682*税费参数!$B$12/(I1682*10000)</f>
        <v>0.0138</v>
      </c>
      <c r="M1682" s="6">
        <f>I1682*10000*SUM(税费参数!$B$9:$B$10)/税费参数!$B$11</f>
        <v>187.5</v>
      </c>
    </row>
    <row r="1683" ht="21" customHeight="1" spans="1:13">
      <c r="A1683" s="5" t="s">
        <v>16</v>
      </c>
      <c r="B1683" s="6" t="s">
        <v>122</v>
      </c>
      <c r="C1683" s="6" t="s">
        <v>159</v>
      </c>
      <c r="D1683" s="6" t="s">
        <v>160</v>
      </c>
      <c r="E1683" s="6" t="s">
        <v>1363</v>
      </c>
      <c r="F1683" s="6" t="s">
        <v>1991</v>
      </c>
      <c r="G1683" s="6">
        <v>31</v>
      </c>
      <c r="H1683" s="6">
        <v>33.42</v>
      </c>
      <c r="I1683" s="6">
        <v>100</v>
      </c>
      <c r="J1683" s="6">
        <v>1700</v>
      </c>
      <c r="K1683" s="7">
        <f>(J1683-M1683)*税费参数!$B$12/(I1683*10000*(1+SUM(税费参数!$B$6:$B$8)))</f>
        <v>0.0146489104116223</v>
      </c>
      <c r="L1683" s="7">
        <f>J1683*税费参数!$B$12/(I1683*10000)</f>
        <v>0.017</v>
      </c>
      <c r="M1683" s="6">
        <f>I1683*10000*SUM(税费参数!$B$9:$B$10)/税费参数!$B$11</f>
        <v>187.5</v>
      </c>
    </row>
    <row r="1684" ht="21" customHeight="1" spans="1:13">
      <c r="A1684" s="5" t="s">
        <v>16</v>
      </c>
      <c r="B1684" s="6" t="s">
        <v>122</v>
      </c>
      <c r="C1684" s="6" t="s">
        <v>159</v>
      </c>
      <c r="D1684" s="6" t="s">
        <v>160</v>
      </c>
      <c r="E1684" s="6" t="s">
        <v>1363</v>
      </c>
      <c r="F1684" s="6" t="s">
        <v>1992</v>
      </c>
      <c r="G1684" s="6">
        <v>31</v>
      </c>
      <c r="H1684" s="6">
        <v>34.25</v>
      </c>
      <c r="I1684" s="6">
        <v>100</v>
      </c>
      <c r="J1684" s="6">
        <v>1850</v>
      </c>
      <c r="K1684" s="7">
        <f>(J1684-M1684)*税费参数!$B$12/(I1684*10000*(1+SUM(税费参数!$B$6:$B$8)))</f>
        <v>0.0161016949152542</v>
      </c>
      <c r="L1684" s="7">
        <f>J1684*税费参数!$B$12/(I1684*10000)</f>
        <v>0.0185</v>
      </c>
      <c r="M1684" s="6">
        <f>I1684*10000*SUM(税费参数!$B$9:$B$10)/税费参数!$B$11</f>
        <v>187.5</v>
      </c>
    </row>
    <row r="1685" ht="21" customHeight="1" spans="1:13">
      <c r="A1685" s="5" t="s">
        <v>16</v>
      </c>
      <c r="B1685" s="6" t="s">
        <v>122</v>
      </c>
      <c r="C1685" s="6" t="s">
        <v>159</v>
      </c>
      <c r="D1685" s="6" t="s">
        <v>160</v>
      </c>
      <c r="E1685" s="6" t="s">
        <v>1363</v>
      </c>
      <c r="F1685" s="6" t="s">
        <v>1993</v>
      </c>
      <c r="G1685" s="6">
        <v>31</v>
      </c>
      <c r="H1685" s="6">
        <v>34.34</v>
      </c>
      <c r="I1685" s="6">
        <v>100</v>
      </c>
      <c r="J1685" s="6">
        <v>1750</v>
      </c>
      <c r="K1685" s="7">
        <f>(J1685-M1685)*税费参数!$B$12/(I1685*10000*(1+SUM(税费参数!$B$6:$B$8)))</f>
        <v>0.0151331719128329</v>
      </c>
      <c r="L1685" s="7">
        <f>J1685*税费参数!$B$12/(I1685*10000)</f>
        <v>0.0175</v>
      </c>
      <c r="M1685" s="6">
        <f>I1685*10000*SUM(税费参数!$B$9:$B$10)/税费参数!$B$11</f>
        <v>187.5</v>
      </c>
    </row>
    <row r="1686" ht="21" customHeight="1" spans="1:13">
      <c r="A1686" s="5" t="s">
        <v>16</v>
      </c>
      <c r="B1686" s="6" t="s">
        <v>122</v>
      </c>
      <c r="C1686" s="6" t="s">
        <v>159</v>
      </c>
      <c r="D1686" s="6" t="s">
        <v>160</v>
      </c>
      <c r="E1686" s="6" t="s">
        <v>1363</v>
      </c>
      <c r="F1686" s="6" t="s">
        <v>1994</v>
      </c>
      <c r="G1686" s="6">
        <v>31</v>
      </c>
      <c r="H1686" s="6">
        <v>29.05</v>
      </c>
      <c r="I1686" s="6">
        <v>100</v>
      </c>
      <c r="J1686" s="6">
        <v>1500</v>
      </c>
      <c r="K1686" s="7">
        <f>(J1686-M1686)*税费参数!$B$12/(I1686*10000*(1+SUM(税费参数!$B$6:$B$8)))</f>
        <v>0.0127118644067797</v>
      </c>
      <c r="L1686" s="7">
        <f>J1686*税费参数!$B$12/(I1686*10000)</f>
        <v>0.015</v>
      </c>
      <c r="M1686" s="6">
        <f>I1686*10000*SUM(税费参数!$B$9:$B$10)/税费参数!$B$11</f>
        <v>187.5</v>
      </c>
    </row>
    <row r="1687" ht="21" customHeight="1" spans="1:13">
      <c r="A1687" s="5" t="s">
        <v>16</v>
      </c>
      <c r="B1687" s="6" t="s">
        <v>122</v>
      </c>
      <c r="C1687" s="6" t="s">
        <v>159</v>
      </c>
      <c r="D1687" s="6" t="s">
        <v>160</v>
      </c>
      <c r="E1687" s="6" t="s">
        <v>1363</v>
      </c>
      <c r="F1687" s="6" t="s">
        <v>1995</v>
      </c>
      <c r="G1687" s="6">
        <v>31</v>
      </c>
      <c r="H1687" s="6">
        <v>29.14</v>
      </c>
      <c r="I1687" s="6">
        <v>100</v>
      </c>
      <c r="J1687" s="6">
        <v>1550</v>
      </c>
      <c r="K1687" s="7">
        <f>(J1687-M1687)*税费参数!$B$12/(I1687*10000*(1+SUM(税费参数!$B$6:$B$8)))</f>
        <v>0.0131961259079903</v>
      </c>
      <c r="L1687" s="7">
        <f>J1687*税费参数!$B$12/(I1687*10000)</f>
        <v>0.0155</v>
      </c>
      <c r="M1687" s="6">
        <f>I1687*10000*SUM(税费参数!$B$9:$B$10)/税费参数!$B$11</f>
        <v>187.5</v>
      </c>
    </row>
    <row r="1688" ht="21" customHeight="1" spans="1:13">
      <c r="A1688" s="5" t="s">
        <v>16</v>
      </c>
      <c r="B1688" s="6" t="s">
        <v>122</v>
      </c>
      <c r="C1688" s="6" t="s">
        <v>159</v>
      </c>
      <c r="D1688" s="6" t="s">
        <v>160</v>
      </c>
      <c r="E1688" s="6" t="s">
        <v>1363</v>
      </c>
      <c r="F1688" s="6" t="s">
        <v>1996</v>
      </c>
      <c r="G1688" s="6">
        <v>31</v>
      </c>
      <c r="H1688" s="6">
        <v>33.44</v>
      </c>
      <c r="I1688" s="6">
        <v>100</v>
      </c>
      <c r="J1688" s="6">
        <v>1700</v>
      </c>
      <c r="K1688" s="7">
        <f>(J1688-M1688)*税费参数!$B$12/(I1688*10000*(1+SUM(税费参数!$B$6:$B$8)))</f>
        <v>0.0146489104116223</v>
      </c>
      <c r="L1688" s="7">
        <f>J1688*税费参数!$B$12/(I1688*10000)</f>
        <v>0.017</v>
      </c>
      <c r="M1688" s="6">
        <f>I1688*10000*SUM(税费参数!$B$9:$B$10)/税费参数!$B$11</f>
        <v>187.5</v>
      </c>
    </row>
    <row r="1689" ht="21" customHeight="1" spans="1:13">
      <c r="A1689" s="5" t="s">
        <v>16</v>
      </c>
      <c r="B1689" s="6" t="s">
        <v>122</v>
      </c>
      <c r="C1689" s="6" t="s">
        <v>159</v>
      </c>
      <c r="D1689" s="6" t="s">
        <v>160</v>
      </c>
      <c r="E1689" s="6" t="s">
        <v>1379</v>
      </c>
      <c r="F1689" s="6" t="s">
        <v>1989</v>
      </c>
      <c r="G1689" s="6">
        <v>29.14</v>
      </c>
      <c r="H1689" s="6">
        <v>29.4</v>
      </c>
      <c r="I1689" s="6">
        <v>110</v>
      </c>
      <c r="J1689" s="6">
        <v>1500</v>
      </c>
      <c r="K1689" s="7">
        <f>(J1689-M1689)*税费参数!$B$12/(I1689*10000*(1+SUM(税费参数!$B$6:$B$8)))</f>
        <v>0.0113911512216597</v>
      </c>
      <c r="L1689" s="7">
        <f>J1689*税费参数!$B$12/(I1689*10000)</f>
        <v>0.0136363636363636</v>
      </c>
      <c r="M1689" s="6">
        <f>I1689*10000*SUM(税费参数!$B$9:$B$10)/税费参数!$B$11</f>
        <v>206.25</v>
      </c>
    </row>
    <row r="1690" ht="21" customHeight="1" spans="1:13">
      <c r="A1690" s="5" t="s">
        <v>16</v>
      </c>
      <c r="B1690" s="6" t="s">
        <v>122</v>
      </c>
      <c r="C1690" s="6" t="s">
        <v>159</v>
      </c>
      <c r="D1690" s="6" t="s">
        <v>160</v>
      </c>
      <c r="E1690" s="6" t="s">
        <v>1379</v>
      </c>
      <c r="F1690" s="6" t="s">
        <v>1990</v>
      </c>
      <c r="G1690" s="6">
        <v>29.14</v>
      </c>
      <c r="H1690" s="6">
        <v>29.14</v>
      </c>
      <c r="I1690" s="6">
        <v>110</v>
      </c>
      <c r="J1690" s="6">
        <v>1380</v>
      </c>
      <c r="K1690" s="7">
        <f>(J1690-M1690)*税费参数!$B$12/(I1690*10000*(1+SUM(税费参数!$B$6:$B$8)))</f>
        <v>0.0103345806735637</v>
      </c>
      <c r="L1690" s="7">
        <f>J1690*税费参数!$B$12/(I1690*10000)</f>
        <v>0.0125454545454545</v>
      </c>
      <c r="M1690" s="6">
        <f>I1690*10000*SUM(税费参数!$B$9:$B$10)/税费参数!$B$11</f>
        <v>206.25</v>
      </c>
    </row>
    <row r="1691" ht="21" customHeight="1" spans="1:13">
      <c r="A1691" s="5" t="s">
        <v>16</v>
      </c>
      <c r="B1691" s="6" t="s">
        <v>122</v>
      </c>
      <c r="C1691" s="6" t="s">
        <v>159</v>
      </c>
      <c r="D1691" s="6" t="s">
        <v>160</v>
      </c>
      <c r="E1691" s="6" t="s">
        <v>1379</v>
      </c>
      <c r="F1691" s="6" t="s">
        <v>1991</v>
      </c>
      <c r="G1691" s="6">
        <v>29.14</v>
      </c>
      <c r="H1691" s="6">
        <v>33.42</v>
      </c>
      <c r="I1691" s="6">
        <v>110</v>
      </c>
      <c r="J1691" s="6">
        <v>1700</v>
      </c>
      <c r="K1691" s="7">
        <f>(J1691-M1691)*税费参数!$B$12/(I1691*10000*(1+SUM(税费参数!$B$6:$B$8)))</f>
        <v>0.013152102135153</v>
      </c>
      <c r="L1691" s="7">
        <f>J1691*税费参数!$B$12/(I1691*10000)</f>
        <v>0.0154545454545455</v>
      </c>
      <c r="M1691" s="6">
        <f>I1691*10000*SUM(税费参数!$B$9:$B$10)/税费参数!$B$11</f>
        <v>206.25</v>
      </c>
    </row>
    <row r="1692" ht="21" customHeight="1" spans="1:13">
      <c r="A1692" s="5" t="s">
        <v>16</v>
      </c>
      <c r="B1692" s="6" t="s">
        <v>122</v>
      </c>
      <c r="C1692" s="6" t="s">
        <v>159</v>
      </c>
      <c r="D1692" s="6" t="s">
        <v>160</v>
      </c>
      <c r="E1692" s="6" t="s">
        <v>1379</v>
      </c>
      <c r="F1692" s="6" t="s">
        <v>1997</v>
      </c>
      <c r="G1692" s="6">
        <v>29.14</v>
      </c>
      <c r="H1692" s="6">
        <v>25.51</v>
      </c>
      <c r="I1692" s="6">
        <v>110</v>
      </c>
      <c r="J1692" s="6">
        <v>1500</v>
      </c>
      <c r="K1692" s="7">
        <f>(J1692-M1692)*税费参数!$B$12/(I1692*10000*(1+SUM(税费参数!$B$6:$B$8)))</f>
        <v>0.0113911512216597</v>
      </c>
      <c r="L1692" s="7">
        <f>J1692*税费参数!$B$12/(I1692*10000)</f>
        <v>0.0136363636363636</v>
      </c>
      <c r="M1692" s="6">
        <f>I1692*10000*SUM(税费参数!$B$9:$B$10)/税费参数!$B$11</f>
        <v>206.25</v>
      </c>
    </row>
    <row r="1693" ht="21" customHeight="1" spans="1:13">
      <c r="A1693" s="5" t="s">
        <v>16</v>
      </c>
      <c r="B1693" s="6" t="s">
        <v>122</v>
      </c>
      <c r="C1693" s="6" t="s">
        <v>159</v>
      </c>
      <c r="D1693" s="6" t="s">
        <v>160</v>
      </c>
      <c r="E1693" s="6" t="s">
        <v>1379</v>
      </c>
      <c r="F1693" s="6" t="s">
        <v>1994</v>
      </c>
      <c r="G1693" s="6">
        <v>29.14</v>
      </c>
      <c r="H1693" s="6">
        <v>29.05</v>
      </c>
      <c r="I1693" s="6">
        <v>110</v>
      </c>
      <c r="J1693" s="6">
        <v>1500</v>
      </c>
      <c r="K1693" s="7">
        <f>(J1693-M1693)*税费参数!$B$12/(I1693*10000*(1+SUM(税费参数!$B$6:$B$8)))</f>
        <v>0.0113911512216597</v>
      </c>
      <c r="L1693" s="7">
        <f>J1693*税费参数!$B$12/(I1693*10000)</f>
        <v>0.0136363636363636</v>
      </c>
      <c r="M1693" s="6">
        <f>I1693*10000*SUM(税费参数!$B$9:$B$10)/税费参数!$B$11</f>
        <v>206.25</v>
      </c>
    </row>
    <row r="1694" ht="21" customHeight="1" spans="1:13">
      <c r="A1694" s="5" t="s">
        <v>16</v>
      </c>
      <c r="B1694" s="6" t="s">
        <v>122</v>
      </c>
      <c r="C1694" s="6" t="s">
        <v>159</v>
      </c>
      <c r="D1694" s="6" t="s">
        <v>160</v>
      </c>
      <c r="E1694" s="6" t="s">
        <v>1379</v>
      </c>
      <c r="F1694" s="6" t="s">
        <v>1995</v>
      </c>
      <c r="G1694" s="6">
        <v>29.14</v>
      </c>
      <c r="H1694" s="6">
        <v>29.14</v>
      </c>
      <c r="I1694" s="6">
        <v>110</v>
      </c>
      <c r="J1694" s="6">
        <v>1550</v>
      </c>
      <c r="K1694" s="7">
        <f>(J1694-M1694)*税费参数!$B$12/(I1694*10000*(1+SUM(税费参数!$B$6:$B$8)))</f>
        <v>0.011831388950033</v>
      </c>
      <c r="L1694" s="7">
        <f>J1694*税费参数!$B$12/(I1694*10000)</f>
        <v>0.0140909090909091</v>
      </c>
      <c r="M1694" s="6">
        <f>I1694*10000*SUM(税费参数!$B$9:$B$10)/税费参数!$B$11</f>
        <v>206.25</v>
      </c>
    </row>
    <row r="1695" ht="21" customHeight="1" spans="1:13">
      <c r="A1695" s="5" t="s">
        <v>16</v>
      </c>
      <c r="B1695" s="6" t="s">
        <v>122</v>
      </c>
      <c r="C1695" s="6" t="s">
        <v>159</v>
      </c>
      <c r="D1695" s="6" t="s">
        <v>160</v>
      </c>
      <c r="E1695" s="6" t="s">
        <v>1379</v>
      </c>
      <c r="F1695" s="6" t="s">
        <v>1996</v>
      </c>
      <c r="G1695" s="6">
        <v>29.14</v>
      </c>
      <c r="H1695" s="6">
        <v>33.44</v>
      </c>
      <c r="I1695" s="6">
        <v>110</v>
      </c>
      <c r="J1695" s="6">
        <v>1700</v>
      </c>
      <c r="K1695" s="7">
        <f>(J1695-M1695)*税费参数!$B$12/(I1695*10000*(1+SUM(税费参数!$B$6:$B$8)))</f>
        <v>0.013152102135153</v>
      </c>
      <c r="L1695" s="7">
        <f>J1695*税费参数!$B$12/(I1695*10000)</f>
        <v>0.0154545454545455</v>
      </c>
      <c r="M1695" s="6">
        <f>I1695*10000*SUM(税费参数!$B$9:$B$10)/税费参数!$B$11</f>
        <v>206.25</v>
      </c>
    </row>
    <row r="1696" ht="21" customHeight="1" spans="1:13">
      <c r="A1696" s="5" t="s">
        <v>16</v>
      </c>
      <c r="B1696" s="6" t="s">
        <v>122</v>
      </c>
      <c r="C1696" s="6" t="s">
        <v>159</v>
      </c>
      <c r="D1696" s="6" t="s">
        <v>160</v>
      </c>
      <c r="E1696" s="6" t="s">
        <v>1383</v>
      </c>
      <c r="F1696" s="6" t="s">
        <v>1989</v>
      </c>
      <c r="G1696" s="6">
        <v>33.85</v>
      </c>
      <c r="H1696" s="6">
        <v>29.4</v>
      </c>
      <c r="I1696" s="6">
        <v>92</v>
      </c>
      <c r="J1696" s="6">
        <v>1500</v>
      </c>
      <c r="K1696" s="7">
        <f>(J1696-M1696)*税费参数!$B$12/(I1696*10000*(1+SUM(税费参数!$B$6:$B$8)))</f>
        <v>0.0139751552795031</v>
      </c>
      <c r="L1696" s="7">
        <f>J1696*税费参数!$B$12/(I1696*10000)</f>
        <v>0.016304347826087</v>
      </c>
      <c r="M1696" s="6">
        <f>I1696*10000*SUM(税费参数!$B$9:$B$10)/税费参数!$B$11</f>
        <v>172.5</v>
      </c>
    </row>
    <row r="1697" ht="21" customHeight="1" spans="1:13">
      <c r="A1697" s="5" t="s">
        <v>16</v>
      </c>
      <c r="B1697" s="6" t="s">
        <v>122</v>
      </c>
      <c r="C1697" s="6" t="s">
        <v>159</v>
      </c>
      <c r="D1697" s="6" t="s">
        <v>160</v>
      </c>
      <c r="E1697" s="6" t="s">
        <v>1383</v>
      </c>
      <c r="F1697" s="6" t="s">
        <v>1990</v>
      </c>
      <c r="G1697" s="6">
        <v>33.85</v>
      </c>
      <c r="H1697" s="6">
        <v>29.14</v>
      </c>
      <c r="I1697" s="6">
        <v>92</v>
      </c>
      <c r="J1697" s="6">
        <v>1380</v>
      </c>
      <c r="K1697" s="7">
        <f>(J1697-M1697)*税费参数!$B$12/(I1697*10000*(1+SUM(税费参数!$B$6:$B$8)))</f>
        <v>0.0127118644067797</v>
      </c>
      <c r="L1697" s="7">
        <f>J1697*税费参数!$B$12/(I1697*10000)</f>
        <v>0.015</v>
      </c>
      <c r="M1697" s="6">
        <f>I1697*10000*SUM(税费参数!$B$9:$B$10)/税费参数!$B$11</f>
        <v>172.5</v>
      </c>
    </row>
    <row r="1698" ht="21" customHeight="1" spans="1:13">
      <c r="A1698" s="5" t="s">
        <v>16</v>
      </c>
      <c r="B1698" s="6" t="s">
        <v>122</v>
      </c>
      <c r="C1698" s="6" t="s">
        <v>159</v>
      </c>
      <c r="D1698" s="6" t="s">
        <v>160</v>
      </c>
      <c r="E1698" s="6" t="s">
        <v>1383</v>
      </c>
      <c r="F1698" s="6" t="s">
        <v>1991</v>
      </c>
      <c r="G1698" s="6">
        <v>33.85</v>
      </c>
      <c r="H1698" s="6">
        <v>33.42</v>
      </c>
      <c r="I1698" s="6">
        <v>92</v>
      </c>
      <c r="J1698" s="6">
        <v>1700</v>
      </c>
      <c r="K1698" s="7">
        <f>(J1698-M1698)*税费参数!$B$12/(I1698*10000*(1+SUM(税费参数!$B$6:$B$8)))</f>
        <v>0.0160806400673755</v>
      </c>
      <c r="L1698" s="7">
        <f>J1698*税费参数!$B$12/(I1698*10000)</f>
        <v>0.0184782608695652</v>
      </c>
      <c r="M1698" s="6">
        <f>I1698*10000*SUM(税费参数!$B$9:$B$10)/税费参数!$B$11</f>
        <v>172.5</v>
      </c>
    </row>
    <row r="1699" ht="21" customHeight="1" spans="1:13">
      <c r="A1699" s="5" t="s">
        <v>16</v>
      </c>
      <c r="B1699" s="6" t="s">
        <v>122</v>
      </c>
      <c r="C1699" s="6" t="s">
        <v>159</v>
      </c>
      <c r="D1699" s="6" t="s">
        <v>160</v>
      </c>
      <c r="E1699" s="6" t="s">
        <v>1383</v>
      </c>
      <c r="F1699" s="6" t="s">
        <v>1992</v>
      </c>
      <c r="G1699" s="6">
        <v>33.85</v>
      </c>
      <c r="H1699" s="6">
        <v>34.25</v>
      </c>
      <c r="I1699" s="6">
        <v>92</v>
      </c>
      <c r="J1699" s="6">
        <v>1850</v>
      </c>
      <c r="K1699" s="7">
        <f>(J1699-M1699)*税费参数!$B$12/(I1699*10000*(1+SUM(税费参数!$B$6:$B$8)))</f>
        <v>0.0176597536582798</v>
      </c>
      <c r="L1699" s="7">
        <f>J1699*税费参数!$B$12/(I1699*10000)</f>
        <v>0.0201086956521739</v>
      </c>
      <c r="M1699" s="6">
        <f>I1699*10000*SUM(税费参数!$B$9:$B$10)/税费参数!$B$11</f>
        <v>172.5</v>
      </c>
    </row>
    <row r="1700" ht="21" customHeight="1" spans="1:13">
      <c r="A1700" s="5" t="s">
        <v>16</v>
      </c>
      <c r="B1700" s="6" t="s">
        <v>122</v>
      </c>
      <c r="C1700" s="6" t="s">
        <v>159</v>
      </c>
      <c r="D1700" s="6" t="s">
        <v>160</v>
      </c>
      <c r="E1700" s="6" t="s">
        <v>1383</v>
      </c>
      <c r="F1700" s="6" t="s">
        <v>1993</v>
      </c>
      <c r="G1700" s="6">
        <v>33.85</v>
      </c>
      <c r="H1700" s="6">
        <v>34.34</v>
      </c>
      <c r="I1700" s="6">
        <v>92</v>
      </c>
      <c r="J1700" s="6">
        <v>1750</v>
      </c>
      <c r="K1700" s="7">
        <f>(J1700-M1700)*税费参数!$B$12/(I1700*10000*(1+SUM(税费参数!$B$6:$B$8)))</f>
        <v>0.0166070112643436</v>
      </c>
      <c r="L1700" s="7">
        <f>J1700*税费参数!$B$12/(I1700*10000)</f>
        <v>0.0190217391304348</v>
      </c>
      <c r="M1700" s="6">
        <f>I1700*10000*SUM(税费参数!$B$9:$B$10)/税费参数!$B$11</f>
        <v>172.5</v>
      </c>
    </row>
    <row r="1701" ht="21" customHeight="1" spans="1:13">
      <c r="A1701" s="5" t="s">
        <v>16</v>
      </c>
      <c r="B1701" s="6" t="s">
        <v>122</v>
      </c>
      <c r="C1701" s="6" t="s">
        <v>159</v>
      </c>
      <c r="D1701" s="6" t="s">
        <v>160</v>
      </c>
      <c r="E1701" s="6" t="s">
        <v>1383</v>
      </c>
      <c r="F1701" s="6" t="s">
        <v>1994</v>
      </c>
      <c r="G1701" s="6">
        <v>33.85</v>
      </c>
      <c r="H1701" s="6">
        <v>29.05</v>
      </c>
      <c r="I1701" s="6">
        <v>92</v>
      </c>
      <c r="J1701" s="6">
        <v>1500</v>
      </c>
      <c r="K1701" s="7">
        <f>(J1701-M1701)*税费参数!$B$12/(I1701*10000*(1+SUM(税费参数!$B$6:$B$8)))</f>
        <v>0.0139751552795031</v>
      </c>
      <c r="L1701" s="7">
        <f>J1701*税费参数!$B$12/(I1701*10000)</f>
        <v>0.016304347826087</v>
      </c>
      <c r="M1701" s="6">
        <f>I1701*10000*SUM(税费参数!$B$9:$B$10)/税费参数!$B$11</f>
        <v>172.5</v>
      </c>
    </row>
    <row r="1702" ht="21" customHeight="1" spans="1:13">
      <c r="A1702" s="5" t="s">
        <v>16</v>
      </c>
      <c r="B1702" s="6" t="s">
        <v>122</v>
      </c>
      <c r="C1702" s="6" t="s">
        <v>159</v>
      </c>
      <c r="D1702" s="6" t="s">
        <v>160</v>
      </c>
      <c r="E1702" s="6" t="s">
        <v>1383</v>
      </c>
      <c r="F1702" s="6" t="s">
        <v>1995</v>
      </c>
      <c r="G1702" s="6">
        <v>33.85</v>
      </c>
      <c r="H1702" s="6">
        <v>29.14</v>
      </c>
      <c r="I1702" s="6">
        <v>92</v>
      </c>
      <c r="J1702" s="6">
        <v>1550</v>
      </c>
      <c r="K1702" s="7">
        <f>(J1702-M1702)*税费参数!$B$12/(I1702*10000*(1+SUM(税费参数!$B$6:$B$8)))</f>
        <v>0.0145015264764712</v>
      </c>
      <c r="L1702" s="7">
        <f>J1702*税费参数!$B$12/(I1702*10000)</f>
        <v>0.0168478260869565</v>
      </c>
      <c r="M1702" s="6">
        <f>I1702*10000*SUM(税费参数!$B$9:$B$10)/税费参数!$B$11</f>
        <v>172.5</v>
      </c>
    </row>
    <row r="1703" ht="21" customHeight="1" spans="1:13">
      <c r="A1703" s="5" t="s">
        <v>16</v>
      </c>
      <c r="B1703" s="6" t="s">
        <v>122</v>
      </c>
      <c r="C1703" s="6" t="s">
        <v>159</v>
      </c>
      <c r="D1703" s="6" t="s">
        <v>160</v>
      </c>
      <c r="E1703" s="6" t="s">
        <v>1383</v>
      </c>
      <c r="F1703" s="6" t="s">
        <v>1996</v>
      </c>
      <c r="G1703" s="6">
        <v>33.85</v>
      </c>
      <c r="H1703" s="6">
        <v>33.44</v>
      </c>
      <c r="I1703" s="6">
        <v>92</v>
      </c>
      <c r="J1703" s="6">
        <v>1700</v>
      </c>
      <c r="K1703" s="7">
        <f>(J1703-M1703)*税费参数!$B$12/(I1703*10000*(1+SUM(税费参数!$B$6:$B$8)))</f>
        <v>0.0160806400673755</v>
      </c>
      <c r="L1703" s="7">
        <f>J1703*税费参数!$B$12/(I1703*10000)</f>
        <v>0.0184782608695652</v>
      </c>
      <c r="M1703" s="6">
        <f>I1703*10000*SUM(税费参数!$B$9:$B$10)/税费参数!$B$11</f>
        <v>172.5</v>
      </c>
    </row>
    <row r="1704" ht="21" customHeight="1" spans="1:13">
      <c r="A1704" s="5" t="s">
        <v>16</v>
      </c>
      <c r="B1704" s="6" t="s">
        <v>122</v>
      </c>
      <c r="C1704" s="6" t="s">
        <v>159</v>
      </c>
      <c r="D1704" s="6" t="s">
        <v>160</v>
      </c>
      <c r="E1704" s="6" t="s">
        <v>1367</v>
      </c>
      <c r="F1704" s="6" t="s">
        <v>1989</v>
      </c>
      <c r="G1704" s="6">
        <v>30.09</v>
      </c>
      <c r="H1704" s="6">
        <v>29.4</v>
      </c>
      <c r="I1704" s="6">
        <v>92</v>
      </c>
      <c r="J1704" s="6">
        <v>1500</v>
      </c>
      <c r="K1704" s="7">
        <f>(J1704-M1704)*税费参数!$B$12/(I1704*10000*(1+SUM(税费参数!$B$6:$B$8)))</f>
        <v>0.0139751552795031</v>
      </c>
      <c r="L1704" s="7">
        <f>J1704*税费参数!$B$12/(I1704*10000)</f>
        <v>0.016304347826087</v>
      </c>
      <c r="M1704" s="6">
        <f>I1704*10000*SUM(税费参数!$B$9:$B$10)/税费参数!$B$11</f>
        <v>172.5</v>
      </c>
    </row>
    <row r="1705" ht="21" customHeight="1" spans="1:13">
      <c r="A1705" s="5" t="s">
        <v>16</v>
      </c>
      <c r="B1705" s="6" t="s">
        <v>122</v>
      </c>
      <c r="C1705" s="6" t="s">
        <v>159</v>
      </c>
      <c r="D1705" s="6" t="s">
        <v>160</v>
      </c>
      <c r="E1705" s="6" t="s">
        <v>1367</v>
      </c>
      <c r="F1705" s="6" t="s">
        <v>1990</v>
      </c>
      <c r="G1705" s="6">
        <v>30.09</v>
      </c>
      <c r="H1705" s="6">
        <v>29.14</v>
      </c>
      <c r="I1705" s="6">
        <v>92</v>
      </c>
      <c r="J1705" s="6">
        <v>1380</v>
      </c>
      <c r="K1705" s="7">
        <f>(J1705-M1705)*税费参数!$B$12/(I1705*10000*(1+SUM(税费参数!$B$6:$B$8)))</f>
        <v>0.0127118644067797</v>
      </c>
      <c r="L1705" s="7">
        <f>J1705*税费参数!$B$12/(I1705*10000)</f>
        <v>0.015</v>
      </c>
      <c r="M1705" s="6">
        <f>I1705*10000*SUM(税费参数!$B$9:$B$10)/税费参数!$B$11</f>
        <v>172.5</v>
      </c>
    </row>
    <row r="1706" ht="21" customHeight="1" spans="1:13">
      <c r="A1706" s="5" t="s">
        <v>16</v>
      </c>
      <c r="B1706" s="6" t="s">
        <v>122</v>
      </c>
      <c r="C1706" s="6" t="s">
        <v>159</v>
      </c>
      <c r="D1706" s="6" t="s">
        <v>160</v>
      </c>
      <c r="E1706" s="6" t="s">
        <v>1367</v>
      </c>
      <c r="F1706" s="6" t="s">
        <v>1991</v>
      </c>
      <c r="G1706" s="6">
        <v>30.09</v>
      </c>
      <c r="H1706" s="6">
        <v>33.42</v>
      </c>
      <c r="I1706" s="6">
        <v>92</v>
      </c>
      <c r="J1706" s="6">
        <v>1700</v>
      </c>
      <c r="K1706" s="7">
        <f>(J1706-M1706)*税费参数!$B$12/(I1706*10000*(1+SUM(税费参数!$B$6:$B$8)))</f>
        <v>0.0160806400673755</v>
      </c>
      <c r="L1706" s="7">
        <f>J1706*税费参数!$B$12/(I1706*10000)</f>
        <v>0.0184782608695652</v>
      </c>
      <c r="M1706" s="6">
        <f>I1706*10000*SUM(税费参数!$B$9:$B$10)/税费参数!$B$11</f>
        <v>172.5</v>
      </c>
    </row>
    <row r="1707" ht="21" customHeight="1" spans="1:13">
      <c r="A1707" s="5" t="s">
        <v>16</v>
      </c>
      <c r="B1707" s="6" t="s">
        <v>122</v>
      </c>
      <c r="C1707" s="6" t="s">
        <v>159</v>
      </c>
      <c r="D1707" s="6" t="s">
        <v>160</v>
      </c>
      <c r="E1707" s="6" t="s">
        <v>1367</v>
      </c>
      <c r="F1707" s="6" t="s">
        <v>1992</v>
      </c>
      <c r="G1707" s="6">
        <v>30.09</v>
      </c>
      <c r="H1707" s="6">
        <v>34.25</v>
      </c>
      <c r="I1707" s="6">
        <v>92</v>
      </c>
      <c r="J1707" s="6">
        <v>1850</v>
      </c>
      <c r="K1707" s="7">
        <f>(J1707-M1707)*税费参数!$B$12/(I1707*10000*(1+SUM(税费参数!$B$6:$B$8)))</f>
        <v>0.0176597536582798</v>
      </c>
      <c r="L1707" s="7">
        <f>J1707*税费参数!$B$12/(I1707*10000)</f>
        <v>0.0201086956521739</v>
      </c>
      <c r="M1707" s="6">
        <f>I1707*10000*SUM(税费参数!$B$9:$B$10)/税费参数!$B$11</f>
        <v>172.5</v>
      </c>
    </row>
    <row r="1708" ht="21" customHeight="1" spans="1:13">
      <c r="A1708" s="5" t="s">
        <v>16</v>
      </c>
      <c r="B1708" s="6" t="s">
        <v>122</v>
      </c>
      <c r="C1708" s="6" t="s">
        <v>159</v>
      </c>
      <c r="D1708" s="6" t="s">
        <v>160</v>
      </c>
      <c r="E1708" s="6" t="s">
        <v>1367</v>
      </c>
      <c r="F1708" s="6" t="s">
        <v>1993</v>
      </c>
      <c r="G1708" s="6">
        <v>30.09</v>
      </c>
      <c r="H1708" s="6">
        <v>34.34</v>
      </c>
      <c r="I1708" s="6">
        <v>92</v>
      </c>
      <c r="J1708" s="6">
        <v>1750</v>
      </c>
      <c r="K1708" s="7">
        <f>(J1708-M1708)*税费参数!$B$12/(I1708*10000*(1+SUM(税费参数!$B$6:$B$8)))</f>
        <v>0.0166070112643436</v>
      </c>
      <c r="L1708" s="7">
        <f>J1708*税费参数!$B$12/(I1708*10000)</f>
        <v>0.0190217391304348</v>
      </c>
      <c r="M1708" s="6">
        <f>I1708*10000*SUM(税费参数!$B$9:$B$10)/税费参数!$B$11</f>
        <v>172.5</v>
      </c>
    </row>
    <row r="1709" ht="21" customHeight="1" spans="1:13">
      <c r="A1709" s="5" t="s">
        <v>16</v>
      </c>
      <c r="B1709" s="6" t="s">
        <v>122</v>
      </c>
      <c r="C1709" s="6" t="s">
        <v>159</v>
      </c>
      <c r="D1709" s="6" t="s">
        <v>160</v>
      </c>
      <c r="E1709" s="6" t="s">
        <v>1367</v>
      </c>
      <c r="F1709" s="6" t="s">
        <v>1994</v>
      </c>
      <c r="G1709" s="6">
        <v>30.09</v>
      </c>
      <c r="H1709" s="6">
        <v>29.05</v>
      </c>
      <c r="I1709" s="6">
        <v>92</v>
      </c>
      <c r="J1709" s="6">
        <v>1500</v>
      </c>
      <c r="K1709" s="7">
        <f>(J1709-M1709)*税费参数!$B$12/(I1709*10000*(1+SUM(税费参数!$B$6:$B$8)))</f>
        <v>0.0139751552795031</v>
      </c>
      <c r="L1709" s="7">
        <f>J1709*税费参数!$B$12/(I1709*10000)</f>
        <v>0.016304347826087</v>
      </c>
      <c r="M1709" s="6">
        <f>I1709*10000*SUM(税费参数!$B$9:$B$10)/税费参数!$B$11</f>
        <v>172.5</v>
      </c>
    </row>
    <row r="1710" ht="21" customHeight="1" spans="1:13">
      <c r="A1710" s="5" t="s">
        <v>16</v>
      </c>
      <c r="B1710" s="6" t="s">
        <v>122</v>
      </c>
      <c r="C1710" s="6" t="s">
        <v>159</v>
      </c>
      <c r="D1710" s="6" t="s">
        <v>160</v>
      </c>
      <c r="E1710" s="6" t="s">
        <v>1367</v>
      </c>
      <c r="F1710" s="6" t="s">
        <v>1995</v>
      </c>
      <c r="G1710" s="6">
        <v>30.09</v>
      </c>
      <c r="H1710" s="6">
        <v>29.14</v>
      </c>
      <c r="I1710" s="6">
        <v>92</v>
      </c>
      <c r="J1710" s="6">
        <v>1550</v>
      </c>
      <c r="K1710" s="7">
        <f>(J1710-M1710)*税费参数!$B$12/(I1710*10000*(1+SUM(税费参数!$B$6:$B$8)))</f>
        <v>0.0145015264764712</v>
      </c>
      <c r="L1710" s="7">
        <f>J1710*税费参数!$B$12/(I1710*10000)</f>
        <v>0.0168478260869565</v>
      </c>
      <c r="M1710" s="6">
        <f>I1710*10000*SUM(税费参数!$B$9:$B$10)/税费参数!$B$11</f>
        <v>172.5</v>
      </c>
    </row>
    <row r="1711" ht="21" customHeight="1" spans="1:13">
      <c r="A1711" s="5" t="s">
        <v>16</v>
      </c>
      <c r="B1711" s="6" t="s">
        <v>122</v>
      </c>
      <c r="C1711" s="6" t="s">
        <v>159</v>
      </c>
      <c r="D1711" s="6" t="s">
        <v>160</v>
      </c>
      <c r="E1711" s="6" t="s">
        <v>1367</v>
      </c>
      <c r="F1711" s="6" t="s">
        <v>1996</v>
      </c>
      <c r="G1711" s="6">
        <v>30.09</v>
      </c>
      <c r="H1711" s="6">
        <v>33.44</v>
      </c>
      <c r="I1711" s="6">
        <v>92</v>
      </c>
      <c r="J1711" s="6">
        <v>1700</v>
      </c>
      <c r="K1711" s="7">
        <f>(J1711-M1711)*税费参数!$B$12/(I1711*10000*(1+SUM(税费参数!$B$6:$B$8)))</f>
        <v>0.0160806400673755</v>
      </c>
      <c r="L1711" s="7">
        <f>J1711*税费参数!$B$12/(I1711*10000)</f>
        <v>0.0184782608695652</v>
      </c>
      <c r="M1711" s="6">
        <f>I1711*10000*SUM(税费参数!$B$9:$B$10)/税费参数!$B$11</f>
        <v>172.5</v>
      </c>
    </row>
    <row r="1712" ht="21" customHeight="1" spans="1:13">
      <c r="A1712" s="5" t="s">
        <v>16</v>
      </c>
      <c r="B1712" s="6" t="s">
        <v>122</v>
      </c>
      <c r="C1712" s="6" t="s">
        <v>159</v>
      </c>
      <c r="D1712" s="6" t="s">
        <v>160</v>
      </c>
      <c r="E1712" s="6" t="s">
        <v>1381</v>
      </c>
      <c r="F1712" s="6" t="s">
        <v>1989</v>
      </c>
      <c r="G1712" s="6">
        <v>33.34</v>
      </c>
      <c r="H1712" s="6">
        <v>29.4</v>
      </c>
      <c r="I1712" s="6">
        <v>93</v>
      </c>
      <c r="J1712" s="6">
        <v>1500</v>
      </c>
      <c r="K1712" s="7">
        <f>(J1712-M1712)*税费参数!$B$12/(I1712*10000*(1+SUM(税费参数!$B$6:$B$8)))</f>
        <v>0.0138053581191908</v>
      </c>
      <c r="L1712" s="7">
        <f>J1712*税费参数!$B$12/(I1712*10000)</f>
        <v>0.0161290322580645</v>
      </c>
      <c r="M1712" s="6">
        <f>I1712*10000*SUM(税费参数!$B$9:$B$10)/税费参数!$B$11</f>
        <v>174.375</v>
      </c>
    </row>
    <row r="1713" ht="21" customHeight="1" spans="1:13">
      <c r="A1713" s="5" t="s">
        <v>16</v>
      </c>
      <c r="B1713" s="6" t="s">
        <v>122</v>
      </c>
      <c r="C1713" s="6" t="s">
        <v>159</v>
      </c>
      <c r="D1713" s="6" t="s">
        <v>160</v>
      </c>
      <c r="E1713" s="6" t="s">
        <v>1381</v>
      </c>
      <c r="F1713" s="6" t="s">
        <v>1990</v>
      </c>
      <c r="G1713" s="6">
        <v>33.34</v>
      </c>
      <c r="H1713" s="6">
        <v>29.14</v>
      </c>
      <c r="I1713" s="6">
        <v>93</v>
      </c>
      <c r="J1713" s="6">
        <v>1380</v>
      </c>
      <c r="K1713" s="7">
        <f>(J1713-M1713)*税费参数!$B$12/(I1713*10000*(1+SUM(税费参数!$B$6:$B$8)))</f>
        <v>0.0125556510192924</v>
      </c>
      <c r="L1713" s="7">
        <f>J1713*税费参数!$B$12/(I1713*10000)</f>
        <v>0.0148387096774194</v>
      </c>
      <c r="M1713" s="6">
        <f>I1713*10000*SUM(税费参数!$B$9:$B$10)/税费参数!$B$11</f>
        <v>174.375</v>
      </c>
    </row>
    <row r="1714" ht="21" customHeight="1" spans="1:13">
      <c r="A1714" s="5" t="s">
        <v>16</v>
      </c>
      <c r="B1714" s="6" t="s">
        <v>122</v>
      </c>
      <c r="C1714" s="6" t="s">
        <v>159</v>
      </c>
      <c r="D1714" s="6" t="s">
        <v>160</v>
      </c>
      <c r="E1714" s="6" t="s">
        <v>1381</v>
      </c>
      <c r="F1714" s="6" t="s">
        <v>1991</v>
      </c>
      <c r="G1714" s="6">
        <v>33.34</v>
      </c>
      <c r="H1714" s="6">
        <v>33.42</v>
      </c>
      <c r="I1714" s="6">
        <v>93</v>
      </c>
      <c r="J1714" s="6">
        <v>1700</v>
      </c>
      <c r="K1714" s="7">
        <f>(J1714-M1714)*税费参数!$B$12/(I1714*10000*(1+SUM(税费参数!$B$6:$B$8)))</f>
        <v>0.0158882032856883</v>
      </c>
      <c r="L1714" s="7">
        <f>J1714*税费参数!$B$12/(I1714*10000)</f>
        <v>0.0182795698924731</v>
      </c>
      <c r="M1714" s="6">
        <f>I1714*10000*SUM(税费参数!$B$9:$B$10)/税费参数!$B$11</f>
        <v>174.375</v>
      </c>
    </row>
    <row r="1715" ht="21" customHeight="1" spans="1:13">
      <c r="A1715" s="5" t="s">
        <v>16</v>
      </c>
      <c r="B1715" s="6" t="s">
        <v>122</v>
      </c>
      <c r="C1715" s="6" t="s">
        <v>159</v>
      </c>
      <c r="D1715" s="6" t="s">
        <v>160</v>
      </c>
      <c r="E1715" s="6" t="s">
        <v>1381</v>
      </c>
      <c r="F1715" s="6" t="s">
        <v>1992</v>
      </c>
      <c r="G1715" s="6">
        <v>33.34</v>
      </c>
      <c r="H1715" s="6">
        <v>34.25</v>
      </c>
      <c r="I1715" s="6">
        <v>93</v>
      </c>
      <c r="J1715" s="6">
        <v>1850</v>
      </c>
      <c r="K1715" s="7">
        <f>(J1715-M1715)*税费参数!$B$12/(I1715*10000*(1+SUM(税费参数!$B$6:$B$8)))</f>
        <v>0.0174503371605613</v>
      </c>
      <c r="L1715" s="7">
        <f>J1715*税费参数!$B$12/(I1715*10000)</f>
        <v>0.0198924731182796</v>
      </c>
      <c r="M1715" s="6">
        <f>I1715*10000*SUM(税费参数!$B$9:$B$10)/税费参数!$B$11</f>
        <v>174.375</v>
      </c>
    </row>
    <row r="1716" ht="21" customHeight="1" spans="1:13">
      <c r="A1716" s="5" t="s">
        <v>16</v>
      </c>
      <c r="B1716" s="6" t="s">
        <v>122</v>
      </c>
      <c r="C1716" s="6" t="s">
        <v>159</v>
      </c>
      <c r="D1716" s="6" t="s">
        <v>160</v>
      </c>
      <c r="E1716" s="6" t="s">
        <v>1381</v>
      </c>
      <c r="F1716" s="6" t="s">
        <v>1993</v>
      </c>
      <c r="G1716" s="6">
        <v>33.34</v>
      </c>
      <c r="H1716" s="6">
        <v>34.34</v>
      </c>
      <c r="I1716" s="6">
        <v>93</v>
      </c>
      <c r="J1716" s="6">
        <v>1750</v>
      </c>
      <c r="K1716" s="7">
        <f>(J1716-M1716)*税费参数!$B$12/(I1716*10000*(1+SUM(税费参数!$B$6:$B$8)))</f>
        <v>0.0164089145773126</v>
      </c>
      <c r="L1716" s="7">
        <f>J1716*税费参数!$B$12/(I1716*10000)</f>
        <v>0.0188172043010753</v>
      </c>
      <c r="M1716" s="6">
        <f>I1716*10000*SUM(税费参数!$B$9:$B$10)/税费参数!$B$11</f>
        <v>174.375</v>
      </c>
    </row>
    <row r="1717" ht="21" customHeight="1" spans="1:13">
      <c r="A1717" s="5" t="s">
        <v>16</v>
      </c>
      <c r="B1717" s="6" t="s">
        <v>122</v>
      </c>
      <c r="C1717" s="6" t="s">
        <v>159</v>
      </c>
      <c r="D1717" s="6" t="s">
        <v>160</v>
      </c>
      <c r="E1717" s="6" t="s">
        <v>1381</v>
      </c>
      <c r="F1717" s="6" t="s">
        <v>1994</v>
      </c>
      <c r="G1717" s="6">
        <v>33.34</v>
      </c>
      <c r="H1717" s="6">
        <v>29.05</v>
      </c>
      <c r="I1717" s="6">
        <v>93</v>
      </c>
      <c r="J1717" s="6">
        <v>1500</v>
      </c>
      <c r="K1717" s="7">
        <f>(J1717-M1717)*税费参数!$B$12/(I1717*10000*(1+SUM(税费参数!$B$6:$B$8)))</f>
        <v>0.0138053581191908</v>
      </c>
      <c r="L1717" s="7">
        <f>J1717*税费参数!$B$12/(I1717*10000)</f>
        <v>0.0161290322580645</v>
      </c>
      <c r="M1717" s="6">
        <f>I1717*10000*SUM(税费参数!$B$9:$B$10)/税费参数!$B$11</f>
        <v>174.375</v>
      </c>
    </row>
    <row r="1718" ht="21" customHeight="1" spans="1:13">
      <c r="A1718" s="5" t="s">
        <v>16</v>
      </c>
      <c r="B1718" s="6" t="s">
        <v>122</v>
      </c>
      <c r="C1718" s="6" t="s">
        <v>159</v>
      </c>
      <c r="D1718" s="6" t="s">
        <v>160</v>
      </c>
      <c r="E1718" s="6" t="s">
        <v>1381</v>
      </c>
      <c r="F1718" s="6" t="s">
        <v>1995</v>
      </c>
      <c r="G1718" s="6">
        <v>33.34</v>
      </c>
      <c r="H1718" s="6">
        <v>29.14</v>
      </c>
      <c r="I1718" s="6">
        <v>93</v>
      </c>
      <c r="J1718" s="6">
        <v>1550</v>
      </c>
      <c r="K1718" s="7">
        <f>(J1718-M1718)*税费参数!$B$12/(I1718*10000*(1+SUM(税费参数!$B$6:$B$8)))</f>
        <v>0.0143260694108152</v>
      </c>
      <c r="L1718" s="7">
        <f>J1718*税费参数!$B$12/(I1718*10000)</f>
        <v>0.0166666666666667</v>
      </c>
      <c r="M1718" s="6">
        <f>I1718*10000*SUM(税费参数!$B$9:$B$10)/税费参数!$B$11</f>
        <v>174.375</v>
      </c>
    </row>
    <row r="1719" ht="21" customHeight="1" spans="1:13">
      <c r="A1719" s="5" t="s">
        <v>16</v>
      </c>
      <c r="B1719" s="6" t="s">
        <v>122</v>
      </c>
      <c r="C1719" s="6" t="s">
        <v>159</v>
      </c>
      <c r="D1719" s="6" t="s">
        <v>160</v>
      </c>
      <c r="E1719" s="6" t="s">
        <v>1381</v>
      </c>
      <c r="F1719" s="6" t="s">
        <v>1996</v>
      </c>
      <c r="G1719" s="6">
        <v>33.34</v>
      </c>
      <c r="H1719" s="6">
        <v>33.44</v>
      </c>
      <c r="I1719" s="6">
        <v>93</v>
      </c>
      <c r="J1719" s="6">
        <v>1700</v>
      </c>
      <c r="K1719" s="7">
        <f>(J1719-M1719)*税费参数!$B$12/(I1719*10000*(1+SUM(税费参数!$B$6:$B$8)))</f>
        <v>0.0158882032856883</v>
      </c>
      <c r="L1719" s="7">
        <f>J1719*税费参数!$B$12/(I1719*10000)</f>
        <v>0.0182795698924731</v>
      </c>
      <c r="M1719" s="6">
        <f>I1719*10000*SUM(税费参数!$B$9:$B$10)/税费参数!$B$11</f>
        <v>174.375</v>
      </c>
    </row>
    <row r="1720" ht="21" customHeight="1" spans="1:13">
      <c r="A1720" s="5" t="s">
        <v>16</v>
      </c>
      <c r="B1720" s="6" t="s">
        <v>122</v>
      </c>
      <c r="C1720" s="6" t="s">
        <v>159</v>
      </c>
      <c r="D1720" s="6" t="s">
        <v>160</v>
      </c>
      <c r="E1720" s="6" t="s">
        <v>1359</v>
      </c>
      <c r="F1720" s="6" t="s">
        <v>1989</v>
      </c>
      <c r="G1720" s="6">
        <v>33.34</v>
      </c>
      <c r="H1720" s="6">
        <v>29.4</v>
      </c>
      <c r="I1720" s="6">
        <v>102</v>
      </c>
      <c r="J1720" s="6">
        <v>1500</v>
      </c>
      <c r="K1720" s="7">
        <f>(J1720-M1720)*税费参数!$B$12/(I1720*10000*(1+SUM(税费参数!$B$6:$B$8)))</f>
        <v>0.0124270047001852</v>
      </c>
      <c r="L1720" s="7">
        <f>J1720*税费参数!$B$12/(I1720*10000)</f>
        <v>0.0147058823529412</v>
      </c>
      <c r="M1720" s="6">
        <f>I1720*10000*SUM(税费参数!$B$9:$B$10)/税费参数!$B$11</f>
        <v>191.25</v>
      </c>
    </row>
    <row r="1721" ht="21" customHeight="1" spans="1:13">
      <c r="A1721" s="5" t="s">
        <v>16</v>
      </c>
      <c r="B1721" s="6" t="s">
        <v>122</v>
      </c>
      <c r="C1721" s="6" t="s">
        <v>159</v>
      </c>
      <c r="D1721" s="6" t="s">
        <v>160</v>
      </c>
      <c r="E1721" s="6" t="s">
        <v>1359</v>
      </c>
      <c r="F1721" s="6" t="s">
        <v>1990</v>
      </c>
      <c r="G1721" s="6">
        <v>33.34</v>
      </c>
      <c r="H1721" s="6">
        <v>29.14</v>
      </c>
      <c r="I1721" s="6">
        <v>102</v>
      </c>
      <c r="J1721" s="6">
        <v>1380</v>
      </c>
      <c r="K1721" s="7">
        <f>(J1721-M1721)*税费参数!$B$12/(I1721*10000*(1+SUM(税费参数!$B$6:$B$8)))</f>
        <v>0.0112875658738071</v>
      </c>
      <c r="L1721" s="7">
        <f>J1721*税费参数!$B$12/(I1721*10000)</f>
        <v>0.0135294117647059</v>
      </c>
      <c r="M1721" s="6">
        <f>I1721*10000*SUM(税费参数!$B$9:$B$10)/税费参数!$B$11</f>
        <v>191.25</v>
      </c>
    </row>
    <row r="1722" ht="21" customHeight="1" spans="1:13">
      <c r="A1722" s="5" t="s">
        <v>16</v>
      </c>
      <c r="B1722" s="6" t="s">
        <v>122</v>
      </c>
      <c r="C1722" s="6" t="s">
        <v>159</v>
      </c>
      <c r="D1722" s="6" t="s">
        <v>160</v>
      </c>
      <c r="E1722" s="6" t="s">
        <v>1359</v>
      </c>
      <c r="F1722" s="6" t="s">
        <v>1991</v>
      </c>
      <c r="G1722" s="6">
        <v>33.34</v>
      </c>
      <c r="H1722" s="6">
        <v>33.42</v>
      </c>
      <c r="I1722" s="6">
        <v>102</v>
      </c>
      <c r="J1722" s="6">
        <v>1700</v>
      </c>
      <c r="K1722" s="7">
        <f>(J1722-M1722)*税费参数!$B$12/(I1722*10000*(1+SUM(税费参数!$B$6:$B$8)))</f>
        <v>0.0143260694108152</v>
      </c>
      <c r="L1722" s="7">
        <f>J1722*税费参数!$B$12/(I1722*10000)</f>
        <v>0.0166666666666667</v>
      </c>
      <c r="M1722" s="6">
        <f>I1722*10000*SUM(税费参数!$B$9:$B$10)/税费参数!$B$11</f>
        <v>191.25</v>
      </c>
    </row>
    <row r="1723" ht="21" customHeight="1" spans="1:13">
      <c r="A1723" s="5" t="s">
        <v>16</v>
      </c>
      <c r="B1723" s="6" t="s">
        <v>122</v>
      </c>
      <c r="C1723" s="6" t="s">
        <v>159</v>
      </c>
      <c r="D1723" s="6" t="s">
        <v>160</v>
      </c>
      <c r="E1723" s="6" t="s">
        <v>1359</v>
      </c>
      <c r="F1723" s="6" t="s">
        <v>1992</v>
      </c>
      <c r="G1723" s="6">
        <v>33.34</v>
      </c>
      <c r="H1723" s="6">
        <v>34.25</v>
      </c>
      <c r="I1723" s="6">
        <v>102</v>
      </c>
      <c r="J1723" s="6">
        <v>1850</v>
      </c>
      <c r="K1723" s="7">
        <f>(J1723-M1723)*税费参数!$B$12/(I1723*10000*(1+SUM(税费参数!$B$6:$B$8)))</f>
        <v>0.0157503679437877</v>
      </c>
      <c r="L1723" s="7">
        <f>J1723*税费参数!$B$12/(I1723*10000)</f>
        <v>0.0181372549019608</v>
      </c>
      <c r="M1723" s="6">
        <f>I1723*10000*SUM(税费参数!$B$9:$B$10)/税费参数!$B$11</f>
        <v>191.25</v>
      </c>
    </row>
    <row r="1724" ht="21" customHeight="1" spans="1:13">
      <c r="A1724" s="5" t="s">
        <v>16</v>
      </c>
      <c r="B1724" s="6" t="s">
        <v>122</v>
      </c>
      <c r="C1724" s="6" t="s">
        <v>159</v>
      </c>
      <c r="D1724" s="6" t="s">
        <v>160</v>
      </c>
      <c r="E1724" s="6" t="s">
        <v>1359</v>
      </c>
      <c r="F1724" s="6" t="s">
        <v>1993</v>
      </c>
      <c r="G1724" s="6">
        <v>33.34</v>
      </c>
      <c r="H1724" s="6">
        <v>34.34</v>
      </c>
      <c r="I1724" s="6">
        <v>102</v>
      </c>
      <c r="J1724" s="6">
        <v>1750</v>
      </c>
      <c r="K1724" s="7">
        <f>(J1724-M1724)*税费参数!$B$12/(I1724*10000*(1+SUM(税费参数!$B$6:$B$8)))</f>
        <v>0.0148008355884727</v>
      </c>
      <c r="L1724" s="7">
        <f>J1724*税费参数!$B$12/(I1724*10000)</f>
        <v>0.017156862745098</v>
      </c>
      <c r="M1724" s="6">
        <f>I1724*10000*SUM(税费参数!$B$9:$B$10)/税费参数!$B$11</f>
        <v>191.25</v>
      </c>
    </row>
    <row r="1725" ht="21" customHeight="1" spans="1:13">
      <c r="A1725" s="5" t="s">
        <v>16</v>
      </c>
      <c r="B1725" s="6" t="s">
        <v>122</v>
      </c>
      <c r="C1725" s="6" t="s">
        <v>159</v>
      </c>
      <c r="D1725" s="6" t="s">
        <v>160</v>
      </c>
      <c r="E1725" s="6" t="s">
        <v>1359</v>
      </c>
      <c r="F1725" s="6" t="s">
        <v>1994</v>
      </c>
      <c r="G1725" s="6">
        <v>33.34</v>
      </c>
      <c r="H1725" s="6">
        <v>29.05</v>
      </c>
      <c r="I1725" s="6">
        <v>102</v>
      </c>
      <c r="J1725" s="6">
        <v>1500</v>
      </c>
      <c r="K1725" s="7">
        <f>(J1725-M1725)*税费参数!$B$12/(I1725*10000*(1+SUM(税费参数!$B$6:$B$8)))</f>
        <v>0.0124270047001852</v>
      </c>
      <c r="L1725" s="7">
        <f>J1725*税费参数!$B$12/(I1725*10000)</f>
        <v>0.0147058823529412</v>
      </c>
      <c r="M1725" s="6">
        <f>I1725*10000*SUM(税费参数!$B$9:$B$10)/税费参数!$B$11</f>
        <v>191.25</v>
      </c>
    </row>
    <row r="1726" ht="21" customHeight="1" spans="1:13">
      <c r="A1726" s="5" t="s">
        <v>16</v>
      </c>
      <c r="B1726" s="6" t="s">
        <v>122</v>
      </c>
      <c r="C1726" s="6" t="s">
        <v>159</v>
      </c>
      <c r="D1726" s="6" t="s">
        <v>160</v>
      </c>
      <c r="E1726" s="6" t="s">
        <v>1359</v>
      </c>
      <c r="F1726" s="6" t="s">
        <v>1995</v>
      </c>
      <c r="G1726" s="6">
        <v>33.34</v>
      </c>
      <c r="H1726" s="6">
        <v>29.14</v>
      </c>
      <c r="I1726" s="6">
        <v>102</v>
      </c>
      <c r="J1726" s="6">
        <v>1550</v>
      </c>
      <c r="K1726" s="7">
        <f>(J1726-M1726)*税费参数!$B$12/(I1726*10000*(1+SUM(税费参数!$B$6:$B$8)))</f>
        <v>0.0129017708778427</v>
      </c>
      <c r="L1726" s="7">
        <f>J1726*税费参数!$B$12/(I1726*10000)</f>
        <v>0.0151960784313725</v>
      </c>
      <c r="M1726" s="6">
        <f>I1726*10000*SUM(税费参数!$B$9:$B$10)/税费参数!$B$11</f>
        <v>191.25</v>
      </c>
    </row>
    <row r="1727" ht="21" customHeight="1" spans="1:13">
      <c r="A1727" s="5" t="s">
        <v>16</v>
      </c>
      <c r="B1727" s="6" t="s">
        <v>122</v>
      </c>
      <c r="C1727" s="6" t="s">
        <v>159</v>
      </c>
      <c r="D1727" s="6" t="s">
        <v>160</v>
      </c>
      <c r="E1727" s="6" t="s">
        <v>1359</v>
      </c>
      <c r="F1727" s="6" t="s">
        <v>1996</v>
      </c>
      <c r="G1727" s="6">
        <v>33.34</v>
      </c>
      <c r="H1727" s="6">
        <v>33.44</v>
      </c>
      <c r="I1727" s="6">
        <v>102</v>
      </c>
      <c r="J1727" s="6">
        <v>1700</v>
      </c>
      <c r="K1727" s="7">
        <f>(J1727-M1727)*税费参数!$B$12/(I1727*10000*(1+SUM(税费参数!$B$6:$B$8)))</f>
        <v>0.0143260694108152</v>
      </c>
      <c r="L1727" s="7">
        <f>J1727*税费参数!$B$12/(I1727*10000)</f>
        <v>0.0166666666666667</v>
      </c>
      <c r="M1727" s="6">
        <f>I1727*10000*SUM(税费参数!$B$9:$B$10)/税费参数!$B$11</f>
        <v>191.25</v>
      </c>
    </row>
    <row r="1728" ht="21" customHeight="1" spans="1:13">
      <c r="A1728" s="5" t="s">
        <v>16</v>
      </c>
      <c r="B1728" s="6" t="s">
        <v>122</v>
      </c>
      <c r="C1728" s="6" t="s">
        <v>159</v>
      </c>
      <c r="D1728" s="6" t="s">
        <v>160</v>
      </c>
      <c r="E1728" s="6" t="s">
        <v>1377</v>
      </c>
      <c r="F1728" s="6" t="s">
        <v>1989</v>
      </c>
      <c r="G1728" s="6">
        <v>28.46</v>
      </c>
      <c r="H1728" s="6">
        <v>29.4</v>
      </c>
      <c r="I1728" s="6">
        <v>92</v>
      </c>
      <c r="J1728" s="6">
        <v>1500</v>
      </c>
      <c r="K1728" s="7">
        <f>(J1728-M1728)*税费参数!$B$12/(I1728*10000*(1+SUM(税费参数!$B$6:$B$8)))</f>
        <v>0.0139751552795031</v>
      </c>
      <c r="L1728" s="7">
        <f>J1728*税费参数!$B$12/(I1728*10000)</f>
        <v>0.016304347826087</v>
      </c>
      <c r="M1728" s="6">
        <f>I1728*10000*SUM(税费参数!$B$9:$B$10)/税费参数!$B$11</f>
        <v>172.5</v>
      </c>
    </row>
    <row r="1729" ht="21" customHeight="1" spans="1:13">
      <c r="A1729" s="5" t="s">
        <v>16</v>
      </c>
      <c r="B1729" s="6" t="s">
        <v>122</v>
      </c>
      <c r="C1729" s="6" t="s">
        <v>159</v>
      </c>
      <c r="D1729" s="6" t="s">
        <v>160</v>
      </c>
      <c r="E1729" s="6" t="s">
        <v>1377</v>
      </c>
      <c r="F1729" s="6" t="s">
        <v>1990</v>
      </c>
      <c r="G1729" s="6">
        <v>28.46</v>
      </c>
      <c r="H1729" s="6">
        <v>29.14</v>
      </c>
      <c r="I1729" s="6">
        <v>92</v>
      </c>
      <c r="J1729" s="6">
        <v>1380</v>
      </c>
      <c r="K1729" s="7">
        <f>(J1729-M1729)*税费参数!$B$12/(I1729*10000*(1+SUM(税费参数!$B$6:$B$8)))</f>
        <v>0.0127118644067797</v>
      </c>
      <c r="L1729" s="7">
        <f>J1729*税费参数!$B$12/(I1729*10000)</f>
        <v>0.015</v>
      </c>
      <c r="M1729" s="6">
        <f>I1729*10000*SUM(税费参数!$B$9:$B$10)/税费参数!$B$11</f>
        <v>172.5</v>
      </c>
    </row>
    <row r="1730" ht="21" customHeight="1" spans="1:13">
      <c r="A1730" s="5" t="s">
        <v>16</v>
      </c>
      <c r="B1730" s="6" t="s">
        <v>122</v>
      </c>
      <c r="C1730" s="6" t="s">
        <v>159</v>
      </c>
      <c r="D1730" s="6" t="s">
        <v>160</v>
      </c>
      <c r="E1730" s="6" t="s">
        <v>1377</v>
      </c>
      <c r="F1730" s="6" t="s">
        <v>1997</v>
      </c>
      <c r="G1730" s="6">
        <v>28.46</v>
      </c>
      <c r="H1730" s="6">
        <v>25.51</v>
      </c>
      <c r="I1730" s="6">
        <v>92</v>
      </c>
      <c r="J1730" s="6">
        <v>1500</v>
      </c>
      <c r="K1730" s="7">
        <f>(J1730-M1730)*税费参数!$B$12/(I1730*10000*(1+SUM(税费参数!$B$6:$B$8)))</f>
        <v>0.0139751552795031</v>
      </c>
      <c r="L1730" s="7">
        <f>J1730*税费参数!$B$12/(I1730*10000)</f>
        <v>0.016304347826087</v>
      </c>
      <c r="M1730" s="6">
        <f>I1730*10000*SUM(税费参数!$B$9:$B$10)/税费参数!$B$11</f>
        <v>172.5</v>
      </c>
    </row>
    <row r="1731" ht="21" customHeight="1" spans="1:13">
      <c r="A1731" s="5" t="s">
        <v>16</v>
      </c>
      <c r="B1731" s="6" t="s">
        <v>122</v>
      </c>
      <c r="C1731" s="6" t="s">
        <v>159</v>
      </c>
      <c r="D1731" s="6" t="s">
        <v>160</v>
      </c>
      <c r="E1731" s="6" t="s">
        <v>1377</v>
      </c>
      <c r="F1731" s="6" t="s">
        <v>1994</v>
      </c>
      <c r="G1731" s="6">
        <v>28.46</v>
      </c>
      <c r="H1731" s="6">
        <v>29.05</v>
      </c>
      <c r="I1731" s="6">
        <v>92</v>
      </c>
      <c r="J1731" s="6">
        <v>1500</v>
      </c>
      <c r="K1731" s="7">
        <f>(J1731-M1731)*税费参数!$B$12/(I1731*10000*(1+SUM(税费参数!$B$6:$B$8)))</f>
        <v>0.0139751552795031</v>
      </c>
      <c r="L1731" s="7">
        <f>J1731*税费参数!$B$12/(I1731*10000)</f>
        <v>0.016304347826087</v>
      </c>
      <c r="M1731" s="6">
        <f>I1731*10000*SUM(税费参数!$B$9:$B$10)/税费参数!$B$11</f>
        <v>172.5</v>
      </c>
    </row>
    <row r="1732" ht="21" customHeight="1" spans="1:13">
      <c r="A1732" s="5" t="s">
        <v>16</v>
      </c>
      <c r="B1732" s="6" t="s">
        <v>122</v>
      </c>
      <c r="C1732" s="6" t="s">
        <v>159</v>
      </c>
      <c r="D1732" s="6" t="s">
        <v>160</v>
      </c>
      <c r="E1732" s="6" t="s">
        <v>1377</v>
      </c>
      <c r="F1732" s="6" t="s">
        <v>1995</v>
      </c>
      <c r="G1732" s="6">
        <v>28.46</v>
      </c>
      <c r="H1732" s="6">
        <v>29.14</v>
      </c>
      <c r="I1732" s="6">
        <v>92</v>
      </c>
      <c r="J1732" s="6">
        <v>1550</v>
      </c>
      <c r="K1732" s="7">
        <f>(J1732-M1732)*税费参数!$B$12/(I1732*10000*(1+SUM(税费参数!$B$6:$B$8)))</f>
        <v>0.0145015264764712</v>
      </c>
      <c r="L1732" s="7">
        <f>J1732*税费参数!$B$12/(I1732*10000)</f>
        <v>0.0168478260869565</v>
      </c>
      <c r="M1732" s="6">
        <f>I1732*10000*SUM(税费参数!$B$9:$B$10)/税费参数!$B$11</f>
        <v>172.5</v>
      </c>
    </row>
    <row r="1733" ht="21" customHeight="1" spans="1:13">
      <c r="A1733" s="5" t="s">
        <v>16</v>
      </c>
      <c r="B1733" s="6" t="s">
        <v>122</v>
      </c>
      <c r="C1733" s="6" t="s">
        <v>159</v>
      </c>
      <c r="D1733" s="6" t="s">
        <v>160</v>
      </c>
      <c r="E1733" s="6" t="s">
        <v>1387</v>
      </c>
      <c r="F1733" s="6" t="s">
        <v>1989</v>
      </c>
      <c r="G1733" s="6">
        <v>29.33</v>
      </c>
      <c r="H1733" s="6">
        <v>29.4</v>
      </c>
      <c r="I1733" s="6">
        <v>109</v>
      </c>
      <c r="J1733" s="6">
        <v>1500</v>
      </c>
      <c r="K1733" s="7">
        <f>(J1733-M1733)*税费参数!$B$12/(I1733*10000*(1+SUM(税费参数!$B$6:$B$8)))</f>
        <v>0.0115123175689184</v>
      </c>
      <c r="L1733" s="7">
        <f>J1733*税费参数!$B$12/(I1733*10000)</f>
        <v>0.0137614678899083</v>
      </c>
      <c r="M1733" s="6">
        <f>I1733*10000*SUM(税费参数!$B$9:$B$10)/税费参数!$B$11</f>
        <v>204.375</v>
      </c>
    </row>
    <row r="1734" ht="21" customHeight="1" spans="1:13">
      <c r="A1734" s="5" t="s">
        <v>16</v>
      </c>
      <c r="B1734" s="6" t="s">
        <v>122</v>
      </c>
      <c r="C1734" s="6" t="s">
        <v>159</v>
      </c>
      <c r="D1734" s="6" t="s">
        <v>160</v>
      </c>
      <c r="E1734" s="6" t="s">
        <v>1387</v>
      </c>
      <c r="F1734" s="6" t="s">
        <v>1990</v>
      </c>
      <c r="G1734" s="6">
        <v>29.33</v>
      </c>
      <c r="H1734" s="6">
        <v>29.14</v>
      </c>
      <c r="I1734" s="6">
        <v>109</v>
      </c>
      <c r="J1734" s="6">
        <v>1380</v>
      </c>
      <c r="K1734" s="7">
        <f>(J1734-M1734)*税费参数!$B$12/(I1734*10000*(1+SUM(税费参数!$B$6:$B$8)))</f>
        <v>0.0104460537130417</v>
      </c>
      <c r="L1734" s="7">
        <f>J1734*税费参数!$B$12/(I1734*10000)</f>
        <v>0.0126605504587156</v>
      </c>
      <c r="M1734" s="6">
        <f>I1734*10000*SUM(税费参数!$B$9:$B$10)/税费参数!$B$11</f>
        <v>204.375</v>
      </c>
    </row>
    <row r="1735" ht="21" customHeight="1" spans="1:13">
      <c r="A1735" s="5" t="s">
        <v>16</v>
      </c>
      <c r="B1735" s="6" t="s">
        <v>122</v>
      </c>
      <c r="C1735" s="6" t="s">
        <v>159</v>
      </c>
      <c r="D1735" s="6" t="s">
        <v>160</v>
      </c>
      <c r="E1735" s="6" t="s">
        <v>1387</v>
      </c>
      <c r="F1735" s="6" t="s">
        <v>1991</v>
      </c>
      <c r="G1735" s="6">
        <v>29.33</v>
      </c>
      <c r="H1735" s="6">
        <v>33.42</v>
      </c>
      <c r="I1735" s="6">
        <v>109</v>
      </c>
      <c r="J1735" s="6">
        <v>1700</v>
      </c>
      <c r="K1735" s="7">
        <f>(J1735-M1735)*税费参数!$B$12/(I1735*10000*(1+SUM(税费参数!$B$6:$B$8)))</f>
        <v>0.0132894239953795</v>
      </c>
      <c r="L1735" s="7">
        <f>J1735*税费参数!$B$12/(I1735*10000)</f>
        <v>0.0155963302752294</v>
      </c>
      <c r="M1735" s="6">
        <f>I1735*10000*SUM(税费参数!$B$9:$B$10)/税费参数!$B$11</f>
        <v>204.375</v>
      </c>
    </row>
    <row r="1736" ht="21" customHeight="1" spans="1:13">
      <c r="A1736" s="5" t="s">
        <v>16</v>
      </c>
      <c r="B1736" s="6" t="s">
        <v>122</v>
      </c>
      <c r="C1736" s="6" t="s">
        <v>159</v>
      </c>
      <c r="D1736" s="6" t="s">
        <v>160</v>
      </c>
      <c r="E1736" s="6" t="s">
        <v>1387</v>
      </c>
      <c r="F1736" s="6" t="s">
        <v>1997</v>
      </c>
      <c r="G1736" s="6">
        <v>29.33</v>
      </c>
      <c r="H1736" s="6">
        <v>25.51</v>
      </c>
      <c r="I1736" s="6">
        <v>109</v>
      </c>
      <c r="J1736" s="6">
        <v>1500</v>
      </c>
      <c r="K1736" s="7">
        <f>(J1736-M1736)*税费参数!$B$12/(I1736*10000*(1+SUM(税费参数!$B$6:$B$8)))</f>
        <v>0.0115123175689184</v>
      </c>
      <c r="L1736" s="7">
        <f>J1736*税费参数!$B$12/(I1736*10000)</f>
        <v>0.0137614678899083</v>
      </c>
      <c r="M1736" s="6">
        <f>I1736*10000*SUM(税费参数!$B$9:$B$10)/税费参数!$B$11</f>
        <v>204.375</v>
      </c>
    </row>
    <row r="1737" ht="21" customHeight="1" spans="1:13">
      <c r="A1737" s="5" t="s">
        <v>16</v>
      </c>
      <c r="B1737" s="6" t="s">
        <v>122</v>
      </c>
      <c r="C1737" s="6" t="s">
        <v>159</v>
      </c>
      <c r="D1737" s="6" t="s">
        <v>160</v>
      </c>
      <c r="E1737" s="6" t="s">
        <v>1387</v>
      </c>
      <c r="F1737" s="6" t="s">
        <v>1994</v>
      </c>
      <c r="G1737" s="6">
        <v>29.33</v>
      </c>
      <c r="H1737" s="6">
        <v>29.05</v>
      </c>
      <c r="I1737" s="6">
        <v>109</v>
      </c>
      <c r="J1737" s="6">
        <v>1500</v>
      </c>
      <c r="K1737" s="7">
        <f>(J1737-M1737)*税费参数!$B$12/(I1737*10000*(1+SUM(税费参数!$B$6:$B$8)))</f>
        <v>0.0115123175689184</v>
      </c>
      <c r="L1737" s="7">
        <f>J1737*税费参数!$B$12/(I1737*10000)</f>
        <v>0.0137614678899083</v>
      </c>
      <c r="M1737" s="6">
        <f>I1737*10000*SUM(税费参数!$B$9:$B$10)/税费参数!$B$11</f>
        <v>204.375</v>
      </c>
    </row>
    <row r="1738" ht="21" customHeight="1" spans="1:13">
      <c r="A1738" s="5" t="s">
        <v>16</v>
      </c>
      <c r="B1738" s="6" t="s">
        <v>122</v>
      </c>
      <c r="C1738" s="6" t="s">
        <v>159</v>
      </c>
      <c r="D1738" s="6" t="s">
        <v>160</v>
      </c>
      <c r="E1738" s="6" t="s">
        <v>1387</v>
      </c>
      <c r="F1738" s="6" t="s">
        <v>1995</v>
      </c>
      <c r="G1738" s="6">
        <v>29.33</v>
      </c>
      <c r="H1738" s="6">
        <v>29.14</v>
      </c>
      <c r="I1738" s="6">
        <v>109</v>
      </c>
      <c r="J1738" s="6">
        <v>1550</v>
      </c>
      <c r="K1738" s="7">
        <f>(J1738-M1738)*税费参数!$B$12/(I1738*10000*(1+SUM(税费参数!$B$6:$B$8)))</f>
        <v>0.0119565941755337</v>
      </c>
      <c r="L1738" s="7">
        <f>J1738*税费参数!$B$12/(I1738*10000)</f>
        <v>0.0142201834862385</v>
      </c>
      <c r="M1738" s="6">
        <f>I1738*10000*SUM(税费参数!$B$9:$B$10)/税费参数!$B$11</f>
        <v>204.375</v>
      </c>
    </row>
    <row r="1739" ht="21" customHeight="1" spans="1:13">
      <c r="A1739" s="5" t="s">
        <v>16</v>
      </c>
      <c r="B1739" s="6" t="s">
        <v>122</v>
      </c>
      <c r="C1739" s="6" t="s">
        <v>159</v>
      </c>
      <c r="D1739" s="6" t="s">
        <v>160</v>
      </c>
      <c r="E1739" s="6" t="s">
        <v>1387</v>
      </c>
      <c r="F1739" s="6" t="s">
        <v>1996</v>
      </c>
      <c r="G1739" s="6">
        <v>29.33</v>
      </c>
      <c r="H1739" s="6">
        <v>33.44</v>
      </c>
      <c r="I1739" s="6">
        <v>109</v>
      </c>
      <c r="J1739" s="6">
        <v>1700</v>
      </c>
      <c r="K1739" s="7">
        <f>(J1739-M1739)*税费参数!$B$12/(I1739*10000*(1+SUM(税费参数!$B$6:$B$8)))</f>
        <v>0.0132894239953795</v>
      </c>
      <c r="L1739" s="7">
        <f>J1739*税费参数!$B$12/(I1739*10000)</f>
        <v>0.0155963302752294</v>
      </c>
      <c r="M1739" s="6">
        <f>I1739*10000*SUM(税费参数!$B$9:$B$10)/税费参数!$B$11</f>
        <v>204.375</v>
      </c>
    </row>
    <row r="1740" ht="21" customHeight="1" spans="1:13">
      <c r="A1740" s="5" t="s">
        <v>16</v>
      </c>
      <c r="B1740" s="6" t="s">
        <v>122</v>
      </c>
      <c r="C1740" s="6" t="s">
        <v>159</v>
      </c>
      <c r="D1740" s="6" t="s">
        <v>160</v>
      </c>
      <c r="E1740" s="6" t="s">
        <v>1369</v>
      </c>
      <c r="F1740" s="6" t="s">
        <v>1989</v>
      </c>
      <c r="G1740" s="6">
        <v>29.38</v>
      </c>
      <c r="H1740" s="6">
        <v>29.4</v>
      </c>
      <c r="I1740" s="6">
        <v>96</v>
      </c>
      <c r="J1740" s="6">
        <v>1500</v>
      </c>
      <c r="K1740" s="7">
        <f>(J1740-M1740)*税费参数!$B$12/(I1740*10000*(1+SUM(税费参数!$B$6:$B$8)))</f>
        <v>0.013317191283293</v>
      </c>
      <c r="L1740" s="7">
        <f>J1740*税费参数!$B$12/(I1740*10000)</f>
        <v>0.015625</v>
      </c>
      <c r="M1740" s="6">
        <f>I1740*10000*SUM(税费参数!$B$9:$B$10)/税费参数!$B$11</f>
        <v>180</v>
      </c>
    </row>
    <row r="1741" ht="21" customHeight="1" spans="1:13">
      <c r="A1741" s="5" t="s">
        <v>16</v>
      </c>
      <c r="B1741" s="6" t="s">
        <v>122</v>
      </c>
      <c r="C1741" s="6" t="s">
        <v>159</v>
      </c>
      <c r="D1741" s="6" t="s">
        <v>160</v>
      </c>
      <c r="E1741" s="6" t="s">
        <v>1369</v>
      </c>
      <c r="F1741" s="6" t="s">
        <v>1990</v>
      </c>
      <c r="G1741" s="6">
        <v>29.38</v>
      </c>
      <c r="H1741" s="6">
        <v>29.14</v>
      </c>
      <c r="I1741" s="6">
        <v>96</v>
      </c>
      <c r="J1741" s="6">
        <v>1380</v>
      </c>
      <c r="K1741" s="7">
        <f>(J1741-M1741)*税费参数!$B$12/(I1741*10000*(1+SUM(税费参数!$B$6:$B$8)))</f>
        <v>0.0121065375302663</v>
      </c>
      <c r="L1741" s="7">
        <f>J1741*税费参数!$B$12/(I1741*10000)</f>
        <v>0.014375</v>
      </c>
      <c r="M1741" s="6">
        <f>I1741*10000*SUM(税费参数!$B$9:$B$10)/税费参数!$B$11</f>
        <v>180</v>
      </c>
    </row>
    <row r="1742" ht="21" customHeight="1" spans="1:13">
      <c r="A1742" s="5" t="s">
        <v>16</v>
      </c>
      <c r="B1742" s="6" t="s">
        <v>122</v>
      </c>
      <c r="C1742" s="6" t="s">
        <v>159</v>
      </c>
      <c r="D1742" s="6" t="s">
        <v>160</v>
      </c>
      <c r="E1742" s="6" t="s">
        <v>1369</v>
      </c>
      <c r="F1742" s="6" t="s">
        <v>1991</v>
      </c>
      <c r="G1742" s="6">
        <v>29.38</v>
      </c>
      <c r="H1742" s="6">
        <v>33.42</v>
      </c>
      <c r="I1742" s="6">
        <v>96</v>
      </c>
      <c r="J1742" s="6">
        <v>1700</v>
      </c>
      <c r="K1742" s="7">
        <f>(J1742-M1742)*税费参数!$B$12/(I1742*10000*(1+SUM(税费参数!$B$6:$B$8)))</f>
        <v>0.0153349475383374</v>
      </c>
      <c r="L1742" s="7">
        <f>J1742*税费参数!$B$12/(I1742*10000)</f>
        <v>0.0177083333333333</v>
      </c>
      <c r="M1742" s="6">
        <f>I1742*10000*SUM(税费参数!$B$9:$B$10)/税费参数!$B$11</f>
        <v>180</v>
      </c>
    </row>
    <row r="1743" ht="21" customHeight="1" spans="1:13">
      <c r="A1743" s="5" t="s">
        <v>16</v>
      </c>
      <c r="B1743" s="6" t="s">
        <v>122</v>
      </c>
      <c r="C1743" s="6" t="s">
        <v>159</v>
      </c>
      <c r="D1743" s="6" t="s">
        <v>160</v>
      </c>
      <c r="E1743" s="6" t="s">
        <v>1369</v>
      </c>
      <c r="F1743" s="6" t="s">
        <v>1997</v>
      </c>
      <c r="G1743" s="6">
        <v>29.38</v>
      </c>
      <c r="H1743" s="6">
        <v>25.51</v>
      </c>
      <c r="I1743" s="6">
        <v>96</v>
      </c>
      <c r="J1743" s="6">
        <v>1500</v>
      </c>
      <c r="K1743" s="7">
        <f>(J1743-M1743)*税费参数!$B$12/(I1743*10000*(1+SUM(税费参数!$B$6:$B$8)))</f>
        <v>0.013317191283293</v>
      </c>
      <c r="L1743" s="7">
        <f>J1743*税费参数!$B$12/(I1743*10000)</f>
        <v>0.015625</v>
      </c>
      <c r="M1743" s="6">
        <f>I1743*10000*SUM(税费参数!$B$9:$B$10)/税费参数!$B$11</f>
        <v>180</v>
      </c>
    </row>
    <row r="1744" ht="21" customHeight="1" spans="1:13">
      <c r="A1744" s="5" t="s">
        <v>16</v>
      </c>
      <c r="B1744" s="6" t="s">
        <v>122</v>
      </c>
      <c r="C1744" s="6" t="s">
        <v>159</v>
      </c>
      <c r="D1744" s="6" t="s">
        <v>160</v>
      </c>
      <c r="E1744" s="6" t="s">
        <v>1369</v>
      </c>
      <c r="F1744" s="6" t="s">
        <v>1994</v>
      </c>
      <c r="G1744" s="6">
        <v>29.38</v>
      </c>
      <c r="H1744" s="6">
        <v>29.05</v>
      </c>
      <c r="I1744" s="6">
        <v>96</v>
      </c>
      <c r="J1744" s="6">
        <v>1500</v>
      </c>
      <c r="K1744" s="7">
        <f>(J1744-M1744)*税费参数!$B$12/(I1744*10000*(1+SUM(税费参数!$B$6:$B$8)))</f>
        <v>0.013317191283293</v>
      </c>
      <c r="L1744" s="7">
        <f>J1744*税费参数!$B$12/(I1744*10000)</f>
        <v>0.015625</v>
      </c>
      <c r="M1744" s="6">
        <f>I1744*10000*SUM(税费参数!$B$9:$B$10)/税费参数!$B$11</f>
        <v>180</v>
      </c>
    </row>
    <row r="1745" ht="21" customHeight="1" spans="1:13">
      <c r="A1745" s="5" t="s">
        <v>16</v>
      </c>
      <c r="B1745" s="6" t="s">
        <v>122</v>
      </c>
      <c r="C1745" s="6" t="s">
        <v>159</v>
      </c>
      <c r="D1745" s="6" t="s">
        <v>160</v>
      </c>
      <c r="E1745" s="6" t="s">
        <v>1369</v>
      </c>
      <c r="F1745" s="6" t="s">
        <v>1995</v>
      </c>
      <c r="G1745" s="6">
        <v>29.38</v>
      </c>
      <c r="H1745" s="6">
        <v>29.14</v>
      </c>
      <c r="I1745" s="6">
        <v>96</v>
      </c>
      <c r="J1745" s="6">
        <v>1550</v>
      </c>
      <c r="K1745" s="7">
        <f>(J1745-M1745)*税费参数!$B$12/(I1745*10000*(1+SUM(税费参数!$B$6:$B$8)))</f>
        <v>0.0138216303470541</v>
      </c>
      <c r="L1745" s="7">
        <f>J1745*税费参数!$B$12/(I1745*10000)</f>
        <v>0.0161458333333333</v>
      </c>
      <c r="M1745" s="6">
        <f>I1745*10000*SUM(税费参数!$B$9:$B$10)/税费参数!$B$11</f>
        <v>180</v>
      </c>
    </row>
    <row r="1746" ht="21" customHeight="1" spans="1:13">
      <c r="A1746" s="5" t="s">
        <v>16</v>
      </c>
      <c r="B1746" s="6" t="s">
        <v>122</v>
      </c>
      <c r="C1746" s="6" t="s">
        <v>159</v>
      </c>
      <c r="D1746" s="6" t="s">
        <v>160</v>
      </c>
      <c r="E1746" s="6" t="s">
        <v>1369</v>
      </c>
      <c r="F1746" s="6" t="s">
        <v>1996</v>
      </c>
      <c r="G1746" s="6">
        <v>29.38</v>
      </c>
      <c r="H1746" s="6">
        <v>33.44</v>
      </c>
      <c r="I1746" s="6">
        <v>96</v>
      </c>
      <c r="J1746" s="6">
        <v>1700</v>
      </c>
      <c r="K1746" s="7">
        <f>(J1746-M1746)*税费参数!$B$12/(I1746*10000*(1+SUM(税费参数!$B$6:$B$8)))</f>
        <v>0.0153349475383374</v>
      </c>
      <c r="L1746" s="7">
        <f>J1746*税费参数!$B$12/(I1746*10000)</f>
        <v>0.0177083333333333</v>
      </c>
      <c r="M1746" s="6">
        <f>I1746*10000*SUM(税费参数!$B$9:$B$10)/税费参数!$B$11</f>
        <v>180</v>
      </c>
    </row>
    <row r="1747" ht="21" customHeight="1" spans="1:13">
      <c r="A1747" s="5" t="s">
        <v>16</v>
      </c>
      <c r="B1747" s="6" t="s">
        <v>122</v>
      </c>
      <c r="C1747" s="6" t="s">
        <v>159</v>
      </c>
      <c r="D1747" s="6" t="s">
        <v>160</v>
      </c>
      <c r="E1747" s="6" t="s">
        <v>1355</v>
      </c>
      <c r="F1747" s="6" t="s">
        <v>1989</v>
      </c>
      <c r="G1747" s="6">
        <v>29.4</v>
      </c>
      <c r="H1747" s="6">
        <v>29.4</v>
      </c>
      <c r="I1747" s="6">
        <v>97</v>
      </c>
      <c r="J1747" s="6">
        <v>1500</v>
      </c>
      <c r="K1747" s="7">
        <f>(J1747-M1747)*税费参数!$B$12/(I1747*10000*(1+SUM(税费参数!$B$6:$B$8)))</f>
        <v>0.0131611792017174</v>
      </c>
      <c r="L1747" s="7">
        <f>J1747*税费参数!$B$12/(I1747*10000)</f>
        <v>0.0154639175257732</v>
      </c>
      <c r="M1747" s="6">
        <f>I1747*10000*SUM(税费参数!$B$9:$B$10)/税费参数!$B$11</f>
        <v>181.875</v>
      </c>
    </row>
    <row r="1748" ht="21" customHeight="1" spans="1:13">
      <c r="A1748" s="5" t="s">
        <v>16</v>
      </c>
      <c r="B1748" s="6" t="s">
        <v>122</v>
      </c>
      <c r="C1748" s="6" t="s">
        <v>159</v>
      </c>
      <c r="D1748" s="6" t="s">
        <v>160</v>
      </c>
      <c r="E1748" s="6" t="s">
        <v>1355</v>
      </c>
      <c r="F1748" s="6" t="s">
        <v>1990</v>
      </c>
      <c r="G1748" s="6">
        <v>29.4</v>
      </c>
      <c r="H1748" s="6">
        <v>29.14</v>
      </c>
      <c r="I1748" s="6">
        <v>97</v>
      </c>
      <c r="J1748" s="6">
        <v>1380</v>
      </c>
      <c r="K1748" s="7">
        <f>(J1748-M1748)*税费参数!$B$12/(I1748*10000*(1+SUM(税费参数!$B$6:$B$8)))</f>
        <v>0.0119630064152168</v>
      </c>
      <c r="L1748" s="7">
        <f>J1748*税费参数!$B$12/(I1748*10000)</f>
        <v>0.0142268041237113</v>
      </c>
      <c r="M1748" s="6">
        <f>I1748*10000*SUM(税费参数!$B$9:$B$10)/税费参数!$B$11</f>
        <v>181.875</v>
      </c>
    </row>
    <row r="1749" ht="21" customHeight="1" spans="1:13">
      <c r="A1749" s="5" t="s">
        <v>16</v>
      </c>
      <c r="B1749" s="6" t="s">
        <v>122</v>
      </c>
      <c r="C1749" s="6" t="s">
        <v>159</v>
      </c>
      <c r="D1749" s="6" t="s">
        <v>160</v>
      </c>
      <c r="E1749" s="6" t="s">
        <v>1355</v>
      </c>
      <c r="F1749" s="6" t="s">
        <v>1991</v>
      </c>
      <c r="G1749" s="6">
        <v>29.4</v>
      </c>
      <c r="H1749" s="6">
        <v>33.42</v>
      </c>
      <c r="I1749" s="6">
        <v>97</v>
      </c>
      <c r="J1749" s="6">
        <v>1700</v>
      </c>
      <c r="K1749" s="7">
        <f>(J1749-M1749)*税费参数!$B$12/(I1749*10000*(1+SUM(税费参数!$B$6:$B$8)))</f>
        <v>0.015158133845885</v>
      </c>
      <c r="L1749" s="7">
        <f>J1749*税费参数!$B$12/(I1749*10000)</f>
        <v>0.0175257731958763</v>
      </c>
      <c r="M1749" s="6">
        <f>I1749*10000*SUM(税费参数!$B$9:$B$10)/税费参数!$B$11</f>
        <v>181.875</v>
      </c>
    </row>
    <row r="1750" ht="21" customHeight="1" spans="1:13">
      <c r="A1750" s="5" t="s">
        <v>16</v>
      </c>
      <c r="B1750" s="6" t="s">
        <v>122</v>
      </c>
      <c r="C1750" s="6" t="s">
        <v>159</v>
      </c>
      <c r="D1750" s="6" t="s">
        <v>160</v>
      </c>
      <c r="E1750" s="6" t="s">
        <v>1355</v>
      </c>
      <c r="F1750" s="6" t="s">
        <v>1997</v>
      </c>
      <c r="G1750" s="6">
        <v>29.4</v>
      </c>
      <c r="H1750" s="6">
        <v>25.51</v>
      </c>
      <c r="I1750" s="6">
        <v>97</v>
      </c>
      <c r="J1750" s="6">
        <v>1500</v>
      </c>
      <c r="K1750" s="7">
        <f>(J1750-M1750)*税费参数!$B$12/(I1750*10000*(1+SUM(税费参数!$B$6:$B$8)))</f>
        <v>0.0131611792017174</v>
      </c>
      <c r="L1750" s="7">
        <f>J1750*税费参数!$B$12/(I1750*10000)</f>
        <v>0.0154639175257732</v>
      </c>
      <c r="M1750" s="6">
        <f>I1750*10000*SUM(税费参数!$B$9:$B$10)/税费参数!$B$11</f>
        <v>181.875</v>
      </c>
    </row>
    <row r="1751" ht="21" customHeight="1" spans="1:13">
      <c r="A1751" s="5" t="s">
        <v>16</v>
      </c>
      <c r="B1751" s="6" t="s">
        <v>122</v>
      </c>
      <c r="C1751" s="6" t="s">
        <v>159</v>
      </c>
      <c r="D1751" s="6" t="s">
        <v>160</v>
      </c>
      <c r="E1751" s="6" t="s">
        <v>1355</v>
      </c>
      <c r="F1751" s="6" t="s">
        <v>1994</v>
      </c>
      <c r="G1751" s="6">
        <v>29.4</v>
      </c>
      <c r="H1751" s="6">
        <v>29.05</v>
      </c>
      <c r="I1751" s="6">
        <v>97</v>
      </c>
      <c r="J1751" s="6">
        <v>1500</v>
      </c>
      <c r="K1751" s="7">
        <f>(J1751-M1751)*税费参数!$B$12/(I1751*10000*(1+SUM(税费参数!$B$6:$B$8)))</f>
        <v>0.0131611792017174</v>
      </c>
      <c r="L1751" s="7">
        <f>J1751*税费参数!$B$12/(I1751*10000)</f>
        <v>0.0154639175257732</v>
      </c>
      <c r="M1751" s="6">
        <f>I1751*10000*SUM(税费参数!$B$9:$B$10)/税费参数!$B$11</f>
        <v>181.875</v>
      </c>
    </row>
    <row r="1752" ht="21" customHeight="1" spans="1:13">
      <c r="A1752" s="5" t="s">
        <v>16</v>
      </c>
      <c r="B1752" s="6" t="s">
        <v>122</v>
      </c>
      <c r="C1752" s="6" t="s">
        <v>159</v>
      </c>
      <c r="D1752" s="6" t="s">
        <v>160</v>
      </c>
      <c r="E1752" s="6" t="s">
        <v>1355</v>
      </c>
      <c r="F1752" s="6" t="s">
        <v>1995</v>
      </c>
      <c r="G1752" s="6">
        <v>29.4</v>
      </c>
      <c r="H1752" s="6">
        <v>29.14</v>
      </c>
      <c r="I1752" s="6">
        <v>97</v>
      </c>
      <c r="J1752" s="6">
        <v>1550</v>
      </c>
      <c r="K1752" s="7">
        <f>(J1752-M1752)*税费参数!$B$12/(I1752*10000*(1+SUM(税费参数!$B$6:$B$8)))</f>
        <v>0.0136604178627593</v>
      </c>
      <c r="L1752" s="7">
        <f>J1752*税费参数!$B$12/(I1752*10000)</f>
        <v>0.015979381443299</v>
      </c>
      <c r="M1752" s="6">
        <f>I1752*10000*SUM(税费参数!$B$9:$B$10)/税费参数!$B$11</f>
        <v>181.875</v>
      </c>
    </row>
    <row r="1753" ht="21" customHeight="1" spans="1:13">
      <c r="A1753" s="5" t="s">
        <v>16</v>
      </c>
      <c r="B1753" s="6" t="s">
        <v>122</v>
      </c>
      <c r="C1753" s="6" t="s">
        <v>159</v>
      </c>
      <c r="D1753" s="6" t="s">
        <v>160</v>
      </c>
      <c r="E1753" s="6" t="s">
        <v>1355</v>
      </c>
      <c r="F1753" s="6" t="s">
        <v>1996</v>
      </c>
      <c r="G1753" s="6">
        <v>29.4</v>
      </c>
      <c r="H1753" s="6">
        <v>33.44</v>
      </c>
      <c r="I1753" s="6">
        <v>97</v>
      </c>
      <c r="J1753" s="6">
        <v>1700</v>
      </c>
      <c r="K1753" s="7">
        <f>(J1753-M1753)*税费参数!$B$12/(I1753*10000*(1+SUM(税费参数!$B$6:$B$8)))</f>
        <v>0.015158133845885</v>
      </c>
      <c r="L1753" s="7">
        <f>J1753*税费参数!$B$12/(I1753*10000)</f>
        <v>0.0175257731958763</v>
      </c>
      <c r="M1753" s="6">
        <f>I1753*10000*SUM(税费参数!$B$9:$B$10)/税费参数!$B$11</f>
        <v>181.875</v>
      </c>
    </row>
    <row r="1754" ht="21" customHeight="1" spans="1:13">
      <c r="A1754" s="5" t="s">
        <v>16</v>
      </c>
      <c r="B1754" s="6" t="s">
        <v>122</v>
      </c>
      <c r="C1754" s="6" t="s">
        <v>159</v>
      </c>
      <c r="D1754" s="6" t="s">
        <v>153</v>
      </c>
      <c r="E1754" s="6" t="s">
        <v>1389</v>
      </c>
      <c r="F1754" s="6" t="s">
        <v>1998</v>
      </c>
      <c r="G1754" s="6">
        <v>33.42</v>
      </c>
      <c r="H1754" s="6">
        <v>33.42</v>
      </c>
      <c r="I1754" s="6">
        <v>99</v>
      </c>
      <c r="J1754" s="6">
        <v>1800</v>
      </c>
      <c r="K1754" s="7">
        <f>(J1754-M1754)*税费参数!$B$12/(I1754*10000*(1+SUM(税费参数!$B$6:$B$8)))</f>
        <v>0.0157935285053929</v>
      </c>
      <c r="L1754" s="7">
        <f>J1754*税费参数!$B$12/(I1754*10000)</f>
        <v>0.0181818181818182</v>
      </c>
      <c r="M1754" s="6">
        <f>I1754*10000*SUM(税费参数!$B$9:$B$10)/税费参数!$B$11</f>
        <v>185.625</v>
      </c>
    </row>
    <row r="1755" ht="21" customHeight="1" spans="1:13">
      <c r="A1755" s="5" t="s">
        <v>16</v>
      </c>
      <c r="B1755" s="6" t="s">
        <v>122</v>
      </c>
      <c r="C1755" s="6" t="s">
        <v>159</v>
      </c>
      <c r="D1755" s="6" t="s">
        <v>153</v>
      </c>
      <c r="E1755" s="6" t="s">
        <v>1389</v>
      </c>
      <c r="F1755" s="6" t="s">
        <v>1999</v>
      </c>
      <c r="G1755" s="6">
        <v>33.42</v>
      </c>
      <c r="H1755" s="6">
        <v>29.14</v>
      </c>
      <c r="I1755" s="6">
        <v>99</v>
      </c>
      <c r="J1755" s="6">
        <v>1400</v>
      </c>
      <c r="K1755" s="7">
        <f>(J1755-M1755)*税费参数!$B$12/(I1755*10000*(1+SUM(税费参数!$B$6:$B$8)))</f>
        <v>0.0118803042531856</v>
      </c>
      <c r="L1755" s="7">
        <f>J1755*税费参数!$B$12/(I1755*10000)</f>
        <v>0.0141414141414141</v>
      </c>
      <c r="M1755" s="6">
        <f>I1755*10000*SUM(税费参数!$B$9:$B$10)/税费参数!$B$11</f>
        <v>185.625</v>
      </c>
    </row>
    <row r="1756" ht="21" customHeight="1" spans="1:13">
      <c r="A1756" s="5" t="s">
        <v>16</v>
      </c>
      <c r="B1756" s="6" t="s">
        <v>122</v>
      </c>
      <c r="C1756" s="6" t="s">
        <v>159</v>
      </c>
      <c r="D1756" s="6" t="s">
        <v>153</v>
      </c>
      <c r="E1756" s="6" t="s">
        <v>1391</v>
      </c>
      <c r="F1756" s="6" t="s">
        <v>1998</v>
      </c>
      <c r="G1756" s="6">
        <v>31.08</v>
      </c>
      <c r="H1756" s="6">
        <v>33.42</v>
      </c>
      <c r="I1756" s="6">
        <v>109.8</v>
      </c>
      <c r="J1756" s="6">
        <v>1800</v>
      </c>
      <c r="K1756" s="7">
        <f>(J1756-M1756)*税费参数!$B$12/(I1756*10000*(1+SUM(税费参数!$B$6:$B$8)))</f>
        <v>0.0140614456396618</v>
      </c>
      <c r="L1756" s="7">
        <f>J1756*税费参数!$B$12/(I1756*10000)</f>
        <v>0.0163934426229508</v>
      </c>
      <c r="M1756" s="6">
        <f>I1756*10000*SUM(税费参数!$B$9:$B$10)/税费参数!$B$11</f>
        <v>205.875</v>
      </c>
    </row>
    <row r="1757" ht="21" customHeight="1" spans="1:13">
      <c r="A1757" s="5" t="s">
        <v>16</v>
      </c>
      <c r="B1757" s="6" t="s">
        <v>122</v>
      </c>
      <c r="C1757" s="6" t="s">
        <v>159</v>
      </c>
      <c r="D1757" s="6" t="s">
        <v>153</v>
      </c>
      <c r="E1757" s="6" t="s">
        <v>1391</v>
      </c>
      <c r="F1757" s="6" t="s">
        <v>1999</v>
      </c>
      <c r="G1757" s="6">
        <v>31.08</v>
      </c>
      <c r="H1757" s="6">
        <v>29.14</v>
      </c>
      <c r="I1757" s="6">
        <v>109.8</v>
      </c>
      <c r="J1757" s="6">
        <v>1400</v>
      </c>
      <c r="K1757" s="7">
        <f>(J1757-M1757)*税费参数!$B$12/(I1757*10000*(1+SUM(税费参数!$B$6:$B$8)))</f>
        <v>0.0105331286909503</v>
      </c>
      <c r="L1757" s="7">
        <f>J1757*税费参数!$B$12/(I1757*10000)</f>
        <v>0.0127504553734062</v>
      </c>
      <c r="M1757" s="6">
        <f>I1757*10000*SUM(税费参数!$B$9:$B$10)/税费参数!$B$11</f>
        <v>205.875</v>
      </c>
    </row>
    <row r="1758" ht="21" customHeight="1" spans="1:13">
      <c r="A1758" s="5" t="s">
        <v>16</v>
      </c>
      <c r="B1758" s="6" t="s">
        <v>122</v>
      </c>
      <c r="C1758" s="6" t="s">
        <v>152</v>
      </c>
      <c r="D1758" s="6" t="s">
        <v>160</v>
      </c>
      <c r="E1758" s="6" t="s">
        <v>1291</v>
      </c>
      <c r="F1758" s="6" t="s">
        <v>2000</v>
      </c>
      <c r="G1758" s="6">
        <v>52.11</v>
      </c>
      <c r="H1758" s="6">
        <v>52.1</v>
      </c>
      <c r="I1758" s="6">
        <v>88</v>
      </c>
      <c r="J1758" s="6">
        <v>4800</v>
      </c>
      <c r="K1758" s="7">
        <f>(J1758-M1758)*税费参数!$B$12/(I1758*10000*(1+SUM(税费参数!$B$6:$B$8)))</f>
        <v>0.0510125467752586</v>
      </c>
      <c r="L1758" s="7">
        <f>J1758*税费参数!$B$12/(I1758*10000)</f>
        <v>0.0545454545454545</v>
      </c>
      <c r="M1758" s="6">
        <f>I1758*10000*SUM(税费参数!$B$9:$B$10)/税费参数!$B$11</f>
        <v>165</v>
      </c>
    </row>
    <row r="1759" ht="21" customHeight="1" spans="1:13">
      <c r="A1759" s="5" t="s">
        <v>16</v>
      </c>
      <c r="B1759" s="6" t="s">
        <v>122</v>
      </c>
      <c r="C1759" s="6" t="s">
        <v>152</v>
      </c>
      <c r="D1759" s="6" t="s">
        <v>160</v>
      </c>
      <c r="E1759" s="6" t="s">
        <v>1291</v>
      </c>
      <c r="F1759" s="6" t="s">
        <v>2001</v>
      </c>
      <c r="G1759" s="6">
        <v>52.11</v>
      </c>
      <c r="H1759" s="6">
        <v>48.22</v>
      </c>
      <c r="I1759" s="6">
        <v>88</v>
      </c>
      <c r="J1759" s="6">
        <v>1816</v>
      </c>
      <c r="K1759" s="7">
        <f>(J1759-M1759)*税费参数!$B$12/(I1759*10000*(1+SUM(税费参数!$B$6:$B$8)))</f>
        <v>0.0181708122386088</v>
      </c>
      <c r="L1759" s="7">
        <f>J1759*税费参数!$B$12/(I1759*10000)</f>
        <v>0.0206363636363636</v>
      </c>
      <c r="M1759" s="6">
        <f>I1759*10000*SUM(税费参数!$B$9:$B$10)/税费参数!$B$11</f>
        <v>165</v>
      </c>
    </row>
    <row r="1760" ht="21" customHeight="1" spans="1:13">
      <c r="A1760" s="5" t="s">
        <v>16</v>
      </c>
      <c r="B1760" s="6" t="s">
        <v>122</v>
      </c>
      <c r="C1760" s="6" t="s">
        <v>152</v>
      </c>
      <c r="D1760" s="6" t="s">
        <v>160</v>
      </c>
      <c r="E1760" s="6" t="s">
        <v>1291</v>
      </c>
      <c r="F1760" s="6" t="s">
        <v>2002</v>
      </c>
      <c r="G1760" s="6">
        <v>52.11</v>
      </c>
      <c r="H1760" s="6">
        <v>51.59</v>
      </c>
      <c r="I1760" s="6">
        <v>88</v>
      </c>
      <c r="J1760" s="6">
        <v>2850</v>
      </c>
      <c r="K1760" s="7">
        <f>(J1760-M1760)*税费参数!$B$12/(I1760*10000*(1+SUM(税费参数!$B$6:$B$8)))</f>
        <v>0.0295509575170592</v>
      </c>
      <c r="L1760" s="7">
        <f>J1760*税费参数!$B$12/(I1760*10000)</f>
        <v>0.0323863636363636</v>
      </c>
      <c r="M1760" s="6">
        <f>I1760*10000*SUM(税费参数!$B$9:$B$10)/税费参数!$B$11</f>
        <v>165</v>
      </c>
    </row>
    <row r="1761" ht="21" customHeight="1" spans="1:13">
      <c r="A1761" s="5" t="s">
        <v>16</v>
      </c>
      <c r="B1761" s="6" t="s">
        <v>122</v>
      </c>
      <c r="C1761" s="6" t="s">
        <v>152</v>
      </c>
      <c r="D1761" s="6" t="s">
        <v>160</v>
      </c>
      <c r="E1761" s="6" t="s">
        <v>1293</v>
      </c>
      <c r="F1761" s="6" t="s">
        <v>2000</v>
      </c>
      <c r="G1761" s="6">
        <v>51.59</v>
      </c>
      <c r="H1761" s="6">
        <v>52.1</v>
      </c>
      <c r="I1761" s="6">
        <v>92</v>
      </c>
      <c r="J1761" s="6">
        <v>4800</v>
      </c>
      <c r="K1761" s="7">
        <f>(J1761-M1761)*税费参数!$B$12/(I1761*10000*(1+SUM(税费参数!$B$6:$B$8)))</f>
        <v>0.0487156542793978</v>
      </c>
      <c r="L1761" s="7">
        <f>J1761*税费参数!$B$12/(I1761*10000)</f>
        <v>0.0521739130434783</v>
      </c>
      <c r="M1761" s="6">
        <f>I1761*10000*SUM(税费参数!$B$9:$B$10)/税费参数!$B$11</f>
        <v>172.5</v>
      </c>
    </row>
    <row r="1762" ht="21" customHeight="1" spans="1:13">
      <c r="A1762" s="5" t="s">
        <v>16</v>
      </c>
      <c r="B1762" s="6" t="s">
        <v>122</v>
      </c>
      <c r="C1762" s="6" t="s">
        <v>152</v>
      </c>
      <c r="D1762" s="6" t="s">
        <v>160</v>
      </c>
      <c r="E1762" s="6" t="s">
        <v>1293</v>
      </c>
      <c r="F1762" s="6" t="s">
        <v>2001</v>
      </c>
      <c r="G1762" s="6">
        <v>51.59</v>
      </c>
      <c r="H1762" s="6">
        <v>48.22</v>
      </c>
      <c r="I1762" s="6">
        <v>92</v>
      </c>
      <c r="J1762" s="6">
        <v>1816</v>
      </c>
      <c r="K1762" s="7">
        <f>(J1762-M1762)*税费参数!$B$12/(I1762*10000*(1+SUM(税费参数!$B$6:$B$8)))</f>
        <v>0.0173018212443415</v>
      </c>
      <c r="L1762" s="7">
        <f>J1762*税费参数!$B$12/(I1762*10000)</f>
        <v>0.0197391304347826</v>
      </c>
      <c r="M1762" s="6">
        <f>I1762*10000*SUM(税费参数!$B$9:$B$10)/税费参数!$B$11</f>
        <v>172.5</v>
      </c>
    </row>
    <row r="1763" ht="21" customHeight="1" spans="1:13">
      <c r="A1763" s="5" t="s">
        <v>16</v>
      </c>
      <c r="B1763" s="6" t="s">
        <v>122</v>
      </c>
      <c r="C1763" s="6" t="s">
        <v>152</v>
      </c>
      <c r="D1763" s="6" t="s">
        <v>160</v>
      </c>
      <c r="E1763" s="6" t="s">
        <v>1293</v>
      </c>
      <c r="F1763" s="6" t="s">
        <v>2002</v>
      </c>
      <c r="G1763" s="6">
        <v>51.59</v>
      </c>
      <c r="H1763" s="6">
        <v>51.59</v>
      </c>
      <c r="I1763" s="6">
        <v>92</v>
      </c>
      <c r="J1763" s="6">
        <v>2850</v>
      </c>
      <c r="K1763" s="7">
        <f>(J1763-M1763)*税费参数!$B$12/(I1763*10000*(1+SUM(税费参数!$B$6:$B$8)))</f>
        <v>0.0281871775976419</v>
      </c>
      <c r="L1763" s="7">
        <f>J1763*税费参数!$B$12/(I1763*10000)</f>
        <v>0.0309782608695652</v>
      </c>
      <c r="M1763" s="6">
        <f>I1763*10000*SUM(税费参数!$B$9:$B$10)/税费参数!$B$11</f>
        <v>172.5</v>
      </c>
    </row>
    <row r="1764" ht="21" customHeight="1" spans="1:13">
      <c r="A1764" s="5" t="s">
        <v>16</v>
      </c>
      <c r="B1764" s="6" t="s">
        <v>122</v>
      </c>
      <c r="C1764" s="6" t="s">
        <v>152</v>
      </c>
      <c r="D1764" s="6" t="s">
        <v>160</v>
      </c>
      <c r="E1764" s="6" t="s">
        <v>1289</v>
      </c>
      <c r="F1764" s="6" t="s">
        <v>2000</v>
      </c>
      <c r="G1764" s="6">
        <v>49.78</v>
      </c>
      <c r="H1764" s="6">
        <v>52.1</v>
      </c>
      <c r="I1764" s="6">
        <v>93</v>
      </c>
      <c r="J1764" s="6">
        <v>4800</v>
      </c>
      <c r="K1764" s="7">
        <f>(J1764-M1764)*税费参数!$B$12/(I1764*10000*(1+SUM(税费参数!$B$6:$B$8)))</f>
        <v>0.0481723033663985</v>
      </c>
      <c r="L1764" s="7">
        <f>J1764*税费参数!$B$12/(I1764*10000)</f>
        <v>0.0516129032258065</v>
      </c>
      <c r="M1764" s="6">
        <f>I1764*10000*SUM(税费参数!$B$9:$B$10)/税费参数!$B$11</f>
        <v>174.375</v>
      </c>
    </row>
    <row r="1765" ht="21" customHeight="1" spans="1:13">
      <c r="A1765" s="5" t="s">
        <v>16</v>
      </c>
      <c r="B1765" s="6" t="s">
        <v>122</v>
      </c>
      <c r="C1765" s="6" t="s">
        <v>152</v>
      </c>
      <c r="D1765" s="6" t="s">
        <v>160</v>
      </c>
      <c r="E1765" s="6" t="s">
        <v>1289</v>
      </c>
      <c r="F1765" s="6" t="s">
        <v>2001</v>
      </c>
      <c r="G1765" s="6">
        <v>49.78</v>
      </c>
      <c r="H1765" s="6">
        <v>48.22</v>
      </c>
      <c r="I1765" s="6">
        <v>93</v>
      </c>
      <c r="J1765" s="6">
        <v>1816</v>
      </c>
      <c r="K1765" s="7">
        <f>(J1765-M1765)*税费参数!$B$12/(I1765*10000*(1+SUM(税费参数!$B$6:$B$8)))</f>
        <v>0.0170962534822568</v>
      </c>
      <c r="L1765" s="7">
        <f>J1765*税费参数!$B$12/(I1765*10000)</f>
        <v>0.0195268817204301</v>
      </c>
      <c r="M1765" s="6">
        <f>I1765*10000*SUM(税费参数!$B$9:$B$10)/税费参数!$B$11</f>
        <v>174.375</v>
      </c>
    </row>
    <row r="1766" ht="21" customHeight="1" spans="1:13">
      <c r="A1766" s="5" t="s">
        <v>16</v>
      </c>
      <c r="B1766" s="6" t="s">
        <v>122</v>
      </c>
      <c r="C1766" s="6" t="s">
        <v>152</v>
      </c>
      <c r="D1766" s="6" t="s">
        <v>160</v>
      </c>
      <c r="E1766" s="6" t="s">
        <v>1289</v>
      </c>
      <c r="F1766" s="6" t="s">
        <v>2002</v>
      </c>
      <c r="G1766" s="6">
        <v>49.78</v>
      </c>
      <c r="H1766" s="6">
        <v>51.59</v>
      </c>
      <c r="I1766" s="6">
        <v>93</v>
      </c>
      <c r="J1766" s="6">
        <v>2850</v>
      </c>
      <c r="K1766" s="7">
        <f>(J1766-M1766)*税费参数!$B$12/(I1766*10000*(1+SUM(税费参数!$B$6:$B$8)))</f>
        <v>0.0278645629930485</v>
      </c>
      <c r="L1766" s="7">
        <f>J1766*税费参数!$B$12/(I1766*10000)</f>
        <v>0.0306451612903226</v>
      </c>
      <c r="M1766" s="6">
        <f>I1766*10000*SUM(税费参数!$B$9:$B$10)/税费参数!$B$11</f>
        <v>174.375</v>
      </c>
    </row>
    <row r="1767" ht="21" customHeight="1" spans="1:13">
      <c r="A1767" s="5" t="s">
        <v>16</v>
      </c>
      <c r="B1767" s="6" t="s">
        <v>122</v>
      </c>
      <c r="C1767" s="6" t="s">
        <v>152</v>
      </c>
      <c r="D1767" s="6" t="s">
        <v>153</v>
      </c>
      <c r="E1767" s="6" t="s">
        <v>1295</v>
      </c>
      <c r="F1767" s="6" t="s">
        <v>2003</v>
      </c>
      <c r="G1767" s="6">
        <v>52.12</v>
      </c>
      <c r="H1767" s="6">
        <v>48.47</v>
      </c>
      <c r="I1767" s="6">
        <v>105</v>
      </c>
      <c r="J1767" s="6">
        <v>2200</v>
      </c>
      <c r="K1767" s="7">
        <f>(J1767-M1767)*税费参数!$B$12/(I1767*10000*(1+SUM(税费参数!$B$6:$B$8)))</f>
        <v>0.0184768822783351</v>
      </c>
      <c r="L1767" s="7">
        <f>J1767*税费参数!$B$12/(I1767*10000)</f>
        <v>0.020952380952381</v>
      </c>
      <c r="M1767" s="6">
        <f>I1767*10000*SUM(税费参数!$B$9:$B$10)/税费参数!$B$11</f>
        <v>196.875</v>
      </c>
    </row>
    <row r="1768" ht="21" customHeight="1" spans="1:13">
      <c r="A1768" s="5" t="s">
        <v>16</v>
      </c>
      <c r="B1768" s="6" t="s">
        <v>122</v>
      </c>
      <c r="C1768" s="6" t="s">
        <v>152</v>
      </c>
      <c r="D1768" s="6" t="s">
        <v>153</v>
      </c>
      <c r="E1768" s="6" t="s">
        <v>1295</v>
      </c>
      <c r="F1768" s="6" t="s">
        <v>2004</v>
      </c>
      <c r="G1768" s="6">
        <v>52.12</v>
      </c>
      <c r="H1768" s="6">
        <v>48.95</v>
      </c>
      <c r="I1768" s="6">
        <v>105</v>
      </c>
      <c r="J1768" s="6">
        <v>1800</v>
      </c>
      <c r="K1768" s="7">
        <f>(J1768-M1768)*税费参数!$B$12/(I1768*10000*(1+SUM(税费参数!$B$6:$B$8)))</f>
        <v>0.0147872708405396</v>
      </c>
      <c r="L1768" s="7">
        <f>J1768*税费参数!$B$12/(I1768*10000)</f>
        <v>0.0171428571428571</v>
      </c>
      <c r="M1768" s="6">
        <f>I1768*10000*SUM(税费参数!$B$9:$B$10)/税费参数!$B$11</f>
        <v>196.875</v>
      </c>
    </row>
    <row r="1769" ht="21" customHeight="1" spans="1:13">
      <c r="A1769" s="5" t="s">
        <v>16</v>
      </c>
      <c r="B1769" s="6" t="s">
        <v>122</v>
      </c>
      <c r="C1769" s="6" t="s">
        <v>152</v>
      </c>
      <c r="D1769" s="6" t="s">
        <v>153</v>
      </c>
      <c r="E1769" s="6" t="s">
        <v>1295</v>
      </c>
      <c r="F1769" s="6" t="s">
        <v>2005</v>
      </c>
      <c r="G1769" s="6">
        <v>52.12</v>
      </c>
      <c r="H1769" s="6">
        <v>50.29</v>
      </c>
      <c r="I1769" s="6">
        <v>105</v>
      </c>
      <c r="J1769" s="6">
        <v>1900</v>
      </c>
      <c r="K1769" s="7">
        <f>(J1769-M1769)*税费参数!$B$12/(I1769*10000*(1+SUM(税费参数!$B$6:$B$8)))</f>
        <v>0.0157096736999885</v>
      </c>
      <c r="L1769" s="7">
        <f>J1769*税费参数!$B$12/(I1769*10000)</f>
        <v>0.0180952380952381</v>
      </c>
      <c r="M1769" s="6">
        <f>I1769*10000*SUM(税费参数!$B$9:$B$10)/税费参数!$B$11</f>
        <v>196.875</v>
      </c>
    </row>
    <row r="1770" ht="21" customHeight="1" spans="1:13">
      <c r="A1770" s="5" t="s">
        <v>16</v>
      </c>
      <c r="B1770" s="6" t="s">
        <v>122</v>
      </c>
      <c r="C1770" s="6" t="s">
        <v>152</v>
      </c>
      <c r="D1770" s="6" t="s">
        <v>153</v>
      </c>
      <c r="E1770" s="6" t="s">
        <v>1295</v>
      </c>
      <c r="F1770" s="6" t="s">
        <v>2006</v>
      </c>
      <c r="G1770" s="6">
        <v>52.12</v>
      </c>
      <c r="H1770" s="6">
        <v>47.92</v>
      </c>
      <c r="I1770" s="6">
        <v>105</v>
      </c>
      <c r="J1770" s="6">
        <v>2000</v>
      </c>
      <c r="K1770" s="7">
        <f>(J1770-M1770)*税费参数!$B$12/(I1770*10000*(1+SUM(税费参数!$B$6:$B$8)))</f>
        <v>0.0166320765594373</v>
      </c>
      <c r="L1770" s="7">
        <f>J1770*税费参数!$B$12/(I1770*10000)</f>
        <v>0.019047619047619</v>
      </c>
      <c r="M1770" s="6">
        <f>I1770*10000*SUM(税费参数!$B$9:$B$10)/税费参数!$B$11</f>
        <v>196.875</v>
      </c>
    </row>
    <row r="1771" ht="21" customHeight="1" spans="1:13">
      <c r="A1771" s="5" t="s">
        <v>16</v>
      </c>
      <c r="B1771" s="6" t="s">
        <v>122</v>
      </c>
      <c r="C1771" s="6" t="s">
        <v>152</v>
      </c>
      <c r="D1771" s="6" t="s">
        <v>153</v>
      </c>
      <c r="E1771" s="6" t="s">
        <v>1295</v>
      </c>
      <c r="F1771" s="6" t="s">
        <v>2007</v>
      </c>
      <c r="G1771" s="6">
        <v>52.12</v>
      </c>
      <c r="H1771" s="6">
        <v>47.53</v>
      </c>
      <c r="I1771" s="6">
        <v>105</v>
      </c>
      <c r="J1771" s="6">
        <v>1850</v>
      </c>
      <c r="K1771" s="7">
        <f>(J1771-M1771)*税费参数!$B$12/(I1771*10000*(1+SUM(税费参数!$B$6:$B$8)))</f>
        <v>0.015248472270264</v>
      </c>
      <c r="L1771" s="7">
        <f>J1771*税费参数!$B$12/(I1771*10000)</f>
        <v>0.0176190476190476</v>
      </c>
      <c r="M1771" s="6">
        <f>I1771*10000*SUM(税费参数!$B$9:$B$10)/税费参数!$B$11</f>
        <v>196.875</v>
      </c>
    </row>
    <row r="1772" ht="21" customHeight="1" spans="1:13">
      <c r="A1772" s="5" t="s">
        <v>16</v>
      </c>
      <c r="B1772" s="6" t="s">
        <v>122</v>
      </c>
      <c r="C1772" s="6" t="s">
        <v>152</v>
      </c>
      <c r="D1772" s="6" t="s">
        <v>153</v>
      </c>
      <c r="E1772" s="6" t="s">
        <v>1295</v>
      </c>
      <c r="F1772" s="6" t="s">
        <v>2008</v>
      </c>
      <c r="G1772" s="6">
        <v>52.12</v>
      </c>
      <c r="H1772" s="6">
        <v>45.16</v>
      </c>
      <c r="I1772" s="6">
        <v>105</v>
      </c>
      <c r="J1772" s="6">
        <v>2000</v>
      </c>
      <c r="K1772" s="7">
        <f>(J1772-M1772)*税费参数!$B$12/(I1772*10000*(1+SUM(税费参数!$B$6:$B$8)))</f>
        <v>0.0166320765594373</v>
      </c>
      <c r="L1772" s="7">
        <f>J1772*税费参数!$B$12/(I1772*10000)</f>
        <v>0.019047619047619</v>
      </c>
      <c r="M1772" s="6">
        <f>I1772*10000*SUM(税费参数!$B$9:$B$10)/税费参数!$B$11</f>
        <v>196.875</v>
      </c>
    </row>
    <row r="1773" ht="21" customHeight="1" spans="1:13">
      <c r="A1773" s="5" t="s">
        <v>16</v>
      </c>
      <c r="B1773" s="6" t="s">
        <v>122</v>
      </c>
      <c r="C1773" s="6" t="s">
        <v>152</v>
      </c>
      <c r="D1773" s="6" t="s">
        <v>153</v>
      </c>
      <c r="E1773" s="6" t="s">
        <v>1295</v>
      </c>
      <c r="F1773" s="6" t="s">
        <v>2009</v>
      </c>
      <c r="G1773" s="6">
        <v>52.12</v>
      </c>
      <c r="H1773" s="6">
        <v>51.15</v>
      </c>
      <c r="I1773" s="6">
        <v>105</v>
      </c>
      <c r="J1773" s="6">
        <v>1950</v>
      </c>
      <c r="K1773" s="7">
        <f>(J1773-M1773)*税费参数!$B$12/(I1773*10000*(1+SUM(税费参数!$B$6:$B$8)))</f>
        <v>0.0161708751297129</v>
      </c>
      <c r="L1773" s="7">
        <f>J1773*税费参数!$B$12/(I1773*10000)</f>
        <v>0.0185714285714286</v>
      </c>
      <c r="M1773" s="6">
        <f>I1773*10000*SUM(税费参数!$B$9:$B$10)/税费参数!$B$11</f>
        <v>196.875</v>
      </c>
    </row>
    <row r="1774" ht="21" customHeight="1" spans="1:13">
      <c r="A1774" s="5" t="s">
        <v>16</v>
      </c>
      <c r="B1774" s="6" t="s">
        <v>122</v>
      </c>
      <c r="C1774" s="6" t="s">
        <v>152</v>
      </c>
      <c r="D1774" s="6" t="s">
        <v>153</v>
      </c>
      <c r="E1774" s="6" t="s">
        <v>1295</v>
      </c>
      <c r="F1774" s="6" t="s">
        <v>2010</v>
      </c>
      <c r="G1774" s="6">
        <v>52.12</v>
      </c>
      <c r="H1774" s="6">
        <v>48.83</v>
      </c>
      <c r="I1774" s="6">
        <v>105</v>
      </c>
      <c r="J1774" s="6">
        <v>2400</v>
      </c>
      <c r="K1774" s="7">
        <f>(J1774-M1774)*税费参数!$B$12/(I1774*10000*(1+SUM(税费参数!$B$6:$B$8)))</f>
        <v>0.0203216879972328</v>
      </c>
      <c r="L1774" s="7">
        <f>J1774*税费参数!$B$12/(I1774*10000)</f>
        <v>0.0228571428571429</v>
      </c>
      <c r="M1774" s="6">
        <f>I1774*10000*SUM(税费参数!$B$9:$B$10)/税费参数!$B$11</f>
        <v>196.875</v>
      </c>
    </row>
    <row r="1775" ht="21" customHeight="1" spans="1:13">
      <c r="A1775" s="5" t="s">
        <v>16</v>
      </c>
      <c r="B1775" s="6" t="s">
        <v>122</v>
      </c>
      <c r="C1775" s="6" t="s">
        <v>152</v>
      </c>
      <c r="D1775" s="6" t="s">
        <v>153</v>
      </c>
      <c r="E1775" s="6" t="s">
        <v>1295</v>
      </c>
      <c r="F1775" s="6" t="s">
        <v>2011</v>
      </c>
      <c r="G1775" s="6">
        <v>52.12</v>
      </c>
      <c r="H1775" s="6">
        <v>48.47</v>
      </c>
      <c r="I1775" s="6">
        <v>105</v>
      </c>
      <c r="J1775" s="6">
        <v>2100</v>
      </c>
      <c r="K1775" s="7">
        <f>(J1775-M1775)*税费参数!$B$12/(I1775*10000*(1+SUM(税费参数!$B$6:$B$8)))</f>
        <v>0.0175544794188862</v>
      </c>
      <c r="L1775" s="7">
        <f>J1775*税费参数!$B$12/(I1775*10000)</f>
        <v>0.02</v>
      </c>
      <c r="M1775" s="6">
        <f>I1775*10000*SUM(税费参数!$B$9:$B$10)/税费参数!$B$11</f>
        <v>196.875</v>
      </c>
    </row>
    <row r="1776" ht="21" customHeight="1" spans="1:13">
      <c r="A1776" s="5" t="s">
        <v>16</v>
      </c>
      <c r="B1776" s="6" t="s">
        <v>122</v>
      </c>
      <c r="C1776" s="6" t="s">
        <v>152</v>
      </c>
      <c r="D1776" s="6" t="s">
        <v>153</v>
      </c>
      <c r="E1776" s="6" t="s">
        <v>1295</v>
      </c>
      <c r="F1776" s="6" t="s">
        <v>2012</v>
      </c>
      <c r="G1776" s="6">
        <v>52.12</v>
      </c>
      <c r="H1776" s="6">
        <v>48.86</v>
      </c>
      <c r="I1776" s="6">
        <v>105</v>
      </c>
      <c r="J1776" s="6">
        <v>3300</v>
      </c>
      <c r="K1776" s="7">
        <f>(J1776-M1776)*税费参数!$B$12/(I1776*10000*(1+SUM(税费参数!$B$6:$B$8)))</f>
        <v>0.0286233137322726</v>
      </c>
      <c r="L1776" s="7">
        <f>J1776*税费参数!$B$12/(I1776*10000)</f>
        <v>0.0314285714285714</v>
      </c>
      <c r="M1776" s="6">
        <f>I1776*10000*SUM(税费参数!$B$9:$B$10)/税费参数!$B$11</f>
        <v>196.875</v>
      </c>
    </row>
    <row r="1777" ht="21" customHeight="1" spans="1:13">
      <c r="A1777" s="5" t="s">
        <v>16</v>
      </c>
      <c r="B1777" s="6" t="s">
        <v>122</v>
      </c>
      <c r="C1777" s="6" t="s">
        <v>152</v>
      </c>
      <c r="D1777" s="6" t="s">
        <v>153</v>
      </c>
      <c r="E1777" s="6" t="s">
        <v>1295</v>
      </c>
      <c r="F1777" s="6" t="s">
        <v>2013</v>
      </c>
      <c r="G1777" s="6">
        <v>52.12</v>
      </c>
      <c r="H1777" s="6">
        <v>49.96</v>
      </c>
      <c r="I1777" s="6">
        <v>105</v>
      </c>
      <c r="J1777" s="6">
        <v>2500</v>
      </c>
      <c r="K1777" s="7">
        <f>(J1777-M1777)*税费参数!$B$12/(I1777*10000*(1+SUM(税费参数!$B$6:$B$8)))</f>
        <v>0.0212440908566817</v>
      </c>
      <c r="L1777" s="7">
        <f>J1777*税费参数!$B$12/(I1777*10000)</f>
        <v>0.0238095238095238</v>
      </c>
      <c r="M1777" s="6">
        <f>I1777*10000*SUM(税费参数!$B$9:$B$10)/税费参数!$B$11</f>
        <v>196.875</v>
      </c>
    </row>
    <row r="1778" ht="21" customHeight="1" spans="1:13">
      <c r="A1778" s="5" t="s">
        <v>16</v>
      </c>
      <c r="B1778" s="6" t="s">
        <v>122</v>
      </c>
      <c r="C1778" s="6" t="s">
        <v>152</v>
      </c>
      <c r="D1778" s="6" t="s">
        <v>153</v>
      </c>
      <c r="E1778" s="6" t="s">
        <v>1295</v>
      </c>
      <c r="F1778" s="6" t="s">
        <v>2014</v>
      </c>
      <c r="G1778" s="6">
        <v>52.12</v>
      </c>
      <c r="H1778" s="6">
        <v>50.02</v>
      </c>
      <c r="I1778" s="6">
        <v>105</v>
      </c>
      <c r="J1778" s="6">
        <v>2700</v>
      </c>
      <c r="K1778" s="7">
        <f>(J1778-M1778)*税费参数!$B$12/(I1778*10000*(1+SUM(税费参数!$B$6:$B$8)))</f>
        <v>0.0230888965755794</v>
      </c>
      <c r="L1778" s="7">
        <f>J1778*税费参数!$B$12/(I1778*10000)</f>
        <v>0.0257142857142857</v>
      </c>
      <c r="M1778" s="6">
        <f>I1778*10000*SUM(税费参数!$B$9:$B$10)/税费参数!$B$11</f>
        <v>196.875</v>
      </c>
    </row>
    <row r="1779" ht="21" customHeight="1" spans="1:13">
      <c r="A1779" s="5" t="s">
        <v>16</v>
      </c>
      <c r="B1779" s="6" t="s">
        <v>122</v>
      </c>
      <c r="C1779" s="6" t="s">
        <v>152</v>
      </c>
      <c r="D1779" s="6" t="s">
        <v>153</v>
      </c>
      <c r="E1779" s="6" t="s">
        <v>1295</v>
      </c>
      <c r="F1779" s="6" t="s">
        <v>2015</v>
      </c>
      <c r="G1779" s="6">
        <v>52.12</v>
      </c>
      <c r="H1779" s="6">
        <v>50.21</v>
      </c>
      <c r="I1779" s="6">
        <v>105</v>
      </c>
      <c r="J1779" s="6">
        <v>2200</v>
      </c>
      <c r="K1779" s="7">
        <f>(J1779-M1779)*税费参数!$B$12/(I1779*10000*(1+SUM(税费参数!$B$6:$B$8)))</f>
        <v>0.0184768822783351</v>
      </c>
      <c r="L1779" s="7">
        <f>J1779*税费参数!$B$12/(I1779*10000)</f>
        <v>0.020952380952381</v>
      </c>
      <c r="M1779" s="6">
        <f>I1779*10000*SUM(税费参数!$B$9:$B$10)/税费参数!$B$11</f>
        <v>196.875</v>
      </c>
    </row>
    <row r="1780" ht="21" customHeight="1" spans="1:13">
      <c r="A1780" s="5" t="s">
        <v>16</v>
      </c>
      <c r="B1780" s="6" t="s">
        <v>122</v>
      </c>
      <c r="C1780" s="6" t="s">
        <v>152</v>
      </c>
      <c r="D1780" s="6" t="s">
        <v>153</v>
      </c>
      <c r="E1780" s="6" t="s">
        <v>1295</v>
      </c>
      <c r="F1780" s="6" t="s">
        <v>2016</v>
      </c>
      <c r="G1780" s="6">
        <v>52.12</v>
      </c>
      <c r="H1780" s="6">
        <v>47.84</v>
      </c>
      <c r="I1780" s="6">
        <v>105</v>
      </c>
      <c r="J1780" s="6">
        <v>2000</v>
      </c>
      <c r="K1780" s="7">
        <f>(J1780-M1780)*税费参数!$B$12/(I1780*10000*(1+SUM(税费参数!$B$6:$B$8)))</f>
        <v>0.0166320765594373</v>
      </c>
      <c r="L1780" s="7">
        <f>J1780*税费参数!$B$12/(I1780*10000)</f>
        <v>0.019047619047619</v>
      </c>
      <c r="M1780" s="6">
        <f>I1780*10000*SUM(税费参数!$B$9:$B$10)/税费参数!$B$11</f>
        <v>196.875</v>
      </c>
    </row>
    <row r="1781" ht="21" customHeight="1" spans="1:13">
      <c r="A1781" s="5" t="s">
        <v>16</v>
      </c>
      <c r="B1781" s="6" t="s">
        <v>122</v>
      </c>
      <c r="C1781" s="6" t="s">
        <v>152</v>
      </c>
      <c r="D1781" s="6" t="s">
        <v>153</v>
      </c>
      <c r="E1781" s="6" t="s">
        <v>1295</v>
      </c>
      <c r="F1781" s="6" t="s">
        <v>2017</v>
      </c>
      <c r="G1781" s="6">
        <v>52.12</v>
      </c>
      <c r="H1781" s="6">
        <v>49.67</v>
      </c>
      <c r="I1781" s="6">
        <v>105</v>
      </c>
      <c r="J1781" s="6">
        <v>2100</v>
      </c>
      <c r="K1781" s="7">
        <f>(J1781-M1781)*税费参数!$B$12/(I1781*10000*(1+SUM(税费参数!$B$6:$B$8)))</f>
        <v>0.0175544794188862</v>
      </c>
      <c r="L1781" s="7">
        <f>J1781*税费参数!$B$12/(I1781*10000)</f>
        <v>0.02</v>
      </c>
      <c r="M1781" s="6">
        <f>I1781*10000*SUM(税费参数!$B$9:$B$10)/税费参数!$B$11</f>
        <v>196.875</v>
      </c>
    </row>
    <row r="1782" ht="21" customHeight="1" spans="1:13">
      <c r="A1782" s="5" t="s">
        <v>16</v>
      </c>
      <c r="B1782" s="6" t="s">
        <v>122</v>
      </c>
      <c r="C1782" s="6" t="s">
        <v>152</v>
      </c>
      <c r="D1782" s="6" t="s">
        <v>153</v>
      </c>
      <c r="E1782" s="6" t="s">
        <v>1295</v>
      </c>
      <c r="F1782" s="6" t="s">
        <v>2018</v>
      </c>
      <c r="G1782" s="6">
        <v>52.12</v>
      </c>
      <c r="H1782" s="6">
        <v>49.24</v>
      </c>
      <c r="I1782" s="6">
        <v>105</v>
      </c>
      <c r="J1782" s="6">
        <v>2300</v>
      </c>
      <c r="K1782" s="7">
        <f>(J1782-M1782)*税费参数!$B$12/(I1782*10000*(1+SUM(税费参数!$B$6:$B$8)))</f>
        <v>0.0193992851377839</v>
      </c>
      <c r="L1782" s="7">
        <f>J1782*税费参数!$B$12/(I1782*10000)</f>
        <v>0.0219047619047619</v>
      </c>
      <c r="M1782" s="6">
        <f>I1782*10000*SUM(税费参数!$B$9:$B$10)/税费参数!$B$11</f>
        <v>196.875</v>
      </c>
    </row>
    <row r="1783" ht="21" customHeight="1" spans="1:13">
      <c r="A1783" s="5" t="s">
        <v>16</v>
      </c>
      <c r="B1783" s="6" t="s">
        <v>122</v>
      </c>
      <c r="C1783" s="6" t="s">
        <v>152</v>
      </c>
      <c r="D1783" s="6" t="s">
        <v>153</v>
      </c>
      <c r="E1783" s="6" t="s">
        <v>1295</v>
      </c>
      <c r="F1783" s="6" t="s">
        <v>2019</v>
      </c>
      <c r="G1783" s="6">
        <v>52.12</v>
      </c>
      <c r="H1783" s="6">
        <v>47.53</v>
      </c>
      <c r="I1783" s="6">
        <v>105</v>
      </c>
      <c r="J1783" s="6">
        <v>2040</v>
      </c>
      <c r="K1783" s="7">
        <f>(J1783-M1783)*税费参数!$B$12/(I1783*10000*(1+SUM(税费参数!$B$6:$B$8)))</f>
        <v>0.0170010377032169</v>
      </c>
      <c r="L1783" s="7">
        <f>J1783*税费参数!$B$12/(I1783*10000)</f>
        <v>0.0194285714285714</v>
      </c>
      <c r="M1783" s="6">
        <f>I1783*10000*SUM(税费参数!$B$9:$B$10)/税费参数!$B$11</f>
        <v>196.875</v>
      </c>
    </row>
    <row r="1784" ht="21" customHeight="1" spans="1:13">
      <c r="A1784" s="5" t="s">
        <v>16</v>
      </c>
      <c r="B1784" s="6" t="s">
        <v>122</v>
      </c>
      <c r="C1784" s="6" t="s">
        <v>152</v>
      </c>
      <c r="D1784" s="6" t="s">
        <v>153</v>
      </c>
      <c r="E1784" s="6" t="s">
        <v>1295</v>
      </c>
      <c r="F1784" s="6" t="s">
        <v>2020</v>
      </c>
      <c r="G1784" s="6">
        <v>52.12</v>
      </c>
      <c r="H1784" s="6">
        <v>47.53</v>
      </c>
      <c r="I1784" s="6">
        <v>105</v>
      </c>
      <c r="J1784" s="6">
        <v>2000</v>
      </c>
      <c r="K1784" s="7">
        <f>(J1784-M1784)*税费参数!$B$12/(I1784*10000*(1+SUM(税费参数!$B$6:$B$8)))</f>
        <v>0.0166320765594373</v>
      </c>
      <c r="L1784" s="7">
        <f>J1784*税费参数!$B$12/(I1784*10000)</f>
        <v>0.019047619047619</v>
      </c>
      <c r="M1784" s="6">
        <f>I1784*10000*SUM(税费参数!$B$9:$B$10)/税费参数!$B$11</f>
        <v>196.875</v>
      </c>
    </row>
    <row r="1785" ht="21" customHeight="1" spans="1:13">
      <c r="A1785" s="5" t="s">
        <v>16</v>
      </c>
      <c r="B1785" s="6" t="s">
        <v>122</v>
      </c>
      <c r="C1785" s="6" t="s">
        <v>152</v>
      </c>
      <c r="D1785" s="6" t="s">
        <v>153</v>
      </c>
      <c r="E1785" s="6" t="s">
        <v>1297</v>
      </c>
      <c r="F1785" s="6" t="s">
        <v>2003</v>
      </c>
      <c r="G1785" s="6">
        <v>53.27</v>
      </c>
      <c r="H1785" s="6">
        <v>48.47</v>
      </c>
      <c r="I1785" s="6">
        <v>94</v>
      </c>
      <c r="J1785" s="6">
        <v>2200</v>
      </c>
      <c r="K1785" s="7">
        <f>(J1785-M1785)*税费参数!$B$12/(I1785*10000*(1+SUM(税费参数!$B$6:$B$8)))</f>
        <v>0.020851579001597</v>
      </c>
      <c r="L1785" s="7">
        <f>J1785*税费参数!$B$12/(I1785*10000)</f>
        <v>0.0234042553191489</v>
      </c>
      <c r="M1785" s="6">
        <f>I1785*10000*SUM(税费参数!$B$9:$B$10)/税费参数!$B$11</f>
        <v>176.25</v>
      </c>
    </row>
    <row r="1786" ht="21" customHeight="1" spans="1:13">
      <c r="A1786" s="5" t="s">
        <v>16</v>
      </c>
      <c r="B1786" s="6" t="s">
        <v>122</v>
      </c>
      <c r="C1786" s="6" t="s">
        <v>152</v>
      </c>
      <c r="D1786" s="6" t="s">
        <v>153</v>
      </c>
      <c r="E1786" s="6" t="s">
        <v>1297</v>
      </c>
      <c r="F1786" s="6" t="s">
        <v>2004</v>
      </c>
      <c r="G1786" s="6">
        <v>53.27</v>
      </c>
      <c r="H1786" s="6">
        <v>48.95</v>
      </c>
      <c r="I1786" s="6">
        <v>94</v>
      </c>
      <c r="J1786" s="6">
        <v>1800</v>
      </c>
      <c r="K1786" s="7">
        <f>(J1786-M1786)*税费参数!$B$12/(I1786*10000*(1+SUM(税费参数!$B$6:$B$8)))</f>
        <v>0.0167302045232085</v>
      </c>
      <c r="L1786" s="7">
        <f>J1786*税费参数!$B$12/(I1786*10000)</f>
        <v>0.0191489361702128</v>
      </c>
      <c r="M1786" s="6">
        <f>I1786*10000*SUM(税费参数!$B$9:$B$10)/税费参数!$B$11</f>
        <v>176.25</v>
      </c>
    </row>
    <row r="1787" ht="21" customHeight="1" spans="1:13">
      <c r="A1787" s="5" t="s">
        <v>16</v>
      </c>
      <c r="B1787" s="6" t="s">
        <v>122</v>
      </c>
      <c r="C1787" s="6" t="s">
        <v>152</v>
      </c>
      <c r="D1787" s="6" t="s">
        <v>153</v>
      </c>
      <c r="E1787" s="6" t="s">
        <v>1297</v>
      </c>
      <c r="F1787" s="6" t="s">
        <v>2005</v>
      </c>
      <c r="G1787" s="6">
        <v>53.27</v>
      </c>
      <c r="H1787" s="6">
        <v>50.29</v>
      </c>
      <c r="I1787" s="6">
        <v>94</v>
      </c>
      <c r="J1787" s="6">
        <v>1900</v>
      </c>
      <c r="K1787" s="7">
        <f>(J1787-M1787)*税费参数!$B$12/(I1787*10000*(1+SUM(税费参数!$B$6:$B$8)))</f>
        <v>0.0177605481428056</v>
      </c>
      <c r="L1787" s="7">
        <f>J1787*税费参数!$B$12/(I1787*10000)</f>
        <v>0.0202127659574468</v>
      </c>
      <c r="M1787" s="6">
        <f>I1787*10000*SUM(税费参数!$B$9:$B$10)/税费参数!$B$11</f>
        <v>176.25</v>
      </c>
    </row>
    <row r="1788" ht="21" customHeight="1" spans="1:13">
      <c r="A1788" s="5" t="s">
        <v>16</v>
      </c>
      <c r="B1788" s="6" t="s">
        <v>122</v>
      </c>
      <c r="C1788" s="6" t="s">
        <v>152</v>
      </c>
      <c r="D1788" s="6" t="s">
        <v>153</v>
      </c>
      <c r="E1788" s="6" t="s">
        <v>1297</v>
      </c>
      <c r="F1788" s="6" t="s">
        <v>2006</v>
      </c>
      <c r="G1788" s="6">
        <v>53.27</v>
      </c>
      <c r="H1788" s="6">
        <v>47.92</v>
      </c>
      <c r="I1788" s="6">
        <v>94</v>
      </c>
      <c r="J1788" s="6">
        <v>2000</v>
      </c>
      <c r="K1788" s="7">
        <f>(J1788-M1788)*税费参数!$B$12/(I1788*10000*(1+SUM(税费参数!$B$6:$B$8)))</f>
        <v>0.0187908917624028</v>
      </c>
      <c r="L1788" s="7">
        <f>J1788*税费参数!$B$12/(I1788*10000)</f>
        <v>0.0212765957446809</v>
      </c>
      <c r="M1788" s="6">
        <f>I1788*10000*SUM(税费参数!$B$9:$B$10)/税费参数!$B$11</f>
        <v>176.25</v>
      </c>
    </row>
    <row r="1789" ht="21" customHeight="1" spans="1:13">
      <c r="A1789" s="5" t="s">
        <v>16</v>
      </c>
      <c r="B1789" s="6" t="s">
        <v>122</v>
      </c>
      <c r="C1789" s="6" t="s">
        <v>152</v>
      </c>
      <c r="D1789" s="6" t="s">
        <v>153</v>
      </c>
      <c r="E1789" s="6" t="s">
        <v>1297</v>
      </c>
      <c r="F1789" s="6" t="s">
        <v>2007</v>
      </c>
      <c r="G1789" s="6">
        <v>53.27</v>
      </c>
      <c r="H1789" s="6">
        <v>47.53</v>
      </c>
      <c r="I1789" s="6">
        <v>94</v>
      </c>
      <c r="J1789" s="6">
        <v>1850</v>
      </c>
      <c r="K1789" s="7">
        <f>(J1789-M1789)*税费参数!$B$12/(I1789*10000*(1+SUM(税费参数!$B$6:$B$8)))</f>
        <v>0.0172453763330071</v>
      </c>
      <c r="L1789" s="7">
        <f>J1789*税费参数!$B$12/(I1789*10000)</f>
        <v>0.0196808510638298</v>
      </c>
      <c r="M1789" s="6">
        <f>I1789*10000*SUM(税费参数!$B$9:$B$10)/税费参数!$B$11</f>
        <v>176.25</v>
      </c>
    </row>
    <row r="1790" ht="21" customHeight="1" spans="1:13">
      <c r="A1790" s="5" t="s">
        <v>16</v>
      </c>
      <c r="B1790" s="6" t="s">
        <v>122</v>
      </c>
      <c r="C1790" s="6" t="s">
        <v>152</v>
      </c>
      <c r="D1790" s="6" t="s">
        <v>153</v>
      </c>
      <c r="E1790" s="6" t="s">
        <v>1297</v>
      </c>
      <c r="F1790" s="6" t="s">
        <v>2009</v>
      </c>
      <c r="G1790" s="6">
        <v>53.27</v>
      </c>
      <c r="H1790" s="6">
        <v>51.15</v>
      </c>
      <c r="I1790" s="6">
        <v>94</v>
      </c>
      <c r="J1790" s="6">
        <v>1950</v>
      </c>
      <c r="K1790" s="7">
        <f>(J1790-M1790)*税费参数!$B$12/(I1790*10000*(1+SUM(税费参数!$B$6:$B$8)))</f>
        <v>0.0182757199526042</v>
      </c>
      <c r="L1790" s="7">
        <f>J1790*税费参数!$B$12/(I1790*10000)</f>
        <v>0.0207446808510638</v>
      </c>
      <c r="M1790" s="6">
        <f>I1790*10000*SUM(税费参数!$B$9:$B$10)/税费参数!$B$11</f>
        <v>176.25</v>
      </c>
    </row>
    <row r="1791" ht="21" customHeight="1" spans="1:13">
      <c r="A1791" s="5" t="s">
        <v>16</v>
      </c>
      <c r="B1791" s="6" t="s">
        <v>122</v>
      </c>
      <c r="C1791" s="6" t="s">
        <v>152</v>
      </c>
      <c r="D1791" s="6" t="s">
        <v>153</v>
      </c>
      <c r="E1791" s="6" t="s">
        <v>1297</v>
      </c>
      <c r="F1791" s="6" t="s">
        <v>2010</v>
      </c>
      <c r="G1791" s="6">
        <v>53.27</v>
      </c>
      <c r="H1791" s="6">
        <v>48.83</v>
      </c>
      <c r="I1791" s="6">
        <v>94</v>
      </c>
      <c r="J1791" s="6">
        <v>2400</v>
      </c>
      <c r="K1791" s="7">
        <f>(J1791-M1791)*税费参数!$B$12/(I1791*10000*(1+SUM(税费参数!$B$6:$B$8)))</f>
        <v>0.0229122662407913</v>
      </c>
      <c r="L1791" s="7">
        <f>J1791*税费参数!$B$12/(I1791*10000)</f>
        <v>0.025531914893617</v>
      </c>
      <c r="M1791" s="6">
        <f>I1791*10000*SUM(税费参数!$B$9:$B$10)/税费参数!$B$11</f>
        <v>176.25</v>
      </c>
    </row>
    <row r="1792" ht="21" customHeight="1" spans="1:13">
      <c r="A1792" s="5" t="s">
        <v>16</v>
      </c>
      <c r="B1792" s="6" t="s">
        <v>122</v>
      </c>
      <c r="C1792" s="6" t="s">
        <v>152</v>
      </c>
      <c r="D1792" s="6" t="s">
        <v>153</v>
      </c>
      <c r="E1792" s="6" t="s">
        <v>1297</v>
      </c>
      <c r="F1792" s="6" t="s">
        <v>2011</v>
      </c>
      <c r="G1792" s="6">
        <v>53.27</v>
      </c>
      <c r="H1792" s="6">
        <v>48.47</v>
      </c>
      <c r="I1792" s="6">
        <v>94</v>
      </c>
      <c r="J1792" s="6">
        <v>2100</v>
      </c>
      <c r="K1792" s="7">
        <f>(J1792-M1792)*税费参数!$B$12/(I1792*10000*(1+SUM(税费参数!$B$6:$B$8)))</f>
        <v>0.0198212353819999</v>
      </c>
      <c r="L1792" s="7">
        <f>J1792*税费参数!$B$12/(I1792*10000)</f>
        <v>0.0223404255319149</v>
      </c>
      <c r="M1792" s="6">
        <f>I1792*10000*SUM(税费参数!$B$9:$B$10)/税费参数!$B$11</f>
        <v>176.25</v>
      </c>
    </row>
    <row r="1793" ht="21" customHeight="1" spans="1:13">
      <c r="A1793" s="5" t="s">
        <v>16</v>
      </c>
      <c r="B1793" s="6" t="s">
        <v>122</v>
      </c>
      <c r="C1793" s="6" t="s">
        <v>152</v>
      </c>
      <c r="D1793" s="6" t="s">
        <v>153</v>
      </c>
      <c r="E1793" s="6" t="s">
        <v>1297</v>
      </c>
      <c r="F1793" s="6" t="s">
        <v>2012</v>
      </c>
      <c r="G1793" s="6">
        <v>53.27</v>
      </c>
      <c r="H1793" s="6">
        <v>48.86</v>
      </c>
      <c r="I1793" s="6">
        <v>94</v>
      </c>
      <c r="J1793" s="6">
        <v>3300</v>
      </c>
      <c r="K1793" s="7">
        <f>(J1793-M1793)*税费参数!$B$12/(I1793*10000*(1+SUM(税费参数!$B$6:$B$8)))</f>
        <v>0.0321853588171655</v>
      </c>
      <c r="L1793" s="7">
        <f>J1793*税费参数!$B$12/(I1793*10000)</f>
        <v>0.0351063829787234</v>
      </c>
      <c r="M1793" s="6">
        <f>I1793*10000*SUM(税费参数!$B$9:$B$10)/税费参数!$B$11</f>
        <v>176.25</v>
      </c>
    </row>
    <row r="1794" ht="21" customHeight="1" spans="1:13">
      <c r="A1794" s="5" t="s">
        <v>16</v>
      </c>
      <c r="B1794" s="6" t="s">
        <v>122</v>
      </c>
      <c r="C1794" s="6" t="s">
        <v>152</v>
      </c>
      <c r="D1794" s="6" t="s">
        <v>153</v>
      </c>
      <c r="E1794" s="6" t="s">
        <v>1297</v>
      </c>
      <c r="F1794" s="6" t="s">
        <v>2013</v>
      </c>
      <c r="G1794" s="6">
        <v>53.27</v>
      </c>
      <c r="H1794" s="6">
        <v>49.96</v>
      </c>
      <c r="I1794" s="6">
        <v>94</v>
      </c>
      <c r="J1794" s="6">
        <v>2500</v>
      </c>
      <c r="K1794" s="7">
        <f>(J1794-M1794)*税费参数!$B$12/(I1794*10000*(1+SUM(税费参数!$B$6:$B$8)))</f>
        <v>0.0239426098603884</v>
      </c>
      <c r="L1794" s="7">
        <f>J1794*税费参数!$B$12/(I1794*10000)</f>
        <v>0.0265957446808511</v>
      </c>
      <c r="M1794" s="6">
        <f>I1794*10000*SUM(税费参数!$B$9:$B$10)/税费参数!$B$11</f>
        <v>176.25</v>
      </c>
    </row>
    <row r="1795" ht="21" customHeight="1" spans="1:13">
      <c r="A1795" s="5" t="s">
        <v>16</v>
      </c>
      <c r="B1795" s="6" t="s">
        <v>122</v>
      </c>
      <c r="C1795" s="6" t="s">
        <v>152</v>
      </c>
      <c r="D1795" s="6" t="s">
        <v>153</v>
      </c>
      <c r="E1795" s="6" t="s">
        <v>1297</v>
      </c>
      <c r="F1795" s="6" t="s">
        <v>2014</v>
      </c>
      <c r="G1795" s="6">
        <v>53.27</v>
      </c>
      <c r="H1795" s="6">
        <v>50.02</v>
      </c>
      <c r="I1795" s="6">
        <v>94</v>
      </c>
      <c r="J1795" s="6">
        <v>2700</v>
      </c>
      <c r="K1795" s="7">
        <f>(J1795-M1795)*税费参数!$B$12/(I1795*10000*(1+SUM(税费参数!$B$6:$B$8)))</f>
        <v>0.0260032970995827</v>
      </c>
      <c r="L1795" s="7">
        <f>J1795*税费参数!$B$12/(I1795*10000)</f>
        <v>0.0287234042553191</v>
      </c>
      <c r="M1795" s="6">
        <f>I1795*10000*SUM(税费参数!$B$9:$B$10)/税费参数!$B$11</f>
        <v>176.25</v>
      </c>
    </row>
    <row r="1796" ht="21" customHeight="1" spans="1:13">
      <c r="A1796" s="5" t="s">
        <v>16</v>
      </c>
      <c r="B1796" s="6" t="s">
        <v>122</v>
      </c>
      <c r="C1796" s="6" t="s">
        <v>152</v>
      </c>
      <c r="D1796" s="6" t="s">
        <v>153</v>
      </c>
      <c r="E1796" s="6" t="s">
        <v>1297</v>
      </c>
      <c r="F1796" s="6" t="s">
        <v>2015</v>
      </c>
      <c r="G1796" s="6">
        <v>53.27</v>
      </c>
      <c r="H1796" s="6">
        <v>50.21</v>
      </c>
      <c r="I1796" s="6">
        <v>94</v>
      </c>
      <c r="J1796" s="6">
        <v>2200</v>
      </c>
      <c r="K1796" s="7">
        <f>(J1796-M1796)*税费参数!$B$12/(I1796*10000*(1+SUM(税费参数!$B$6:$B$8)))</f>
        <v>0.020851579001597</v>
      </c>
      <c r="L1796" s="7">
        <f>J1796*税费参数!$B$12/(I1796*10000)</f>
        <v>0.0234042553191489</v>
      </c>
      <c r="M1796" s="6">
        <f>I1796*10000*SUM(税费参数!$B$9:$B$10)/税费参数!$B$11</f>
        <v>176.25</v>
      </c>
    </row>
    <row r="1797" ht="21" customHeight="1" spans="1:13">
      <c r="A1797" s="5" t="s">
        <v>16</v>
      </c>
      <c r="B1797" s="6" t="s">
        <v>122</v>
      </c>
      <c r="C1797" s="6" t="s">
        <v>152</v>
      </c>
      <c r="D1797" s="6" t="s">
        <v>153</v>
      </c>
      <c r="E1797" s="6" t="s">
        <v>1297</v>
      </c>
      <c r="F1797" s="6" t="s">
        <v>2016</v>
      </c>
      <c r="G1797" s="6">
        <v>53.27</v>
      </c>
      <c r="H1797" s="6">
        <v>47.84</v>
      </c>
      <c r="I1797" s="6">
        <v>94</v>
      </c>
      <c r="J1797" s="6">
        <v>2000</v>
      </c>
      <c r="K1797" s="7">
        <f>(J1797-M1797)*税费参数!$B$12/(I1797*10000*(1+SUM(税费参数!$B$6:$B$8)))</f>
        <v>0.0187908917624028</v>
      </c>
      <c r="L1797" s="7">
        <f>J1797*税费参数!$B$12/(I1797*10000)</f>
        <v>0.0212765957446809</v>
      </c>
      <c r="M1797" s="6">
        <f>I1797*10000*SUM(税费参数!$B$9:$B$10)/税费参数!$B$11</f>
        <v>176.25</v>
      </c>
    </row>
    <row r="1798" ht="21" customHeight="1" spans="1:13">
      <c r="A1798" s="5" t="s">
        <v>16</v>
      </c>
      <c r="B1798" s="6" t="s">
        <v>122</v>
      </c>
      <c r="C1798" s="6" t="s">
        <v>152</v>
      </c>
      <c r="D1798" s="6" t="s">
        <v>153</v>
      </c>
      <c r="E1798" s="6" t="s">
        <v>1297</v>
      </c>
      <c r="F1798" s="6" t="s">
        <v>2017</v>
      </c>
      <c r="G1798" s="6">
        <v>53.27</v>
      </c>
      <c r="H1798" s="6">
        <v>49.67</v>
      </c>
      <c r="I1798" s="6">
        <v>94</v>
      </c>
      <c r="J1798" s="6">
        <v>2100</v>
      </c>
      <c r="K1798" s="7">
        <f>(J1798-M1798)*税费参数!$B$12/(I1798*10000*(1+SUM(税费参数!$B$6:$B$8)))</f>
        <v>0.0198212353819999</v>
      </c>
      <c r="L1798" s="7">
        <f>J1798*税费参数!$B$12/(I1798*10000)</f>
        <v>0.0223404255319149</v>
      </c>
      <c r="M1798" s="6">
        <f>I1798*10000*SUM(税费参数!$B$9:$B$10)/税费参数!$B$11</f>
        <v>176.25</v>
      </c>
    </row>
    <row r="1799" ht="21" customHeight="1" spans="1:13">
      <c r="A1799" s="5" t="s">
        <v>16</v>
      </c>
      <c r="B1799" s="6" t="s">
        <v>122</v>
      </c>
      <c r="C1799" s="6" t="s">
        <v>152</v>
      </c>
      <c r="D1799" s="6" t="s">
        <v>153</v>
      </c>
      <c r="E1799" s="6" t="s">
        <v>1297</v>
      </c>
      <c r="F1799" s="6" t="s">
        <v>2018</v>
      </c>
      <c r="G1799" s="6">
        <v>53.27</v>
      </c>
      <c r="H1799" s="6">
        <v>49.24</v>
      </c>
      <c r="I1799" s="6">
        <v>94</v>
      </c>
      <c r="J1799" s="6">
        <v>2300</v>
      </c>
      <c r="K1799" s="7">
        <f>(J1799-M1799)*税费参数!$B$12/(I1799*10000*(1+SUM(税费参数!$B$6:$B$8)))</f>
        <v>0.0218819226211942</v>
      </c>
      <c r="L1799" s="7">
        <f>J1799*税费参数!$B$12/(I1799*10000)</f>
        <v>0.024468085106383</v>
      </c>
      <c r="M1799" s="6">
        <f>I1799*10000*SUM(税费参数!$B$9:$B$10)/税费参数!$B$11</f>
        <v>176.25</v>
      </c>
    </row>
    <row r="1800" ht="21" customHeight="1" spans="1:13">
      <c r="A1800" s="5" t="s">
        <v>16</v>
      </c>
      <c r="B1800" s="6" t="s">
        <v>122</v>
      </c>
      <c r="C1800" s="6" t="s">
        <v>152</v>
      </c>
      <c r="D1800" s="6" t="s">
        <v>153</v>
      </c>
      <c r="E1800" s="6" t="s">
        <v>1297</v>
      </c>
      <c r="F1800" s="6" t="s">
        <v>2019</v>
      </c>
      <c r="G1800" s="6">
        <v>53.27</v>
      </c>
      <c r="H1800" s="6">
        <v>47.53</v>
      </c>
      <c r="I1800" s="6">
        <v>94</v>
      </c>
      <c r="J1800" s="6">
        <v>2040</v>
      </c>
      <c r="K1800" s="7">
        <f>(J1800-M1800)*税费参数!$B$12/(I1800*10000*(1+SUM(税费参数!$B$6:$B$8)))</f>
        <v>0.0192030292102416</v>
      </c>
      <c r="L1800" s="7">
        <f>J1800*税费参数!$B$12/(I1800*10000)</f>
        <v>0.0217021276595745</v>
      </c>
      <c r="M1800" s="6">
        <f>I1800*10000*SUM(税费参数!$B$9:$B$10)/税费参数!$B$11</f>
        <v>176.25</v>
      </c>
    </row>
    <row r="1801" ht="21" customHeight="1" spans="1:13">
      <c r="A1801" s="5" t="s">
        <v>16</v>
      </c>
      <c r="B1801" s="6" t="s">
        <v>122</v>
      </c>
      <c r="C1801" s="6" t="s">
        <v>152</v>
      </c>
      <c r="D1801" s="6" t="s">
        <v>153</v>
      </c>
      <c r="E1801" s="6" t="s">
        <v>1297</v>
      </c>
      <c r="F1801" s="6" t="s">
        <v>2020</v>
      </c>
      <c r="G1801" s="6">
        <v>53.27</v>
      </c>
      <c r="H1801" s="6">
        <v>47.53</v>
      </c>
      <c r="I1801" s="6">
        <v>94</v>
      </c>
      <c r="J1801" s="6">
        <v>2000</v>
      </c>
      <c r="K1801" s="7">
        <f>(J1801-M1801)*税费参数!$B$12/(I1801*10000*(1+SUM(税费参数!$B$6:$B$8)))</f>
        <v>0.0187908917624028</v>
      </c>
      <c r="L1801" s="7">
        <f>J1801*税费参数!$B$12/(I1801*10000)</f>
        <v>0.0212765957446809</v>
      </c>
      <c r="M1801" s="6">
        <f>I1801*10000*SUM(税费参数!$B$9:$B$10)/税费参数!$B$11</f>
        <v>176.25</v>
      </c>
    </row>
    <row r="1802" ht="21" customHeight="1" spans="1:13">
      <c r="A1802" s="5" t="s">
        <v>16</v>
      </c>
      <c r="B1802" s="6" t="s">
        <v>122</v>
      </c>
      <c r="C1802" s="6" t="s">
        <v>152</v>
      </c>
      <c r="D1802" s="6" t="s">
        <v>153</v>
      </c>
      <c r="E1802" s="6" t="s">
        <v>1311</v>
      </c>
      <c r="F1802" s="6" t="s">
        <v>2003</v>
      </c>
      <c r="G1802" s="6">
        <v>50.84</v>
      </c>
      <c r="H1802" s="6">
        <v>48.47</v>
      </c>
      <c r="I1802" s="6">
        <v>120</v>
      </c>
      <c r="J1802" s="6">
        <v>2200</v>
      </c>
      <c r="K1802" s="7">
        <f>(J1802-M1802)*税费参数!$B$12/(I1802*10000*(1+SUM(税费参数!$B$6:$B$8)))</f>
        <v>0.0159402744148507</v>
      </c>
      <c r="L1802" s="7">
        <f>J1802*税费参数!$B$12/(I1802*10000)</f>
        <v>0.0183333333333333</v>
      </c>
      <c r="M1802" s="6">
        <f>I1802*10000*SUM(税费参数!$B$9:$B$10)/税费参数!$B$11</f>
        <v>225</v>
      </c>
    </row>
    <row r="1803" ht="21" customHeight="1" spans="1:13">
      <c r="A1803" s="5" t="s">
        <v>16</v>
      </c>
      <c r="B1803" s="6" t="s">
        <v>122</v>
      </c>
      <c r="C1803" s="6" t="s">
        <v>152</v>
      </c>
      <c r="D1803" s="6" t="s">
        <v>153</v>
      </c>
      <c r="E1803" s="6" t="s">
        <v>1311</v>
      </c>
      <c r="F1803" s="6" t="s">
        <v>2004</v>
      </c>
      <c r="G1803" s="6">
        <v>50.84</v>
      </c>
      <c r="H1803" s="6">
        <v>48.95</v>
      </c>
      <c r="I1803" s="6">
        <v>120</v>
      </c>
      <c r="J1803" s="6">
        <v>1800</v>
      </c>
      <c r="K1803" s="7">
        <f>(J1803-M1803)*税费参数!$B$12/(I1803*10000*(1+SUM(税费参数!$B$6:$B$8)))</f>
        <v>0.0127118644067797</v>
      </c>
      <c r="L1803" s="7">
        <f>J1803*税费参数!$B$12/(I1803*10000)</f>
        <v>0.015</v>
      </c>
      <c r="M1803" s="6">
        <f>I1803*10000*SUM(税费参数!$B$9:$B$10)/税费参数!$B$11</f>
        <v>225</v>
      </c>
    </row>
    <row r="1804" ht="21" customHeight="1" spans="1:13">
      <c r="A1804" s="5" t="s">
        <v>16</v>
      </c>
      <c r="B1804" s="6" t="s">
        <v>122</v>
      </c>
      <c r="C1804" s="6" t="s">
        <v>152</v>
      </c>
      <c r="D1804" s="6" t="s">
        <v>153</v>
      </c>
      <c r="E1804" s="6" t="s">
        <v>1311</v>
      </c>
      <c r="F1804" s="6" t="s">
        <v>2005</v>
      </c>
      <c r="G1804" s="6">
        <v>50.84</v>
      </c>
      <c r="H1804" s="6">
        <v>50.29</v>
      </c>
      <c r="I1804" s="6">
        <v>120</v>
      </c>
      <c r="J1804" s="6">
        <v>1900</v>
      </c>
      <c r="K1804" s="7">
        <f>(J1804-M1804)*税费参数!$B$12/(I1804*10000*(1+SUM(税费参数!$B$6:$B$8)))</f>
        <v>0.0135189669087974</v>
      </c>
      <c r="L1804" s="7">
        <f>J1804*税费参数!$B$12/(I1804*10000)</f>
        <v>0.0158333333333333</v>
      </c>
      <c r="M1804" s="6">
        <f>I1804*10000*SUM(税费参数!$B$9:$B$10)/税费参数!$B$11</f>
        <v>225</v>
      </c>
    </row>
    <row r="1805" ht="21" customHeight="1" spans="1:13">
      <c r="A1805" s="5" t="s">
        <v>16</v>
      </c>
      <c r="B1805" s="6" t="s">
        <v>122</v>
      </c>
      <c r="C1805" s="6" t="s">
        <v>152</v>
      </c>
      <c r="D1805" s="6" t="s">
        <v>153</v>
      </c>
      <c r="E1805" s="6" t="s">
        <v>1311</v>
      </c>
      <c r="F1805" s="6" t="s">
        <v>2006</v>
      </c>
      <c r="G1805" s="6">
        <v>50.84</v>
      </c>
      <c r="H1805" s="6">
        <v>47.92</v>
      </c>
      <c r="I1805" s="6">
        <v>120</v>
      </c>
      <c r="J1805" s="6">
        <v>2000</v>
      </c>
      <c r="K1805" s="7">
        <f>(J1805-M1805)*税费参数!$B$12/(I1805*10000*(1+SUM(税费参数!$B$6:$B$8)))</f>
        <v>0.0143260694108152</v>
      </c>
      <c r="L1805" s="7">
        <f>J1805*税费参数!$B$12/(I1805*10000)</f>
        <v>0.0166666666666667</v>
      </c>
      <c r="M1805" s="6">
        <f>I1805*10000*SUM(税费参数!$B$9:$B$10)/税费参数!$B$11</f>
        <v>225</v>
      </c>
    </row>
    <row r="1806" ht="21" customHeight="1" spans="1:13">
      <c r="A1806" s="5" t="s">
        <v>16</v>
      </c>
      <c r="B1806" s="6" t="s">
        <v>122</v>
      </c>
      <c r="C1806" s="6" t="s">
        <v>152</v>
      </c>
      <c r="D1806" s="6" t="s">
        <v>153</v>
      </c>
      <c r="E1806" s="6" t="s">
        <v>1311</v>
      </c>
      <c r="F1806" s="6" t="s">
        <v>2007</v>
      </c>
      <c r="G1806" s="6">
        <v>50.84</v>
      </c>
      <c r="H1806" s="6">
        <v>47.53</v>
      </c>
      <c r="I1806" s="6">
        <v>120</v>
      </c>
      <c r="J1806" s="6">
        <v>1850</v>
      </c>
      <c r="K1806" s="7">
        <f>(J1806-M1806)*税费参数!$B$12/(I1806*10000*(1+SUM(税费参数!$B$6:$B$8)))</f>
        <v>0.0131154156577885</v>
      </c>
      <c r="L1806" s="7">
        <f>J1806*税费参数!$B$12/(I1806*10000)</f>
        <v>0.0154166666666667</v>
      </c>
      <c r="M1806" s="6">
        <f>I1806*10000*SUM(税费参数!$B$9:$B$10)/税费参数!$B$11</f>
        <v>225</v>
      </c>
    </row>
    <row r="1807" ht="21" customHeight="1" spans="1:13">
      <c r="A1807" s="5" t="s">
        <v>16</v>
      </c>
      <c r="B1807" s="6" t="s">
        <v>122</v>
      </c>
      <c r="C1807" s="6" t="s">
        <v>152</v>
      </c>
      <c r="D1807" s="6" t="s">
        <v>153</v>
      </c>
      <c r="E1807" s="6" t="s">
        <v>1311</v>
      </c>
      <c r="F1807" s="6" t="s">
        <v>2008</v>
      </c>
      <c r="G1807" s="6">
        <v>50.84</v>
      </c>
      <c r="H1807" s="6">
        <v>45.16</v>
      </c>
      <c r="I1807" s="6">
        <v>120</v>
      </c>
      <c r="J1807" s="6">
        <v>2000</v>
      </c>
      <c r="K1807" s="7">
        <f>(J1807-M1807)*税费参数!$B$12/(I1807*10000*(1+SUM(税费参数!$B$6:$B$8)))</f>
        <v>0.0143260694108152</v>
      </c>
      <c r="L1807" s="7">
        <f>J1807*税费参数!$B$12/(I1807*10000)</f>
        <v>0.0166666666666667</v>
      </c>
      <c r="M1807" s="6">
        <f>I1807*10000*SUM(税费参数!$B$9:$B$10)/税费参数!$B$11</f>
        <v>225</v>
      </c>
    </row>
    <row r="1808" ht="21" customHeight="1" spans="1:13">
      <c r="A1808" s="5" t="s">
        <v>16</v>
      </c>
      <c r="B1808" s="6" t="s">
        <v>122</v>
      </c>
      <c r="C1808" s="6" t="s">
        <v>152</v>
      </c>
      <c r="D1808" s="6" t="s">
        <v>153</v>
      </c>
      <c r="E1808" s="6" t="s">
        <v>1311</v>
      </c>
      <c r="F1808" s="6" t="s">
        <v>2009</v>
      </c>
      <c r="G1808" s="6">
        <v>50.84</v>
      </c>
      <c r="H1808" s="6">
        <v>51.15</v>
      </c>
      <c r="I1808" s="6">
        <v>120</v>
      </c>
      <c r="J1808" s="6">
        <v>1950</v>
      </c>
      <c r="K1808" s="7">
        <f>(J1808-M1808)*税费参数!$B$12/(I1808*10000*(1+SUM(税费参数!$B$6:$B$8)))</f>
        <v>0.0139225181598063</v>
      </c>
      <c r="L1808" s="7">
        <f>J1808*税费参数!$B$12/(I1808*10000)</f>
        <v>0.01625</v>
      </c>
      <c r="M1808" s="6">
        <f>I1808*10000*SUM(税费参数!$B$9:$B$10)/税费参数!$B$11</f>
        <v>225</v>
      </c>
    </row>
    <row r="1809" ht="21" customHeight="1" spans="1:13">
      <c r="A1809" s="5" t="s">
        <v>16</v>
      </c>
      <c r="B1809" s="6" t="s">
        <v>122</v>
      </c>
      <c r="C1809" s="6" t="s">
        <v>152</v>
      </c>
      <c r="D1809" s="6" t="s">
        <v>153</v>
      </c>
      <c r="E1809" s="6" t="s">
        <v>1311</v>
      </c>
      <c r="F1809" s="6" t="s">
        <v>2010</v>
      </c>
      <c r="G1809" s="6">
        <v>50.84</v>
      </c>
      <c r="H1809" s="6">
        <v>48.83</v>
      </c>
      <c r="I1809" s="6">
        <v>120</v>
      </c>
      <c r="J1809" s="6">
        <v>2400</v>
      </c>
      <c r="K1809" s="7">
        <f>(J1809-M1809)*税费参数!$B$12/(I1809*10000*(1+SUM(税费参数!$B$6:$B$8)))</f>
        <v>0.0175544794188862</v>
      </c>
      <c r="L1809" s="7">
        <f>J1809*税费参数!$B$12/(I1809*10000)</f>
        <v>0.02</v>
      </c>
      <c r="M1809" s="6">
        <f>I1809*10000*SUM(税费参数!$B$9:$B$10)/税费参数!$B$11</f>
        <v>225</v>
      </c>
    </row>
    <row r="1810" ht="21" customHeight="1" spans="1:13">
      <c r="A1810" s="5" t="s">
        <v>16</v>
      </c>
      <c r="B1810" s="6" t="s">
        <v>122</v>
      </c>
      <c r="C1810" s="6" t="s">
        <v>152</v>
      </c>
      <c r="D1810" s="6" t="s">
        <v>153</v>
      </c>
      <c r="E1810" s="6" t="s">
        <v>1311</v>
      </c>
      <c r="F1810" s="6" t="s">
        <v>2011</v>
      </c>
      <c r="G1810" s="6">
        <v>50.84</v>
      </c>
      <c r="H1810" s="6">
        <v>48.47</v>
      </c>
      <c r="I1810" s="6">
        <v>120</v>
      </c>
      <c r="J1810" s="6">
        <v>2100</v>
      </c>
      <c r="K1810" s="7">
        <f>(J1810-M1810)*税费参数!$B$12/(I1810*10000*(1+SUM(税费参数!$B$6:$B$8)))</f>
        <v>0.0151331719128329</v>
      </c>
      <c r="L1810" s="7">
        <f>J1810*税费参数!$B$12/(I1810*10000)</f>
        <v>0.0175</v>
      </c>
      <c r="M1810" s="6">
        <f>I1810*10000*SUM(税费参数!$B$9:$B$10)/税费参数!$B$11</f>
        <v>225</v>
      </c>
    </row>
    <row r="1811" ht="21" customHeight="1" spans="1:13">
      <c r="A1811" s="5" t="s">
        <v>16</v>
      </c>
      <c r="B1811" s="6" t="s">
        <v>122</v>
      </c>
      <c r="C1811" s="6" t="s">
        <v>152</v>
      </c>
      <c r="D1811" s="6" t="s">
        <v>153</v>
      </c>
      <c r="E1811" s="6" t="s">
        <v>1311</v>
      </c>
      <c r="F1811" s="6" t="s">
        <v>2012</v>
      </c>
      <c r="G1811" s="6">
        <v>50.84</v>
      </c>
      <c r="H1811" s="6">
        <v>48.86</v>
      </c>
      <c r="I1811" s="6">
        <v>120</v>
      </c>
      <c r="J1811" s="6">
        <v>3300</v>
      </c>
      <c r="K1811" s="7">
        <f>(J1811-M1811)*税费参数!$B$12/(I1811*10000*(1+SUM(税费参数!$B$6:$B$8)))</f>
        <v>0.024818401937046</v>
      </c>
      <c r="L1811" s="7">
        <f>J1811*税费参数!$B$12/(I1811*10000)</f>
        <v>0.0275</v>
      </c>
      <c r="M1811" s="6">
        <f>I1811*10000*SUM(税费参数!$B$9:$B$10)/税费参数!$B$11</f>
        <v>225</v>
      </c>
    </row>
    <row r="1812" ht="21" customHeight="1" spans="1:13">
      <c r="A1812" s="5" t="s">
        <v>16</v>
      </c>
      <c r="B1812" s="6" t="s">
        <v>122</v>
      </c>
      <c r="C1812" s="6" t="s">
        <v>152</v>
      </c>
      <c r="D1812" s="6" t="s">
        <v>153</v>
      </c>
      <c r="E1812" s="6" t="s">
        <v>1311</v>
      </c>
      <c r="F1812" s="6" t="s">
        <v>2013</v>
      </c>
      <c r="G1812" s="6">
        <v>50.84</v>
      </c>
      <c r="H1812" s="6">
        <v>49.96</v>
      </c>
      <c r="I1812" s="6">
        <v>120</v>
      </c>
      <c r="J1812" s="6">
        <v>2500</v>
      </c>
      <c r="K1812" s="7">
        <f>(J1812-M1812)*税费参数!$B$12/(I1812*10000*(1+SUM(税费参数!$B$6:$B$8)))</f>
        <v>0.018361581920904</v>
      </c>
      <c r="L1812" s="7">
        <f>J1812*税费参数!$B$12/(I1812*10000)</f>
        <v>0.0208333333333333</v>
      </c>
      <c r="M1812" s="6">
        <f>I1812*10000*SUM(税费参数!$B$9:$B$10)/税费参数!$B$11</f>
        <v>225</v>
      </c>
    </row>
    <row r="1813" ht="21" customHeight="1" spans="1:13">
      <c r="A1813" s="5" t="s">
        <v>16</v>
      </c>
      <c r="B1813" s="6" t="s">
        <v>122</v>
      </c>
      <c r="C1813" s="6" t="s">
        <v>152</v>
      </c>
      <c r="D1813" s="6" t="s">
        <v>153</v>
      </c>
      <c r="E1813" s="6" t="s">
        <v>1311</v>
      </c>
      <c r="F1813" s="6" t="s">
        <v>2014</v>
      </c>
      <c r="G1813" s="6">
        <v>50.84</v>
      </c>
      <c r="H1813" s="6">
        <v>50.02</v>
      </c>
      <c r="I1813" s="6">
        <v>120</v>
      </c>
      <c r="J1813" s="6">
        <v>2700</v>
      </c>
      <c r="K1813" s="7">
        <f>(J1813-M1813)*税费参数!$B$12/(I1813*10000*(1+SUM(税费参数!$B$6:$B$8)))</f>
        <v>0.0199757869249395</v>
      </c>
      <c r="L1813" s="7">
        <f>J1813*税费参数!$B$12/(I1813*10000)</f>
        <v>0.0225</v>
      </c>
      <c r="M1813" s="6">
        <f>I1813*10000*SUM(税费参数!$B$9:$B$10)/税费参数!$B$11</f>
        <v>225</v>
      </c>
    </row>
    <row r="1814" ht="21" customHeight="1" spans="1:13">
      <c r="A1814" s="5" t="s">
        <v>16</v>
      </c>
      <c r="B1814" s="6" t="s">
        <v>122</v>
      </c>
      <c r="C1814" s="6" t="s">
        <v>152</v>
      </c>
      <c r="D1814" s="6" t="s">
        <v>153</v>
      </c>
      <c r="E1814" s="6" t="s">
        <v>1311</v>
      </c>
      <c r="F1814" s="6" t="s">
        <v>2015</v>
      </c>
      <c r="G1814" s="6">
        <v>50.84</v>
      </c>
      <c r="H1814" s="6">
        <v>50.21</v>
      </c>
      <c r="I1814" s="6">
        <v>120</v>
      </c>
      <c r="J1814" s="6">
        <v>2200</v>
      </c>
      <c r="K1814" s="7">
        <f>(J1814-M1814)*税费参数!$B$12/(I1814*10000*(1+SUM(税费参数!$B$6:$B$8)))</f>
        <v>0.0159402744148507</v>
      </c>
      <c r="L1814" s="7">
        <f>J1814*税费参数!$B$12/(I1814*10000)</f>
        <v>0.0183333333333333</v>
      </c>
      <c r="M1814" s="6">
        <f>I1814*10000*SUM(税费参数!$B$9:$B$10)/税费参数!$B$11</f>
        <v>225</v>
      </c>
    </row>
    <row r="1815" ht="21" customHeight="1" spans="1:13">
      <c r="A1815" s="5" t="s">
        <v>16</v>
      </c>
      <c r="B1815" s="6" t="s">
        <v>122</v>
      </c>
      <c r="C1815" s="6" t="s">
        <v>152</v>
      </c>
      <c r="D1815" s="6" t="s">
        <v>153</v>
      </c>
      <c r="E1815" s="6" t="s">
        <v>1311</v>
      </c>
      <c r="F1815" s="6" t="s">
        <v>2016</v>
      </c>
      <c r="G1815" s="6">
        <v>50.84</v>
      </c>
      <c r="H1815" s="6">
        <v>47.84</v>
      </c>
      <c r="I1815" s="6">
        <v>120</v>
      </c>
      <c r="J1815" s="6">
        <v>2000</v>
      </c>
      <c r="K1815" s="7">
        <f>(J1815-M1815)*税费参数!$B$12/(I1815*10000*(1+SUM(税费参数!$B$6:$B$8)))</f>
        <v>0.0143260694108152</v>
      </c>
      <c r="L1815" s="7">
        <f>J1815*税费参数!$B$12/(I1815*10000)</f>
        <v>0.0166666666666667</v>
      </c>
      <c r="M1815" s="6">
        <f>I1815*10000*SUM(税费参数!$B$9:$B$10)/税费参数!$B$11</f>
        <v>225</v>
      </c>
    </row>
    <row r="1816" ht="21" customHeight="1" spans="1:13">
      <c r="A1816" s="5" t="s">
        <v>16</v>
      </c>
      <c r="B1816" s="6" t="s">
        <v>122</v>
      </c>
      <c r="C1816" s="6" t="s">
        <v>152</v>
      </c>
      <c r="D1816" s="6" t="s">
        <v>153</v>
      </c>
      <c r="E1816" s="6" t="s">
        <v>1311</v>
      </c>
      <c r="F1816" s="6" t="s">
        <v>2017</v>
      </c>
      <c r="G1816" s="6">
        <v>50.84</v>
      </c>
      <c r="H1816" s="6">
        <v>49.67</v>
      </c>
      <c r="I1816" s="6">
        <v>120</v>
      </c>
      <c r="J1816" s="6">
        <v>2100</v>
      </c>
      <c r="K1816" s="7">
        <f>(J1816-M1816)*税费参数!$B$12/(I1816*10000*(1+SUM(税费参数!$B$6:$B$8)))</f>
        <v>0.0151331719128329</v>
      </c>
      <c r="L1816" s="7">
        <f>J1816*税费参数!$B$12/(I1816*10000)</f>
        <v>0.0175</v>
      </c>
      <c r="M1816" s="6">
        <f>I1816*10000*SUM(税费参数!$B$9:$B$10)/税费参数!$B$11</f>
        <v>225</v>
      </c>
    </row>
    <row r="1817" ht="21" customHeight="1" spans="1:13">
      <c r="A1817" s="5" t="s">
        <v>16</v>
      </c>
      <c r="B1817" s="6" t="s">
        <v>122</v>
      </c>
      <c r="C1817" s="6" t="s">
        <v>152</v>
      </c>
      <c r="D1817" s="6" t="s">
        <v>153</v>
      </c>
      <c r="E1817" s="6" t="s">
        <v>1311</v>
      </c>
      <c r="F1817" s="6" t="s">
        <v>2018</v>
      </c>
      <c r="G1817" s="6">
        <v>50.84</v>
      </c>
      <c r="H1817" s="6">
        <v>49.24</v>
      </c>
      <c r="I1817" s="6">
        <v>120</v>
      </c>
      <c r="J1817" s="6">
        <v>2300</v>
      </c>
      <c r="K1817" s="7">
        <f>(J1817-M1817)*税费参数!$B$12/(I1817*10000*(1+SUM(税费参数!$B$6:$B$8)))</f>
        <v>0.0167473769168684</v>
      </c>
      <c r="L1817" s="7">
        <f>J1817*税费参数!$B$12/(I1817*10000)</f>
        <v>0.0191666666666667</v>
      </c>
      <c r="M1817" s="6">
        <f>I1817*10000*SUM(税费参数!$B$9:$B$10)/税费参数!$B$11</f>
        <v>225</v>
      </c>
    </row>
    <row r="1818" ht="21" customHeight="1" spans="1:13">
      <c r="A1818" s="5" t="s">
        <v>16</v>
      </c>
      <c r="B1818" s="6" t="s">
        <v>122</v>
      </c>
      <c r="C1818" s="6" t="s">
        <v>152</v>
      </c>
      <c r="D1818" s="6" t="s">
        <v>153</v>
      </c>
      <c r="E1818" s="6" t="s">
        <v>1311</v>
      </c>
      <c r="F1818" s="6" t="s">
        <v>2019</v>
      </c>
      <c r="G1818" s="6">
        <v>50.84</v>
      </c>
      <c r="H1818" s="6">
        <v>47.53</v>
      </c>
      <c r="I1818" s="6">
        <v>120</v>
      </c>
      <c r="J1818" s="6">
        <v>2040</v>
      </c>
      <c r="K1818" s="7">
        <f>(J1818-M1818)*税费参数!$B$12/(I1818*10000*(1+SUM(税费参数!$B$6:$B$8)))</f>
        <v>0.0146489104116223</v>
      </c>
      <c r="L1818" s="7">
        <f>J1818*税费参数!$B$12/(I1818*10000)</f>
        <v>0.017</v>
      </c>
      <c r="M1818" s="6">
        <f>I1818*10000*SUM(税费参数!$B$9:$B$10)/税费参数!$B$11</f>
        <v>225</v>
      </c>
    </row>
    <row r="1819" ht="21" customHeight="1" spans="1:13">
      <c r="A1819" s="5" t="s">
        <v>16</v>
      </c>
      <c r="B1819" s="6" t="s">
        <v>122</v>
      </c>
      <c r="C1819" s="6" t="s">
        <v>152</v>
      </c>
      <c r="D1819" s="6" t="s">
        <v>153</v>
      </c>
      <c r="E1819" s="6" t="s">
        <v>1311</v>
      </c>
      <c r="F1819" s="6" t="s">
        <v>2020</v>
      </c>
      <c r="G1819" s="6">
        <v>50.84</v>
      </c>
      <c r="H1819" s="6">
        <v>47.53</v>
      </c>
      <c r="I1819" s="6">
        <v>120</v>
      </c>
      <c r="J1819" s="6">
        <v>2000</v>
      </c>
      <c r="K1819" s="7">
        <f>(J1819-M1819)*税费参数!$B$12/(I1819*10000*(1+SUM(税费参数!$B$6:$B$8)))</f>
        <v>0.0143260694108152</v>
      </c>
      <c r="L1819" s="7">
        <f>J1819*税费参数!$B$12/(I1819*10000)</f>
        <v>0.0166666666666667</v>
      </c>
      <c r="M1819" s="6">
        <f>I1819*10000*SUM(税费参数!$B$9:$B$10)/税费参数!$B$11</f>
        <v>225</v>
      </c>
    </row>
    <row r="1820" ht="21" customHeight="1" spans="1:13">
      <c r="A1820" s="5" t="s">
        <v>16</v>
      </c>
      <c r="B1820" s="6" t="s">
        <v>122</v>
      </c>
      <c r="C1820" s="6" t="s">
        <v>152</v>
      </c>
      <c r="D1820" s="6" t="s">
        <v>153</v>
      </c>
      <c r="E1820" s="6" t="s">
        <v>1321</v>
      </c>
      <c r="F1820" s="6" t="s">
        <v>2003</v>
      </c>
      <c r="G1820" s="6">
        <v>50.02</v>
      </c>
      <c r="H1820" s="6">
        <v>48.47</v>
      </c>
      <c r="I1820" s="6">
        <v>119</v>
      </c>
      <c r="J1820" s="6">
        <v>2200</v>
      </c>
      <c r="K1820" s="7">
        <f>(J1820-M1820)*税费参数!$B$12/(I1820*10000*(1+SUM(税费参数!$B$6:$B$8)))</f>
        <v>0.0160894866421145</v>
      </c>
      <c r="L1820" s="7">
        <f>J1820*税费参数!$B$12/(I1820*10000)</f>
        <v>0.0184873949579832</v>
      </c>
      <c r="M1820" s="6">
        <f>I1820*10000*SUM(税费参数!$B$9:$B$10)/税费参数!$B$11</f>
        <v>223.125</v>
      </c>
    </row>
    <row r="1821" ht="21" customHeight="1" spans="1:13">
      <c r="A1821" s="5" t="s">
        <v>16</v>
      </c>
      <c r="B1821" s="6" t="s">
        <v>122</v>
      </c>
      <c r="C1821" s="6" t="s">
        <v>152</v>
      </c>
      <c r="D1821" s="6" t="s">
        <v>153</v>
      </c>
      <c r="E1821" s="6" t="s">
        <v>1321</v>
      </c>
      <c r="F1821" s="6" t="s">
        <v>2004</v>
      </c>
      <c r="G1821" s="6">
        <v>50.02</v>
      </c>
      <c r="H1821" s="6">
        <v>48.95</v>
      </c>
      <c r="I1821" s="6">
        <v>119</v>
      </c>
      <c r="J1821" s="6">
        <v>1800</v>
      </c>
      <c r="K1821" s="7">
        <f>(J1821-M1821)*税费参数!$B$12/(I1821*10000*(1+SUM(税费参数!$B$6:$B$8)))</f>
        <v>0.0128339471381773</v>
      </c>
      <c r="L1821" s="7">
        <f>J1821*税费参数!$B$12/(I1821*10000)</f>
        <v>0.0151260504201681</v>
      </c>
      <c r="M1821" s="6">
        <f>I1821*10000*SUM(税费参数!$B$9:$B$10)/税费参数!$B$11</f>
        <v>223.125</v>
      </c>
    </row>
    <row r="1822" ht="21" customHeight="1" spans="1:13">
      <c r="A1822" s="5" t="s">
        <v>16</v>
      </c>
      <c r="B1822" s="6" t="s">
        <v>122</v>
      </c>
      <c r="C1822" s="6" t="s">
        <v>152</v>
      </c>
      <c r="D1822" s="6" t="s">
        <v>153</v>
      </c>
      <c r="E1822" s="6" t="s">
        <v>1321</v>
      </c>
      <c r="F1822" s="6" t="s">
        <v>2005</v>
      </c>
      <c r="G1822" s="6">
        <v>50.02</v>
      </c>
      <c r="H1822" s="6">
        <v>50.29</v>
      </c>
      <c r="I1822" s="6">
        <v>119</v>
      </c>
      <c r="J1822" s="6">
        <v>1900</v>
      </c>
      <c r="K1822" s="7">
        <f>(J1822-M1822)*税费参数!$B$12/(I1822*10000*(1+SUM(税费参数!$B$6:$B$8)))</f>
        <v>0.0136478320141616</v>
      </c>
      <c r="L1822" s="7">
        <f>J1822*税费参数!$B$12/(I1822*10000)</f>
        <v>0.0159663865546218</v>
      </c>
      <c r="M1822" s="6">
        <f>I1822*10000*SUM(税费参数!$B$9:$B$10)/税费参数!$B$11</f>
        <v>223.125</v>
      </c>
    </row>
    <row r="1823" ht="21" customHeight="1" spans="1:13">
      <c r="A1823" s="5" t="s">
        <v>16</v>
      </c>
      <c r="B1823" s="6" t="s">
        <v>122</v>
      </c>
      <c r="C1823" s="6" t="s">
        <v>152</v>
      </c>
      <c r="D1823" s="6" t="s">
        <v>153</v>
      </c>
      <c r="E1823" s="6" t="s">
        <v>1321</v>
      </c>
      <c r="F1823" s="6" t="s">
        <v>2006</v>
      </c>
      <c r="G1823" s="6">
        <v>50.02</v>
      </c>
      <c r="H1823" s="6">
        <v>47.92</v>
      </c>
      <c r="I1823" s="6">
        <v>119</v>
      </c>
      <c r="J1823" s="6">
        <v>2000</v>
      </c>
      <c r="K1823" s="7">
        <f>(J1823-M1823)*税费参数!$B$12/(I1823*10000*(1+SUM(税费参数!$B$6:$B$8)))</f>
        <v>0.0144617168901459</v>
      </c>
      <c r="L1823" s="7">
        <f>J1823*税费参数!$B$12/(I1823*10000)</f>
        <v>0.0168067226890756</v>
      </c>
      <c r="M1823" s="6">
        <f>I1823*10000*SUM(税费参数!$B$9:$B$10)/税费参数!$B$11</f>
        <v>223.125</v>
      </c>
    </row>
    <row r="1824" ht="21" customHeight="1" spans="1:13">
      <c r="A1824" s="5" t="s">
        <v>16</v>
      </c>
      <c r="B1824" s="6" t="s">
        <v>122</v>
      </c>
      <c r="C1824" s="6" t="s">
        <v>152</v>
      </c>
      <c r="D1824" s="6" t="s">
        <v>153</v>
      </c>
      <c r="E1824" s="6" t="s">
        <v>1321</v>
      </c>
      <c r="F1824" s="6" t="s">
        <v>2007</v>
      </c>
      <c r="G1824" s="6">
        <v>50.02</v>
      </c>
      <c r="H1824" s="6">
        <v>47.53</v>
      </c>
      <c r="I1824" s="6">
        <v>119</v>
      </c>
      <c r="J1824" s="6">
        <v>1850</v>
      </c>
      <c r="K1824" s="7">
        <f>(J1824-M1824)*税费参数!$B$12/(I1824*10000*(1+SUM(税费参数!$B$6:$B$8)))</f>
        <v>0.0132408895761695</v>
      </c>
      <c r="L1824" s="7">
        <f>J1824*税费参数!$B$12/(I1824*10000)</f>
        <v>0.015546218487395</v>
      </c>
      <c r="M1824" s="6">
        <f>I1824*10000*SUM(税费参数!$B$9:$B$10)/税费参数!$B$11</f>
        <v>223.125</v>
      </c>
    </row>
    <row r="1825" ht="21" customHeight="1" spans="1:13">
      <c r="A1825" s="5" t="s">
        <v>16</v>
      </c>
      <c r="B1825" s="6" t="s">
        <v>122</v>
      </c>
      <c r="C1825" s="6" t="s">
        <v>152</v>
      </c>
      <c r="D1825" s="6" t="s">
        <v>153</v>
      </c>
      <c r="E1825" s="6" t="s">
        <v>1321</v>
      </c>
      <c r="F1825" s="6" t="s">
        <v>2008</v>
      </c>
      <c r="G1825" s="6">
        <v>50.02</v>
      </c>
      <c r="H1825" s="6">
        <v>45.16</v>
      </c>
      <c r="I1825" s="6">
        <v>119</v>
      </c>
      <c r="J1825" s="6">
        <v>2000</v>
      </c>
      <c r="K1825" s="7">
        <f>(J1825-M1825)*税费参数!$B$12/(I1825*10000*(1+SUM(税费参数!$B$6:$B$8)))</f>
        <v>0.0144617168901459</v>
      </c>
      <c r="L1825" s="7">
        <f>J1825*税费参数!$B$12/(I1825*10000)</f>
        <v>0.0168067226890756</v>
      </c>
      <c r="M1825" s="6">
        <f>I1825*10000*SUM(税费参数!$B$9:$B$10)/税费参数!$B$11</f>
        <v>223.125</v>
      </c>
    </row>
    <row r="1826" ht="21" customHeight="1" spans="1:13">
      <c r="A1826" s="5" t="s">
        <v>16</v>
      </c>
      <c r="B1826" s="6" t="s">
        <v>122</v>
      </c>
      <c r="C1826" s="6" t="s">
        <v>152</v>
      </c>
      <c r="D1826" s="6" t="s">
        <v>153</v>
      </c>
      <c r="E1826" s="6" t="s">
        <v>1321</v>
      </c>
      <c r="F1826" s="6" t="s">
        <v>2009</v>
      </c>
      <c r="G1826" s="6">
        <v>50.02</v>
      </c>
      <c r="H1826" s="6">
        <v>51.15</v>
      </c>
      <c r="I1826" s="6">
        <v>119</v>
      </c>
      <c r="J1826" s="6">
        <v>1950</v>
      </c>
      <c r="K1826" s="7">
        <f>(J1826-M1826)*税费参数!$B$12/(I1826*10000*(1+SUM(税费参数!$B$6:$B$8)))</f>
        <v>0.0140547744521537</v>
      </c>
      <c r="L1826" s="7">
        <f>J1826*税费参数!$B$12/(I1826*10000)</f>
        <v>0.0163865546218487</v>
      </c>
      <c r="M1826" s="6">
        <f>I1826*10000*SUM(税费参数!$B$9:$B$10)/税费参数!$B$11</f>
        <v>223.125</v>
      </c>
    </row>
    <row r="1827" ht="21" customHeight="1" spans="1:13">
      <c r="A1827" s="5" t="s">
        <v>16</v>
      </c>
      <c r="B1827" s="6" t="s">
        <v>122</v>
      </c>
      <c r="C1827" s="6" t="s">
        <v>152</v>
      </c>
      <c r="D1827" s="6" t="s">
        <v>153</v>
      </c>
      <c r="E1827" s="6" t="s">
        <v>1321</v>
      </c>
      <c r="F1827" s="6" t="s">
        <v>2010</v>
      </c>
      <c r="G1827" s="6">
        <v>50.02</v>
      </c>
      <c r="H1827" s="6">
        <v>48.83</v>
      </c>
      <c r="I1827" s="6">
        <v>119</v>
      </c>
      <c r="J1827" s="6">
        <v>2400</v>
      </c>
      <c r="K1827" s="7">
        <f>(J1827-M1827)*税费参数!$B$12/(I1827*10000*(1+SUM(税费参数!$B$6:$B$8)))</f>
        <v>0.0177172563940831</v>
      </c>
      <c r="L1827" s="7">
        <f>J1827*税费参数!$B$12/(I1827*10000)</f>
        <v>0.0201680672268908</v>
      </c>
      <c r="M1827" s="6">
        <f>I1827*10000*SUM(税费参数!$B$9:$B$10)/税费参数!$B$11</f>
        <v>223.125</v>
      </c>
    </row>
    <row r="1828" ht="21" customHeight="1" spans="1:13">
      <c r="A1828" s="5" t="s">
        <v>16</v>
      </c>
      <c r="B1828" s="6" t="s">
        <v>122</v>
      </c>
      <c r="C1828" s="6" t="s">
        <v>152</v>
      </c>
      <c r="D1828" s="6" t="s">
        <v>153</v>
      </c>
      <c r="E1828" s="6" t="s">
        <v>1321</v>
      </c>
      <c r="F1828" s="6" t="s">
        <v>2011</v>
      </c>
      <c r="G1828" s="6">
        <v>50.02</v>
      </c>
      <c r="H1828" s="6">
        <v>48.47</v>
      </c>
      <c r="I1828" s="6">
        <v>119</v>
      </c>
      <c r="J1828" s="6">
        <v>2100</v>
      </c>
      <c r="K1828" s="7">
        <f>(J1828-M1828)*税费参数!$B$12/(I1828*10000*(1+SUM(税费参数!$B$6:$B$8)))</f>
        <v>0.0152756017661302</v>
      </c>
      <c r="L1828" s="7">
        <f>J1828*税费参数!$B$12/(I1828*10000)</f>
        <v>0.0176470588235294</v>
      </c>
      <c r="M1828" s="6">
        <f>I1828*10000*SUM(税费参数!$B$9:$B$10)/税费参数!$B$11</f>
        <v>223.125</v>
      </c>
    </row>
    <row r="1829" ht="21" customHeight="1" spans="1:13">
      <c r="A1829" s="5" t="s">
        <v>16</v>
      </c>
      <c r="B1829" s="6" t="s">
        <v>122</v>
      </c>
      <c r="C1829" s="6" t="s">
        <v>152</v>
      </c>
      <c r="D1829" s="6" t="s">
        <v>153</v>
      </c>
      <c r="E1829" s="6" t="s">
        <v>1321</v>
      </c>
      <c r="F1829" s="6" t="s">
        <v>2012</v>
      </c>
      <c r="G1829" s="6">
        <v>50.02</v>
      </c>
      <c r="H1829" s="6">
        <v>48.86</v>
      </c>
      <c r="I1829" s="6">
        <v>119</v>
      </c>
      <c r="J1829" s="6">
        <v>3300</v>
      </c>
      <c r="K1829" s="7">
        <f>(J1829-M1829)*税费参数!$B$12/(I1829*10000*(1+SUM(税费参数!$B$6:$B$8)))</f>
        <v>0.0250422202779417</v>
      </c>
      <c r="L1829" s="7">
        <f>J1829*税费参数!$B$12/(I1829*10000)</f>
        <v>0.0277310924369748</v>
      </c>
      <c r="M1829" s="6">
        <f>I1829*10000*SUM(税费参数!$B$9:$B$10)/税费参数!$B$11</f>
        <v>223.125</v>
      </c>
    </row>
    <row r="1830" ht="21" customHeight="1" spans="1:13">
      <c r="A1830" s="5" t="s">
        <v>16</v>
      </c>
      <c r="B1830" s="6" t="s">
        <v>122</v>
      </c>
      <c r="C1830" s="6" t="s">
        <v>152</v>
      </c>
      <c r="D1830" s="6" t="s">
        <v>153</v>
      </c>
      <c r="E1830" s="6" t="s">
        <v>1321</v>
      </c>
      <c r="F1830" s="6" t="s">
        <v>2013</v>
      </c>
      <c r="G1830" s="6">
        <v>50.02</v>
      </c>
      <c r="H1830" s="6">
        <v>49.96</v>
      </c>
      <c r="I1830" s="6">
        <v>119</v>
      </c>
      <c r="J1830" s="6">
        <v>2500</v>
      </c>
      <c r="K1830" s="7">
        <f>(J1830-M1830)*税费参数!$B$12/(I1830*10000*(1+SUM(税费参数!$B$6:$B$8)))</f>
        <v>0.0185311412700673</v>
      </c>
      <c r="L1830" s="7">
        <f>J1830*税费参数!$B$12/(I1830*10000)</f>
        <v>0.0210084033613445</v>
      </c>
      <c r="M1830" s="6">
        <f>I1830*10000*SUM(税费参数!$B$9:$B$10)/税费参数!$B$11</f>
        <v>223.125</v>
      </c>
    </row>
    <row r="1831" ht="21" customHeight="1" spans="1:13">
      <c r="A1831" s="5" t="s">
        <v>16</v>
      </c>
      <c r="B1831" s="6" t="s">
        <v>122</v>
      </c>
      <c r="C1831" s="6" t="s">
        <v>152</v>
      </c>
      <c r="D1831" s="6" t="s">
        <v>153</v>
      </c>
      <c r="E1831" s="6" t="s">
        <v>1321</v>
      </c>
      <c r="F1831" s="6" t="s">
        <v>2014</v>
      </c>
      <c r="G1831" s="6">
        <v>50.02</v>
      </c>
      <c r="H1831" s="6">
        <v>50.02</v>
      </c>
      <c r="I1831" s="6">
        <v>119</v>
      </c>
      <c r="J1831" s="6">
        <v>2700</v>
      </c>
      <c r="K1831" s="7">
        <f>(J1831-M1831)*税费参数!$B$12/(I1831*10000*(1+SUM(税费参数!$B$6:$B$8)))</f>
        <v>0.0201589110220359</v>
      </c>
      <c r="L1831" s="7">
        <f>J1831*税费参数!$B$12/(I1831*10000)</f>
        <v>0.0226890756302521</v>
      </c>
      <c r="M1831" s="6">
        <f>I1831*10000*SUM(税费参数!$B$9:$B$10)/税费参数!$B$11</f>
        <v>223.125</v>
      </c>
    </row>
    <row r="1832" ht="21" customHeight="1" spans="1:13">
      <c r="A1832" s="5" t="s">
        <v>16</v>
      </c>
      <c r="B1832" s="6" t="s">
        <v>122</v>
      </c>
      <c r="C1832" s="6" t="s">
        <v>152</v>
      </c>
      <c r="D1832" s="6" t="s">
        <v>153</v>
      </c>
      <c r="E1832" s="6" t="s">
        <v>1321</v>
      </c>
      <c r="F1832" s="6" t="s">
        <v>2015</v>
      </c>
      <c r="G1832" s="6">
        <v>50.02</v>
      </c>
      <c r="H1832" s="6">
        <v>50.21</v>
      </c>
      <c r="I1832" s="6">
        <v>119</v>
      </c>
      <c r="J1832" s="6">
        <v>2200</v>
      </c>
      <c r="K1832" s="7">
        <f>(J1832-M1832)*税费参数!$B$12/(I1832*10000*(1+SUM(税费参数!$B$6:$B$8)))</f>
        <v>0.0160894866421145</v>
      </c>
      <c r="L1832" s="7">
        <f>J1832*税费参数!$B$12/(I1832*10000)</f>
        <v>0.0184873949579832</v>
      </c>
      <c r="M1832" s="6">
        <f>I1832*10000*SUM(税费参数!$B$9:$B$10)/税费参数!$B$11</f>
        <v>223.125</v>
      </c>
    </row>
    <row r="1833" ht="21" customHeight="1" spans="1:13">
      <c r="A1833" s="5" t="s">
        <v>16</v>
      </c>
      <c r="B1833" s="6" t="s">
        <v>122</v>
      </c>
      <c r="C1833" s="6" t="s">
        <v>152</v>
      </c>
      <c r="D1833" s="6" t="s">
        <v>153</v>
      </c>
      <c r="E1833" s="6" t="s">
        <v>1321</v>
      </c>
      <c r="F1833" s="6" t="s">
        <v>2016</v>
      </c>
      <c r="G1833" s="6">
        <v>50.02</v>
      </c>
      <c r="H1833" s="6">
        <v>47.84</v>
      </c>
      <c r="I1833" s="6">
        <v>119</v>
      </c>
      <c r="J1833" s="6">
        <v>2000</v>
      </c>
      <c r="K1833" s="7">
        <f>(J1833-M1833)*税费参数!$B$12/(I1833*10000*(1+SUM(税费参数!$B$6:$B$8)))</f>
        <v>0.0144617168901459</v>
      </c>
      <c r="L1833" s="7">
        <f>J1833*税费参数!$B$12/(I1833*10000)</f>
        <v>0.0168067226890756</v>
      </c>
      <c r="M1833" s="6">
        <f>I1833*10000*SUM(税费参数!$B$9:$B$10)/税费参数!$B$11</f>
        <v>223.125</v>
      </c>
    </row>
    <row r="1834" ht="21" customHeight="1" spans="1:13">
      <c r="A1834" s="5" t="s">
        <v>16</v>
      </c>
      <c r="B1834" s="6" t="s">
        <v>122</v>
      </c>
      <c r="C1834" s="6" t="s">
        <v>152</v>
      </c>
      <c r="D1834" s="6" t="s">
        <v>153</v>
      </c>
      <c r="E1834" s="6" t="s">
        <v>1321</v>
      </c>
      <c r="F1834" s="6" t="s">
        <v>2017</v>
      </c>
      <c r="G1834" s="6">
        <v>50.02</v>
      </c>
      <c r="H1834" s="6">
        <v>49.67</v>
      </c>
      <c r="I1834" s="6">
        <v>119</v>
      </c>
      <c r="J1834" s="6">
        <v>2100</v>
      </c>
      <c r="K1834" s="7">
        <f>(J1834-M1834)*税费参数!$B$12/(I1834*10000*(1+SUM(税费参数!$B$6:$B$8)))</f>
        <v>0.0152756017661302</v>
      </c>
      <c r="L1834" s="7">
        <f>J1834*税费参数!$B$12/(I1834*10000)</f>
        <v>0.0176470588235294</v>
      </c>
      <c r="M1834" s="6">
        <f>I1834*10000*SUM(税费参数!$B$9:$B$10)/税费参数!$B$11</f>
        <v>223.125</v>
      </c>
    </row>
    <row r="1835" ht="21" customHeight="1" spans="1:13">
      <c r="A1835" s="5" t="s">
        <v>16</v>
      </c>
      <c r="B1835" s="6" t="s">
        <v>122</v>
      </c>
      <c r="C1835" s="6" t="s">
        <v>152</v>
      </c>
      <c r="D1835" s="6" t="s">
        <v>153</v>
      </c>
      <c r="E1835" s="6" t="s">
        <v>1321</v>
      </c>
      <c r="F1835" s="6" t="s">
        <v>2018</v>
      </c>
      <c r="G1835" s="6">
        <v>50.02</v>
      </c>
      <c r="H1835" s="6">
        <v>49.24</v>
      </c>
      <c r="I1835" s="6">
        <v>119</v>
      </c>
      <c r="J1835" s="6">
        <v>2300</v>
      </c>
      <c r="K1835" s="7">
        <f>(J1835-M1835)*税费参数!$B$12/(I1835*10000*(1+SUM(税费参数!$B$6:$B$8)))</f>
        <v>0.0169033715180988</v>
      </c>
      <c r="L1835" s="7">
        <f>J1835*税费参数!$B$12/(I1835*10000)</f>
        <v>0.019327731092437</v>
      </c>
      <c r="M1835" s="6">
        <f>I1835*10000*SUM(税费参数!$B$9:$B$10)/税费参数!$B$11</f>
        <v>223.125</v>
      </c>
    </row>
    <row r="1836" ht="21" customHeight="1" spans="1:13">
      <c r="A1836" s="5" t="s">
        <v>16</v>
      </c>
      <c r="B1836" s="6" t="s">
        <v>122</v>
      </c>
      <c r="C1836" s="6" t="s">
        <v>152</v>
      </c>
      <c r="D1836" s="6" t="s">
        <v>153</v>
      </c>
      <c r="E1836" s="6" t="s">
        <v>1321</v>
      </c>
      <c r="F1836" s="6" t="s">
        <v>2019</v>
      </c>
      <c r="G1836" s="6">
        <v>50.02</v>
      </c>
      <c r="H1836" s="6">
        <v>47.53</v>
      </c>
      <c r="I1836" s="6">
        <v>119</v>
      </c>
      <c r="J1836" s="6">
        <v>2040</v>
      </c>
      <c r="K1836" s="7">
        <f>(J1836-M1836)*税费参数!$B$12/(I1836*10000*(1+SUM(税费参数!$B$6:$B$8)))</f>
        <v>0.0147872708405396</v>
      </c>
      <c r="L1836" s="7">
        <f>J1836*税费参数!$B$12/(I1836*10000)</f>
        <v>0.0171428571428571</v>
      </c>
      <c r="M1836" s="6">
        <f>I1836*10000*SUM(税费参数!$B$9:$B$10)/税费参数!$B$11</f>
        <v>223.125</v>
      </c>
    </row>
    <row r="1837" ht="21" customHeight="1" spans="1:13">
      <c r="A1837" s="5" t="s">
        <v>16</v>
      </c>
      <c r="B1837" s="6" t="s">
        <v>122</v>
      </c>
      <c r="C1837" s="6" t="s">
        <v>152</v>
      </c>
      <c r="D1837" s="6" t="s">
        <v>153</v>
      </c>
      <c r="E1837" s="6" t="s">
        <v>1321</v>
      </c>
      <c r="F1837" s="6" t="s">
        <v>2020</v>
      </c>
      <c r="G1837" s="6">
        <v>50.02</v>
      </c>
      <c r="H1837" s="6">
        <v>47.53</v>
      </c>
      <c r="I1837" s="6">
        <v>119</v>
      </c>
      <c r="J1837" s="6">
        <v>2000</v>
      </c>
      <c r="K1837" s="7">
        <f>(J1837-M1837)*税费参数!$B$12/(I1837*10000*(1+SUM(税费参数!$B$6:$B$8)))</f>
        <v>0.0144617168901459</v>
      </c>
      <c r="L1837" s="7">
        <f>J1837*税费参数!$B$12/(I1837*10000)</f>
        <v>0.0168067226890756</v>
      </c>
      <c r="M1837" s="6">
        <f>I1837*10000*SUM(税费参数!$B$9:$B$10)/税费参数!$B$11</f>
        <v>223.125</v>
      </c>
    </row>
    <row r="1838" ht="21" customHeight="1" spans="1:13">
      <c r="A1838" s="5" t="s">
        <v>16</v>
      </c>
      <c r="B1838" s="6" t="s">
        <v>122</v>
      </c>
      <c r="C1838" s="6" t="s">
        <v>152</v>
      </c>
      <c r="D1838" s="6" t="s">
        <v>153</v>
      </c>
      <c r="E1838" s="6" t="s">
        <v>1303</v>
      </c>
      <c r="F1838" s="6" t="s">
        <v>2003</v>
      </c>
      <c r="G1838" s="6">
        <v>51.33</v>
      </c>
      <c r="H1838" s="6">
        <v>48.47</v>
      </c>
      <c r="I1838" s="6">
        <v>113</v>
      </c>
      <c r="J1838" s="6">
        <v>2200</v>
      </c>
      <c r="K1838" s="7">
        <f>(J1838-M1838)*税费参数!$B$12/(I1838*10000*(1+SUM(税费参数!$B$6:$B$8)))</f>
        <v>0.0170402194176006</v>
      </c>
      <c r="L1838" s="7">
        <f>J1838*税费参数!$B$12/(I1838*10000)</f>
        <v>0.0194690265486726</v>
      </c>
      <c r="M1838" s="6">
        <f>I1838*10000*SUM(税费参数!$B$9:$B$10)/税费参数!$B$11</f>
        <v>211.875</v>
      </c>
    </row>
    <row r="1839" ht="21" customHeight="1" spans="1:13">
      <c r="A1839" s="5" t="s">
        <v>16</v>
      </c>
      <c r="B1839" s="6" t="s">
        <v>122</v>
      </c>
      <c r="C1839" s="6" t="s">
        <v>152</v>
      </c>
      <c r="D1839" s="6" t="s">
        <v>153</v>
      </c>
      <c r="E1839" s="6" t="s">
        <v>1303</v>
      </c>
      <c r="F1839" s="6" t="s">
        <v>2004</v>
      </c>
      <c r="G1839" s="6">
        <v>51.33</v>
      </c>
      <c r="H1839" s="6">
        <v>48.95</v>
      </c>
      <c r="I1839" s="6">
        <v>113</v>
      </c>
      <c r="J1839" s="6">
        <v>1800</v>
      </c>
      <c r="K1839" s="7">
        <f>(J1839-M1839)*税费参数!$B$12/(I1839*10000*(1+SUM(税费参数!$B$6:$B$8)))</f>
        <v>0.0136118194090295</v>
      </c>
      <c r="L1839" s="7">
        <f>J1839*税费参数!$B$12/(I1839*10000)</f>
        <v>0.015929203539823</v>
      </c>
      <c r="M1839" s="6">
        <f>I1839*10000*SUM(税费参数!$B$9:$B$10)/税费参数!$B$11</f>
        <v>211.875</v>
      </c>
    </row>
    <row r="1840" ht="21" customHeight="1" spans="1:13">
      <c r="A1840" s="5" t="s">
        <v>16</v>
      </c>
      <c r="B1840" s="6" t="s">
        <v>122</v>
      </c>
      <c r="C1840" s="6" t="s">
        <v>152</v>
      </c>
      <c r="D1840" s="6" t="s">
        <v>153</v>
      </c>
      <c r="E1840" s="6" t="s">
        <v>1303</v>
      </c>
      <c r="F1840" s="6" t="s">
        <v>2005</v>
      </c>
      <c r="G1840" s="6">
        <v>51.33</v>
      </c>
      <c r="H1840" s="6">
        <v>50.29</v>
      </c>
      <c r="I1840" s="6">
        <v>113</v>
      </c>
      <c r="J1840" s="6">
        <v>1900</v>
      </c>
      <c r="K1840" s="7">
        <f>(J1840-M1840)*税费参数!$B$12/(I1840*10000*(1+SUM(税费参数!$B$6:$B$8)))</f>
        <v>0.0144689194111723</v>
      </c>
      <c r="L1840" s="7">
        <f>J1840*税费参数!$B$12/(I1840*10000)</f>
        <v>0.0168141592920354</v>
      </c>
      <c r="M1840" s="6">
        <f>I1840*10000*SUM(税费参数!$B$9:$B$10)/税费参数!$B$11</f>
        <v>211.875</v>
      </c>
    </row>
    <row r="1841" ht="21" customHeight="1" spans="1:13">
      <c r="A1841" s="5" t="s">
        <v>16</v>
      </c>
      <c r="B1841" s="6" t="s">
        <v>122</v>
      </c>
      <c r="C1841" s="6" t="s">
        <v>152</v>
      </c>
      <c r="D1841" s="6" t="s">
        <v>153</v>
      </c>
      <c r="E1841" s="6" t="s">
        <v>1303</v>
      </c>
      <c r="F1841" s="6" t="s">
        <v>2006</v>
      </c>
      <c r="G1841" s="6">
        <v>51.33</v>
      </c>
      <c r="H1841" s="6">
        <v>47.92</v>
      </c>
      <c r="I1841" s="6">
        <v>113</v>
      </c>
      <c r="J1841" s="6">
        <v>2000</v>
      </c>
      <c r="K1841" s="7">
        <f>(J1841-M1841)*税费参数!$B$12/(I1841*10000*(1+SUM(税费参数!$B$6:$B$8)))</f>
        <v>0.015326019413315</v>
      </c>
      <c r="L1841" s="7">
        <f>J1841*税费参数!$B$12/(I1841*10000)</f>
        <v>0.0176991150442478</v>
      </c>
      <c r="M1841" s="6">
        <f>I1841*10000*SUM(税费参数!$B$9:$B$10)/税费参数!$B$11</f>
        <v>211.875</v>
      </c>
    </row>
    <row r="1842" ht="21" customHeight="1" spans="1:13">
      <c r="A1842" s="5" t="s">
        <v>16</v>
      </c>
      <c r="B1842" s="6" t="s">
        <v>122</v>
      </c>
      <c r="C1842" s="6" t="s">
        <v>152</v>
      </c>
      <c r="D1842" s="6" t="s">
        <v>153</v>
      </c>
      <c r="E1842" s="6" t="s">
        <v>1303</v>
      </c>
      <c r="F1842" s="6" t="s">
        <v>2007</v>
      </c>
      <c r="G1842" s="6">
        <v>51.33</v>
      </c>
      <c r="H1842" s="6">
        <v>47.53</v>
      </c>
      <c r="I1842" s="6">
        <v>113</v>
      </c>
      <c r="J1842" s="6">
        <v>1850</v>
      </c>
      <c r="K1842" s="7">
        <f>(J1842-M1842)*税费参数!$B$12/(I1842*10000*(1+SUM(税费参数!$B$6:$B$8)))</f>
        <v>0.0140403694101009</v>
      </c>
      <c r="L1842" s="7">
        <f>J1842*税费参数!$B$12/(I1842*10000)</f>
        <v>0.0163716814159292</v>
      </c>
      <c r="M1842" s="6">
        <f>I1842*10000*SUM(税费参数!$B$9:$B$10)/税费参数!$B$11</f>
        <v>211.875</v>
      </c>
    </row>
    <row r="1843" ht="21" customHeight="1" spans="1:13">
      <c r="A1843" s="5" t="s">
        <v>16</v>
      </c>
      <c r="B1843" s="6" t="s">
        <v>122</v>
      </c>
      <c r="C1843" s="6" t="s">
        <v>152</v>
      </c>
      <c r="D1843" s="6" t="s">
        <v>153</v>
      </c>
      <c r="E1843" s="6" t="s">
        <v>1303</v>
      </c>
      <c r="F1843" s="6" t="s">
        <v>2008</v>
      </c>
      <c r="G1843" s="6">
        <v>51.33</v>
      </c>
      <c r="H1843" s="6">
        <v>45.16</v>
      </c>
      <c r="I1843" s="6">
        <v>113</v>
      </c>
      <c r="J1843" s="6">
        <v>2000</v>
      </c>
      <c r="K1843" s="7">
        <f>(J1843-M1843)*税费参数!$B$12/(I1843*10000*(1+SUM(税费参数!$B$6:$B$8)))</f>
        <v>0.015326019413315</v>
      </c>
      <c r="L1843" s="7">
        <f>J1843*税费参数!$B$12/(I1843*10000)</f>
        <v>0.0176991150442478</v>
      </c>
      <c r="M1843" s="6">
        <f>I1843*10000*SUM(税费参数!$B$9:$B$10)/税费参数!$B$11</f>
        <v>211.875</v>
      </c>
    </row>
    <row r="1844" ht="21" customHeight="1" spans="1:13">
      <c r="A1844" s="5" t="s">
        <v>16</v>
      </c>
      <c r="B1844" s="6" t="s">
        <v>122</v>
      </c>
      <c r="C1844" s="6" t="s">
        <v>152</v>
      </c>
      <c r="D1844" s="6" t="s">
        <v>153</v>
      </c>
      <c r="E1844" s="6" t="s">
        <v>1303</v>
      </c>
      <c r="F1844" s="6" t="s">
        <v>2009</v>
      </c>
      <c r="G1844" s="6">
        <v>51.33</v>
      </c>
      <c r="H1844" s="6">
        <v>51.15</v>
      </c>
      <c r="I1844" s="6">
        <v>113</v>
      </c>
      <c r="J1844" s="6">
        <v>1950</v>
      </c>
      <c r="K1844" s="7">
        <f>(J1844-M1844)*税费参数!$B$12/(I1844*10000*(1+SUM(税费参数!$B$6:$B$8)))</f>
        <v>0.0148974694122437</v>
      </c>
      <c r="L1844" s="7">
        <f>J1844*税费参数!$B$12/(I1844*10000)</f>
        <v>0.0172566371681416</v>
      </c>
      <c r="M1844" s="6">
        <f>I1844*10000*SUM(税费参数!$B$9:$B$10)/税费参数!$B$11</f>
        <v>211.875</v>
      </c>
    </row>
    <row r="1845" ht="21" customHeight="1" spans="1:13">
      <c r="A1845" s="5" t="s">
        <v>16</v>
      </c>
      <c r="B1845" s="6" t="s">
        <v>122</v>
      </c>
      <c r="C1845" s="6" t="s">
        <v>152</v>
      </c>
      <c r="D1845" s="6" t="s">
        <v>153</v>
      </c>
      <c r="E1845" s="6" t="s">
        <v>1303</v>
      </c>
      <c r="F1845" s="6" t="s">
        <v>2010</v>
      </c>
      <c r="G1845" s="6">
        <v>51.33</v>
      </c>
      <c r="H1845" s="6">
        <v>48.83</v>
      </c>
      <c r="I1845" s="6">
        <v>113</v>
      </c>
      <c r="J1845" s="6">
        <v>2400</v>
      </c>
      <c r="K1845" s="7">
        <f>(J1845-M1845)*税费参数!$B$12/(I1845*10000*(1+SUM(税费参数!$B$6:$B$8)))</f>
        <v>0.018754419421886</v>
      </c>
      <c r="L1845" s="7">
        <f>J1845*税费参数!$B$12/(I1845*10000)</f>
        <v>0.0212389380530973</v>
      </c>
      <c r="M1845" s="6">
        <f>I1845*10000*SUM(税费参数!$B$9:$B$10)/税费参数!$B$11</f>
        <v>211.875</v>
      </c>
    </row>
    <row r="1846" ht="21" customHeight="1" spans="1:13">
      <c r="A1846" s="5" t="s">
        <v>16</v>
      </c>
      <c r="B1846" s="6" t="s">
        <v>122</v>
      </c>
      <c r="C1846" s="6" t="s">
        <v>152</v>
      </c>
      <c r="D1846" s="6" t="s">
        <v>153</v>
      </c>
      <c r="E1846" s="6" t="s">
        <v>1303</v>
      </c>
      <c r="F1846" s="6" t="s">
        <v>2011</v>
      </c>
      <c r="G1846" s="6">
        <v>51.33</v>
      </c>
      <c r="H1846" s="6">
        <v>48.47</v>
      </c>
      <c r="I1846" s="6">
        <v>113</v>
      </c>
      <c r="J1846" s="6">
        <v>2100</v>
      </c>
      <c r="K1846" s="7">
        <f>(J1846-M1846)*税费参数!$B$12/(I1846*10000*(1+SUM(税费参数!$B$6:$B$8)))</f>
        <v>0.0161831194154578</v>
      </c>
      <c r="L1846" s="7">
        <f>J1846*税费参数!$B$12/(I1846*10000)</f>
        <v>0.0185840707964602</v>
      </c>
      <c r="M1846" s="6">
        <f>I1846*10000*SUM(税费参数!$B$9:$B$10)/税费参数!$B$11</f>
        <v>211.875</v>
      </c>
    </row>
    <row r="1847" ht="21" customHeight="1" spans="1:13">
      <c r="A1847" s="5" t="s">
        <v>16</v>
      </c>
      <c r="B1847" s="6" t="s">
        <v>122</v>
      </c>
      <c r="C1847" s="6" t="s">
        <v>152</v>
      </c>
      <c r="D1847" s="6" t="s">
        <v>153</v>
      </c>
      <c r="E1847" s="6" t="s">
        <v>1303</v>
      </c>
      <c r="F1847" s="6" t="s">
        <v>2012</v>
      </c>
      <c r="G1847" s="6">
        <v>51.33</v>
      </c>
      <c r="H1847" s="6">
        <v>48.86</v>
      </c>
      <c r="I1847" s="6">
        <v>113</v>
      </c>
      <c r="J1847" s="6">
        <v>3300</v>
      </c>
      <c r="K1847" s="7">
        <f>(J1847-M1847)*税费参数!$B$12/(I1847*10000*(1+SUM(税费参数!$B$6:$B$8)))</f>
        <v>0.0264683194411708</v>
      </c>
      <c r="L1847" s="7">
        <f>J1847*税费参数!$B$12/(I1847*10000)</f>
        <v>0.0292035398230088</v>
      </c>
      <c r="M1847" s="6">
        <f>I1847*10000*SUM(税费参数!$B$9:$B$10)/税费参数!$B$11</f>
        <v>211.875</v>
      </c>
    </row>
    <row r="1848" ht="21" customHeight="1" spans="1:13">
      <c r="A1848" s="5" t="s">
        <v>16</v>
      </c>
      <c r="B1848" s="6" t="s">
        <v>122</v>
      </c>
      <c r="C1848" s="6" t="s">
        <v>152</v>
      </c>
      <c r="D1848" s="6" t="s">
        <v>153</v>
      </c>
      <c r="E1848" s="6" t="s">
        <v>1303</v>
      </c>
      <c r="F1848" s="6" t="s">
        <v>2013</v>
      </c>
      <c r="G1848" s="6">
        <v>51.33</v>
      </c>
      <c r="H1848" s="6">
        <v>49.96</v>
      </c>
      <c r="I1848" s="6">
        <v>113</v>
      </c>
      <c r="J1848" s="6">
        <v>2500</v>
      </c>
      <c r="K1848" s="7">
        <f>(J1848-M1848)*税费参数!$B$12/(I1848*10000*(1+SUM(税费参数!$B$6:$B$8)))</f>
        <v>0.0196115194240288</v>
      </c>
      <c r="L1848" s="7">
        <f>J1848*税费参数!$B$12/(I1848*10000)</f>
        <v>0.0221238938053097</v>
      </c>
      <c r="M1848" s="6">
        <f>I1848*10000*SUM(税费参数!$B$9:$B$10)/税费参数!$B$11</f>
        <v>211.875</v>
      </c>
    </row>
    <row r="1849" ht="21" customHeight="1" spans="1:13">
      <c r="A1849" s="5" t="s">
        <v>16</v>
      </c>
      <c r="B1849" s="6" t="s">
        <v>122</v>
      </c>
      <c r="C1849" s="6" t="s">
        <v>152</v>
      </c>
      <c r="D1849" s="6" t="s">
        <v>153</v>
      </c>
      <c r="E1849" s="6" t="s">
        <v>1303</v>
      </c>
      <c r="F1849" s="6" t="s">
        <v>2014</v>
      </c>
      <c r="G1849" s="6">
        <v>51.33</v>
      </c>
      <c r="H1849" s="6">
        <v>50.02</v>
      </c>
      <c r="I1849" s="6">
        <v>113</v>
      </c>
      <c r="J1849" s="6">
        <v>2700</v>
      </c>
      <c r="K1849" s="7">
        <f>(J1849-M1849)*税费参数!$B$12/(I1849*10000*(1+SUM(税费参数!$B$6:$B$8)))</f>
        <v>0.0213257194283143</v>
      </c>
      <c r="L1849" s="7">
        <f>J1849*税费参数!$B$12/(I1849*10000)</f>
        <v>0.0238938053097345</v>
      </c>
      <c r="M1849" s="6">
        <f>I1849*10000*SUM(税费参数!$B$9:$B$10)/税费参数!$B$11</f>
        <v>211.875</v>
      </c>
    </row>
    <row r="1850" ht="21" customHeight="1" spans="1:13">
      <c r="A1850" s="5" t="s">
        <v>16</v>
      </c>
      <c r="B1850" s="6" t="s">
        <v>122</v>
      </c>
      <c r="C1850" s="6" t="s">
        <v>152</v>
      </c>
      <c r="D1850" s="6" t="s">
        <v>153</v>
      </c>
      <c r="E1850" s="6" t="s">
        <v>1303</v>
      </c>
      <c r="F1850" s="6" t="s">
        <v>2015</v>
      </c>
      <c r="G1850" s="6">
        <v>51.33</v>
      </c>
      <c r="H1850" s="6">
        <v>50.21</v>
      </c>
      <c r="I1850" s="6">
        <v>113</v>
      </c>
      <c r="J1850" s="6">
        <v>2200</v>
      </c>
      <c r="K1850" s="7">
        <f>(J1850-M1850)*税费参数!$B$12/(I1850*10000*(1+SUM(税费参数!$B$6:$B$8)))</f>
        <v>0.0170402194176006</v>
      </c>
      <c r="L1850" s="7">
        <f>J1850*税费参数!$B$12/(I1850*10000)</f>
        <v>0.0194690265486726</v>
      </c>
      <c r="M1850" s="6">
        <f>I1850*10000*SUM(税费参数!$B$9:$B$10)/税费参数!$B$11</f>
        <v>211.875</v>
      </c>
    </row>
    <row r="1851" ht="21" customHeight="1" spans="1:13">
      <c r="A1851" s="5" t="s">
        <v>16</v>
      </c>
      <c r="B1851" s="6" t="s">
        <v>122</v>
      </c>
      <c r="C1851" s="6" t="s">
        <v>152</v>
      </c>
      <c r="D1851" s="6" t="s">
        <v>153</v>
      </c>
      <c r="E1851" s="6" t="s">
        <v>1303</v>
      </c>
      <c r="F1851" s="6" t="s">
        <v>2016</v>
      </c>
      <c r="G1851" s="6">
        <v>51.33</v>
      </c>
      <c r="H1851" s="6">
        <v>47.84</v>
      </c>
      <c r="I1851" s="6">
        <v>113</v>
      </c>
      <c r="J1851" s="6">
        <v>2000</v>
      </c>
      <c r="K1851" s="7">
        <f>(J1851-M1851)*税费参数!$B$12/(I1851*10000*(1+SUM(税费参数!$B$6:$B$8)))</f>
        <v>0.015326019413315</v>
      </c>
      <c r="L1851" s="7">
        <f>J1851*税费参数!$B$12/(I1851*10000)</f>
        <v>0.0176991150442478</v>
      </c>
      <c r="M1851" s="6">
        <f>I1851*10000*SUM(税费参数!$B$9:$B$10)/税费参数!$B$11</f>
        <v>211.875</v>
      </c>
    </row>
    <row r="1852" ht="21" customHeight="1" spans="1:13">
      <c r="A1852" s="5" t="s">
        <v>16</v>
      </c>
      <c r="B1852" s="6" t="s">
        <v>122</v>
      </c>
      <c r="C1852" s="6" t="s">
        <v>152</v>
      </c>
      <c r="D1852" s="6" t="s">
        <v>153</v>
      </c>
      <c r="E1852" s="6" t="s">
        <v>1303</v>
      </c>
      <c r="F1852" s="6" t="s">
        <v>2017</v>
      </c>
      <c r="G1852" s="6">
        <v>51.33</v>
      </c>
      <c r="H1852" s="6">
        <v>49.67</v>
      </c>
      <c r="I1852" s="6">
        <v>113</v>
      </c>
      <c r="J1852" s="6">
        <v>2100</v>
      </c>
      <c r="K1852" s="7">
        <f>(J1852-M1852)*税费参数!$B$12/(I1852*10000*(1+SUM(税费参数!$B$6:$B$8)))</f>
        <v>0.0161831194154578</v>
      </c>
      <c r="L1852" s="7">
        <f>J1852*税费参数!$B$12/(I1852*10000)</f>
        <v>0.0185840707964602</v>
      </c>
      <c r="M1852" s="6">
        <f>I1852*10000*SUM(税费参数!$B$9:$B$10)/税费参数!$B$11</f>
        <v>211.875</v>
      </c>
    </row>
    <row r="1853" ht="21" customHeight="1" spans="1:13">
      <c r="A1853" s="5" t="s">
        <v>16</v>
      </c>
      <c r="B1853" s="6" t="s">
        <v>122</v>
      </c>
      <c r="C1853" s="6" t="s">
        <v>152</v>
      </c>
      <c r="D1853" s="6" t="s">
        <v>153</v>
      </c>
      <c r="E1853" s="6" t="s">
        <v>1303</v>
      </c>
      <c r="F1853" s="6" t="s">
        <v>2018</v>
      </c>
      <c r="G1853" s="6">
        <v>51.33</v>
      </c>
      <c r="H1853" s="6">
        <v>49.24</v>
      </c>
      <c r="I1853" s="6">
        <v>113</v>
      </c>
      <c r="J1853" s="6">
        <v>2300</v>
      </c>
      <c r="K1853" s="7">
        <f>(J1853-M1853)*税费参数!$B$12/(I1853*10000*(1+SUM(税费参数!$B$6:$B$8)))</f>
        <v>0.0178973194197433</v>
      </c>
      <c r="L1853" s="7">
        <f>J1853*税费参数!$B$12/(I1853*10000)</f>
        <v>0.020353982300885</v>
      </c>
      <c r="M1853" s="6">
        <f>I1853*10000*SUM(税费参数!$B$9:$B$10)/税费参数!$B$11</f>
        <v>211.875</v>
      </c>
    </row>
    <row r="1854" ht="21" customHeight="1" spans="1:13">
      <c r="A1854" s="5" t="s">
        <v>16</v>
      </c>
      <c r="B1854" s="6" t="s">
        <v>122</v>
      </c>
      <c r="C1854" s="6" t="s">
        <v>152</v>
      </c>
      <c r="D1854" s="6" t="s">
        <v>153</v>
      </c>
      <c r="E1854" s="6" t="s">
        <v>1303</v>
      </c>
      <c r="F1854" s="6" t="s">
        <v>2019</v>
      </c>
      <c r="G1854" s="6">
        <v>51.33</v>
      </c>
      <c r="H1854" s="6">
        <v>47.53</v>
      </c>
      <c r="I1854" s="6">
        <v>113</v>
      </c>
      <c r="J1854" s="6">
        <v>2040</v>
      </c>
      <c r="K1854" s="7">
        <f>(J1854-M1854)*税费参数!$B$12/(I1854*10000*(1+SUM(税费参数!$B$6:$B$8)))</f>
        <v>0.0156688594141721</v>
      </c>
      <c r="L1854" s="7">
        <f>J1854*税费参数!$B$12/(I1854*10000)</f>
        <v>0.0180530973451327</v>
      </c>
      <c r="M1854" s="6">
        <f>I1854*10000*SUM(税费参数!$B$9:$B$10)/税费参数!$B$11</f>
        <v>211.875</v>
      </c>
    </row>
    <row r="1855" ht="21" customHeight="1" spans="1:13">
      <c r="A1855" s="5" t="s">
        <v>16</v>
      </c>
      <c r="B1855" s="6" t="s">
        <v>122</v>
      </c>
      <c r="C1855" s="6" t="s">
        <v>152</v>
      </c>
      <c r="D1855" s="6" t="s">
        <v>153</v>
      </c>
      <c r="E1855" s="6" t="s">
        <v>1303</v>
      </c>
      <c r="F1855" s="6" t="s">
        <v>2020</v>
      </c>
      <c r="G1855" s="6">
        <v>51.33</v>
      </c>
      <c r="H1855" s="6">
        <v>47.53</v>
      </c>
      <c r="I1855" s="6">
        <v>113</v>
      </c>
      <c r="J1855" s="6">
        <v>2000</v>
      </c>
      <c r="K1855" s="7">
        <f>(J1855-M1855)*税费参数!$B$12/(I1855*10000*(1+SUM(税费参数!$B$6:$B$8)))</f>
        <v>0.015326019413315</v>
      </c>
      <c r="L1855" s="7">
        <f>J1855*税费参数!$B$12/(I1855*10000)</f>
        <v>0.0176991150442478</v>
      </c>
      <c r="M1855" s="6">
        <f>I1855*10000*SUM(税费参数!$B$9:$B$10)/税费参数!$B$11</f>
        <v>211.875</v>
      </c>
    </row>
    <row r="1856" ht="21" customHeight="1" spans="1:13">
      <c r="A1856" s="5" t="s">
        <v>16</v>
      </c>
      <c r="B1856" s="6" t="s">
        <v>122</v>
      </c>
      <c r="C1856" s="6" t="s">
        <v>152</v>
      </c>
      <c r="D1856" s="6" t="s">
        <v>153</v>
      </c>
      <c r="E1856" s="6" t="s">
        <v>1335</v>
      </c>
      <c r="F1856" s="6" t="s">
        <v>2003</v>
      </c>
      <c r="G1856" s="6">
        <v>51.15</v>
      </c>
      <c r="H1856" s="6">
        <v>48.47</v>
      </c>
      <c r="I1856" s="6">
        <v>118</v>
      </c>
      <c r="J1856" s="6">
        <v>2200</v>
      </c>
      <c r="K1856" s="7">
        <f>(J1856-M1856)*税费参数!$B$12/(I1856*10000*(1+SUM(税费参数!$B$6:$B$8)))</f>
        <v>0.0162412278901793</v>
      </c>
      <c r="L1856" s="7">
        <f>J1856*税费参数!$B$12/(I1856*10000)</f>
        <v>0.0186440677966102</v>
      </c>
      <c r="M1856" s="6">
        <f>I1856*10000*SUM(税费参数!$B$9:$B$10)/税费参数!$B$11</f>
        <v>221.25</v>
      </c>
    </row>
    <row r="1857" ht="21" customHeight="1" spans="1:13">
      <c r="A1857" s="5" t="s">
        <v>16</v>
      </c>
      <c r="B1857" s="6" t="s">
        <v>122</v>
      </c>
      <c r="C1857" s="6" t="s">
        <v>152</v>
      </c>
      <c r="D1857" s="6" t="s">
        <v>153</v>
      </c>
      <c r="E1857" s="6" t="s">
        <v>1335</v>
      </c>
      <c r="F1857" s="6" t="s">
        <v>2004</v>
      </c>
      <c r="G1857" s="6">
        <v>51.15</v>
      </c>
      <c r="H1857" s="6">
        <v>48.95</v>
      </c>
      <c r="I1857" s="6">
        <v>118</v>
      </c>
      <c r="J1857" s="6">
        <v>1800</v>
      </c>
      <c r="K1857" s="7">
        <f>(J1857-M1857)*税费参数!$B$12/(I1857*10000*(1+SUM(税费参数!$B$6:$B$8)))</f>
        <v>0.0129580990684122</v>
      </c>
      <c r="L1857" s="7">
        <f>J1857*税费参数!$B$12/(I1857*10000)</f>
        <v>0.0152542372881356</v>
      </c>
      <c r="M1857" s="6">
        <f>I1857*10000*SUM(税费参数!$B$9:$B$10)/税费参数!$B$11</f>
        <v>221.25</v>
      </c>
    </row>
    <row r="1858" ht="21" customHeight="1" spans="1:13">
      <c r="A1858" s="5" t="s">
        <v>16</v>
      </c>
      <c r="B1858" s="6" t="s">
        <v>122</v>
      </c>
      <c r="C1858" s="6" t="s">
        <v>152</v>
      </c>
      <c r="D1858" s="6" t="s">
        <v>153</v>
      </c>
      <c r="E1858" s="6" t="s">
        <v>1335</v>
      </c>
      <c r="F1858" s="6" t="s">
        <v>2005</v>
      </c>
      <c r="G1858" s="6">
        <v>51.15</v>
      </c>
      <c r="H1858" s="6">
        <v>50.29</v>
      </c>
      <c r="I1858" s="6">
        <v>118</v>
      </c>
      <c r="J1858" s="6">
        <v>1900</v>
      </c>
      <c r="K1858" s="7">
        <f>(J1858-M1858)*税费参数!$B$12/(I1858*10000*(1+SUM(税费参数!$B$6:$B$8)))</f>
        <v>0.013778881273854</v>
      </c>
      <c r="L1858" s="7">
        <f>J1858*税费参数!$B$12/(I1858*10000)</f>
        <v>0.0161016949152542</v>
      </c>
      <c r="M1858" s="6">
        <f>I1858*10000*SUM(税费参数!$B$9:$B$10)/税费参数!$B$11</f>
        <v>221.25</v>
      </c>
    </row>
    <row r="1859" ht="21" customHeight="1" spans="1:13">
      <c r="A1859" s="5" t="s">
        <v>16</v>
      </c>
      <c r="B1859" s="6" t="s">
        <v>122</v>
      </c>
      <c r="C1859" s="6" t="s">
        <v>152</v>
      </c>
      <c r="D1859" s="6" t="s">
        <v>153</v>
      </c>
      <c r="E1859" s="6" t="s">
        <v>1335</v>
      </c>
      <c r="F1859" s="6" t="s">
        <v>2006</v>
      </c>
      <c r="G1859" s="6">
        <v>51.15</v>
      </c>
      <c r="H1859" s="6">
        <v>47.92</v>
      </c>
      <c r="I1859" s="6">
        <v>118</v>
      </c>
      <c r="J1859" s="6">
        <v>2000</v>
      </c>
      <c r="K1859" s="7">
        <f>(J1859-M1859)*税费参数!$B$12/(I1859*10000*(1+SUM(税费参数!$B$6:$B$8)))</f>
        <v>0.0145996634792958</v>
      </c>
      <c r="L1859" s="7">
        <f>J1859*税费参数!$B$12/(I1859*10000)</f>
        <v>0.0169491525423729</v>
      </c>
      <c r="M1859" s="6">
        <f>I1859*10000*SUM(税费参数!$B$9:$B$10)/税费参数!$B$11</f>
        <v>221.25</v>
      </c>
    </row>
    <row r="1860" ht="21" customHeight="1" spans="1:13">
      <c r="A1860" s="5" t="s">
        <v>16</v>
      </c>
      <c r="B1860" s="6" t="s">
        <v>122</v>
      </c>
      <c r="C1860" s="6" t="s">
        <v>152</v>
      </c>
      <c r="D1860" s="6" t="s">
        <v>153</v>
      </c>
      <c r="E1860" s="6" t="s">
        <v>1335</v>
      </c>
      <c r="F1860" s="6" t="s">
        <v>2007</v>
      </c>
      <c r="G1860" s="6">
        <v>51.15</v>
      </c>
      <c r="H1860" s="6">
        <v>47.53</v>
      </c>
      <c r="I1860" s="6">
        <v>118</v>
      </c>
      <c r="J1860" s="6">
        <v>1850</v>
      </c>
      <c r="K1860" s="7">
        <f>(J1860-M1860)*税费参数!$B$12/(I1860*10000*(1+SUM(税费参数!$B$6:$B$8)))</f>
        <v>0.0133684901711331</v>
      </c>
      <c r="L1860" s="7">
        <f>J1860*税费参数!$B$12/(I1860*10000)</f>
        <v>0.0156779661016949</v>
      </c>
      <c r="M1860" s="6">
        <f>I1860*10000*SUM(税费参数!$B$9:$B$10)/税费参数!$B$11</f>
        <v>221.25</v>
      </c>
    </row>
    <row r="1861" ht="21" customHeight="1" spans="1:13">
      <c r="A1861" s="5" t="s">
        <v>16</v>
      </c>
      <c r="B1861" s="6" t="s">
        <v>122</v>
      </c>
      <c r="C1861" s="6" t="s">
        <v>152</v>
      </c>
      <c r="D1861" s="6" t="s">
        <v>153</v>
      </c>
      <c r="E1861" s="6" t="s">
        <v>1335</v>
      </c>
      <c r="F1861" s="6" t="s">
        <v>2008</v>
      </c>
      <c r="G1861" s="6">
        <v>51.15</v>
      </c>
      <c r="H1861" s="6">
        <v>45.16</v>
      </c>
      <c r="I1861" s="6">
        <v>118</v>
      </c>
      <c r="J1861" s="6">
        <v>2000</v>
      </c>
      <c r="K1861" s="7">
        <f>(J1861-M1861)*税费参数!$B$12/(I1861*10000*(1+SUM(税费参数!$B$6:$B$8)))</f>
        <v>0.0145996634792958</v>
      </c>
      <c r="L1861" s="7">
        <f>J1861*税费参数!$B$12/(I1861*10000)</f>
        <v>0.0169491525423729</v>
      </c>
      <c r="M1861" s="6">
        <f>I1861*10000*SUM(税费参数!$B$9:$B$10)/税费参数!$B$11</f>
        <v>221.25</v>
      </c>
    </row>
    <row r="1862" ht="21" customHeight="1" spans="1:13">
      <c r="A1862" s="5" t="s">
        <v>16</v>
      </c>
      <c r="B1862" s="6" t="s">
        <v>122</v>
      </c>
      <c r="C1862" s="6" t="s">
        <v>152</v>
      </c>
      <c r="D1862" s="6" t="s">
        <v>153</v>
      </c>
      <c r="E1862" s="6" t="s">
        <v>1335</v>
      </c>
      <c r="F1862" s="6" t="s">
        <v>2009</v>
      </c>
      <c r="G1862" s="6">
        <v>51.15</v>
      </c>
      <c r="H1862" s="6">
        <v>51.15</v>
      </c>
      <c r="I1862" s="6">
        <v>118</v>
      </c>
      <c r="J1862" s="6">
        <v>1950</v>
      </c>
      <c r="K1862" s="7">
        <f>(J1862-M1862)*税费参数!$B$12/(I1862*10000*(1+SUM(税费参数!$B$6:$B$8)))</f>
        <v>0.0141892723765749</v>
      </c>
      <c r="L1862" s="7">
        <f>J1862*税费参数!$B$12/(I1862*10000)</f>
        <v>0.0165254237288136</v>
      </c>
      <c r="M1862" s="6">
        <f>I1862*10000*SUM(税费参数!$B$9:$B$10)/税费参数!$B$11</f>
        <v>221.25</v>
      </c>
    </row>
    <row r="1863" ht="21" customHeight="1" spans="1:13">
      <c r="A1863" s="5" t="s">
        <v>16</v>
      </c>
      <c r="B1863" s="6" t="s">
        <v>122</v>
      </c>
      <c r="C1863" s="6" t="s">
        <v>152</v>
      </c>
      <c r="D1863" s="6" t="s">
        <v>153</v>
      </c>
      <c r="E1863" s="6" t="s">
        <v>1335</v>
      </c>
      <c r="F1863" s="6" t="s">
        <v>2010</v>
      </c>
      <c r="G1863" s="6">
        <v>51.15</v>
      </c>
      <c r="H1863" s="6">
        <v>48.83</v>
      </c>
      <c r="I1863" s="6">
        <v>118</v>
      </c>
      <c r="J1863" s="6">
        <v>2400</v>
      </c>
      <c r="K1863" s="7">
        <f>(J1863-M1863)*税费参数!$B$12/(I1863*10000*(1+SUM(税费参数!$B$6:$B$8)))</f>
        <v>0.0178827923010629</v>
      </c>
      <c r="L1863" s="7">
        <f>J1863*税费参数!$B$12/(I1863*10000)</f>
        <v>0.0203389830508475</v>
      </c>
      <c r="M1863" s="6">
        <f>I1863*10000*SUM(税费参数!$B$9:$B$10)/税费参数!$B$11</f>
        <v>221.25</v>
      </c>
    </row>
    <row r="1864" ht="21" customHeight="1" spans="1:13">
      <c r="A1864" s="5" t="s">
        <v>16</v>
      </c>
      <c r="B1864" s="6" t="s">
        <v>122</v>
      </c>
      <c r="C1864" s="6" t="s">
        <v>152</v>
      </c>
      <c r="D1864" s="6" t="s">
        <v>153</v>
      </c>
      <c r="E1864" s="6" t="s">
        <v>1335</v>
      </c>
      <c r="F1864" s="6" t="s">
        <v>2011</v>
      </c>
      <c r="G1864" s="6">
        <v>51.15</v>
      </c>
      <c r="H1864" s="6">
        <v>48.47</v>
      </c>
      <c r="I1864" s="6">
        <v>118</v>
      </c>
      <c r="J1864" s="6">
        <v>2100</v>
      </c>
      <c r="K1864" s="7">
        <f>(J1864-M1864)*税费参数!$B$12/(I1864*10000*(1+SUM(税费参数!$B$6:$B$8)))</f>
        <v>0.0154204456847376</v>
      </c>
      <c r="L1864" s="7">
        <f>J1864*税费参数!$B$12/(I1864*10000)</f>
        <v>0.0177966101694915</v>
      </c>
      <c r="M1864" s="6">
        <f>I1864*10000*SUM(税费参数!$B$9:$B$10)/税费参数!$B$11</f>
        <v>221.25</v>
      </c>
    </row>
    <row r="1865" ht="21" customHeight="1" spans="1:13">
      <c r="A1865" s="5" t="s">
        <v>16</v>
      </c>
      <c r="B1865" s="6" t="s">
        <v>122</v>
      </c>
      <c r="C1865" s="6" t="s">
        <v>152</v>
      </c>
      <c r="D1865" s="6" t="s">
        <v>153</v>
      </c>
      <c r="E1865" s="6" t="s">
        <v>1335</v>
      </c>
      <c r="F1865" s="6" t="s">
        <v>2012</v>
      </c>
      <c r="G1865" s="6">
        <v>51.15</v>
      </c>
      <c r="H1865" s="6">
        <v>48.86</v>
      </c>
      <c r="I1865" s="6">
        <v>118</v>
      </c>
      <c r="J1865" s="6">
        <v>3300</v>
      </c>
      <c r="K1865" s="7">
        <f>(J1865-M1865)*税费参数!$B$12/(I1865*10000*(1+SUM(税费参数!$B$6:$B$8)))</f>
        <v>0.025269832150039</v>
      </c>
      <c r="L1865" s="7">
        <f>J1865*税费参数!$B$12/(I1865*10000)</f>
        <v>0.0279661016949153</v>
      </c>
      <c r="M1865" s="6">
        <f>I1865*10000*SUM(税费参数!$B$9:$B$10)/税费参数!$B$11</f>
        <v>221.25</v>
      </c>
    </row>
    <row r="1866" ht="21" customHeight="1" spans="1:13">
      <c r="A1866" s="5" t="s">
        <v>16</v>
      </c>
      <c r="B1866" s="6" t="s">
        <v>122</v>
      </c>
      <c r="C1866" s="6" t="s">
        <v>152</v>
      </c>
      <c r="D1866" s="6" t="s">
        <v>153</v>
      </c>
      <c r="E1866" s="6" t="s">
        <v>1335</v>
      </c>
      <c r="F1866" s="6" t="s">
        <v>2013</v>
      </c>
      <c r="G1866" s="6">
        <v>51.15</v>
      </c>
      <c r="H1866" s="6">
        <v>49.96</v>
      </c>
      <c r="I1866" s="6">
        <v>118</v>
      </c>
      <c r="J1866" s="6">
        <v>2500</v>
      </c>
      <c r="K1866" s="7">
        <f>(J1866-M1866)*税费参数!$B$12/(I1866*10000*(1+SUM(税费参数!$B$6:$B$8)))</f>
        <v>0.0187035745065047</v>
      </c>
      <c r="L1866" s="7">
        <f>J1866*税费参数!$B$12/(I1866*10000)</f>
        <v>0.0211864406779661</v>
      </c>
      <c r="M1866" s="6">
        <f>I1866*10000*SUM(税费参数!$B$9:$B$10)/税费参数!$B$11</f>
        <v>221.25</v>
      </c>
    </row>
    <row r="1867" ht="21" customHeight="1" spans="1:13">
      <c r="A1867" s="5" t="s">
        <v>16</v>
      </c>
      <c r="B1867" s="6" t="s">
        <v>122</v>
      </c>
      <c r="C1867" s="6" t="s">
        <v>152</v>
      </c>
      <c r="D1867" s="6" t="s">
        <v>153</v>
      </c>
      <c r="E1867" s="6" t="s">
        <v>1335</v>
      </c>
      <c r="F1867" s="6" t="s">
        <v>2014</v>
      </c>
      <c r="G1867" s="6">
        <v>51.15</v>
      </c>
      <c r="H1867" s="6">
        <v>50.02</v>
      </c>
      <c r="I1867" s="6">
        <v>118</v>
      </c>
      <c r="J1867" s="6">
        <v>2700</v>
      </c>
      <c r="K1867" s="7">
        <f>(J1867-M1867)*税费参数!$B$12/(I1867*10000*(1+SUM(税费参数!$B$6:$B$8)))</f>
        <v>0.0203451389173883</v>
      </c>
      <c r="L1867" s="7">
        <f>J1867*税费参数!$B$12/(I1867*10000)</f>
        <v>0.0228813559322034</v>
      </c>
      <c r="M1867" s="6">
        <f>I1867*10000*SUM(税费参数!$B$9:$B$10)/税费参数!$B$11</f>
        <v>221.25</v>
      </c>
    </row>
    <row r="1868" ht="21" customHeight="1" spans="1:13">
      <c r="A1868" s="5" t="s">
        <v>16</v>
      </c>
      <c r="B1868" s="6" t="s">
        <v>122</v>
      </c>
      <c r="C1868" s="6" t="s">
        <v>152</v>
      </c>
      <c r="D1868" s="6" t="s">
        <v>153</v>
      </c>
      <c r="E1868" s="6" t="s">
        <v>1335</v>
      </c>
      <c r="F1868" s="6" t="s">
        <v>2015</v>
      </c>
      <c r="G1868" s="6">
        <v>51.15</v>
      </c>
      <c r="H1868" s="6">
        <v>50.21</v>
      </c>
      <c r="I1868" s="6">
        <v>118</v>
      </c>
      <c r="J1868" s="6">
        <v>2200</v>
      </c>
      <c r="K1868" s="7">
        <f>(J1868-M1868)*税费参数!$B$12/(I1868*10000*(1+SUM(税费参数!$B$6:$B$8)))</f>
        <v>0.0162412278901793</v>
      </c>
      <c r="L1868" s="7">
        <f>J1868*税费参数!$B$12/(I1868*10000)</f>
        <v>0.0186440677966102</v>
      </c>
      <c r="M1868" s="6">
        <f>I1868*10000*SUM(税费参数!$B$9:$B$10)/税费参数!$B$11</f>
        <v>221.25</v>
      </c>
    </row>
    <row r="1869" ht="21" customHeight="1" spans="1:13">
      <c r="A1869" s="5" t="s">
        <v>16</v>
      </c>
      <c r="B1869" s="6" t="s">
        <v>122</v>
      </c>
      <c r="C1869" s="6" t="s">
        <v>152</v>
      </c>
      <c r="D1869" s="6" t="s">
        <v>153</v>
      </c>
      <c r="E1869" s="6" t="s">
        <v>1335</v>
      </c>
      <c r="F1869" s="6" t="s">
        <v>2016</v>
      </c>
      <c r="G1869" s="6">
        <v>51.15</v>
      </c>
      <c r="H1869" s="6">
        <v>47.84</v>
      </c>
      <c r="I1869" s="6">
        <v>118</v>
      </c>
      <c r="J1869" s="6">
        <v>2000</v>
      </c>
      <c r="K1869" s="7">
        <f>(J1869-M1869)*税费参数!$B$12/(I1869*10000*(1+SUM(税费参数!$B$6:$B$8)))</f>
        <v>0.0145996634792958</v>
      </c>
      <c r="L1869" s="7">
        <f>J1869*税费参数!$B$12/(I1869*10000)</f>
        <v>0.0169491525423729</v>
      </c>
      <c r="M1869" s="6">
        <f>I1869*10000*SUM(税费参数!$B$9:$B$10)/税费参数!$B$11</f>
        <v>221.25</v>
      </c>
    </row>
    <row r="1870" ht="21" customHeight="1" spans="1:13">
      <c r="A1870" s="5" t="s">
        <v>16</v>
      </c>
      <c r="B1870" s="6" t="s">
        <v>122</v>
      </c>
      <c r="C1870" s="6" t="s">
        <v>152</v>
      </c>
      <c r="D1870" s="6" t="s">
        <v>153</v>
      </c>
      <c r="E1870" s="6" t="s">
        <v>1335</v>
      </c>
      <c r="F1870" s="6" t="s">
        <v>2017</v>
      </c>
      <c r="G1870" s="6">
        <v>51.15</v>
      </c>
      <c r="H1870" s="6">
        <v>49.67</v>
      </c>
      <c r="I1870" s="6">
        <v>118</v>
      </c>
      <c r="J1870" s="6">
        <v>2100</v>
      </c>
      <c r="K1870" s="7">
        <f>(J1870-M1870)*税费参数!$B$12/(I1870*10000*(1+SUM(税费参数!$B$6:$B$8)))</f>
        <v>0.0154204456847376</v>
      </c>
      <c r="L1870" s="7">
        <f>J1870*税费参数!$B$12/(I1870*10000)</f>
        <v>0.0177966101694915</v>
      </c>
      <c r="M1870" s="6">
        <f>I1870*10000*SUM(税费参数!$B$9:$B$10)/税费参数!$B$11</f>
        <v>221.25</v>
      </c>
    </row>
    <row r="1871" ht="21" customHeight="1" spans="1:13">
      <c r="A1871" s="5" t="s">
        <v>16</v>
      </c>
      <c r="B1871" s="6" t="s">
        <v>122</v>
      </c>
      <c r="C1871" s="6" t="s">
        <v>152</v>
      </c>
      <c r="D1871" s="6" t="s">
        <v>153</v>
      </c>
      <c r="E1871" s="6" t="s">
        <v>1335</v>
      </c>
      <c r="F1871" s="6" t="s">
        <v>2018</v>
      </c>
      <c r="G1871" s="6">
        <v>51.15</v>
      </c>
      <c r="H1871" s="6">
        <v>49.24</v>
      </c>
      <c r="I1871" s="6">
        <v>118</v>
      </c>
      <c r="J1871" s="6">
        <v>2300</v>
      </c>
      <c r="K1871" s="7">
        <f>(J1871-M1871)*税费参数!$B$12/(I1871*10000*(1+SUM(税费参数!$B$6:$B$8)))</f>
        <v>0.0170620100956211</v>
      </c>
      <c r="L1871" s="7">
        <f>J1871*税费参数!$B$12/(I1871*10000)</f>
        <v>0.0194915254237288</v>
      </c>
      <c r="M1871" s="6">
        <f>I1871*10000*SUM(税费参数!$B$9:$B$10)/税费参数!$B$11</f>
        <v>221.25</v>
      </c>
    </row>
    <row r="1872" ht="21" customHeight="1" spans="1:13">
      <c r="A1872" s="5" t="s">
        <v>16</v>
      </c>
      <c r="B1872" s="6" t="s">
        <v>122</v>
      </c>
      <c r="C1872" s="6" t="s">
        <v>152</v>
      </c>
      <c r="D1872" s="6" t="s">
        <v>153</v>
      </c>
      <c r="E1872" s="6" t="s">
        <v>1335</v>
      </c>
      <c r="F1872" s="6" t="s">
        <v>2019</v>
      </c>
      <c r="G1872" s="6">
        <v>51.15</v>
      </c>
      <c r="H1872" s="6">
        <v>47.53</v>
      </c>
      <c r="I1872" s="6">
        <v>118</v>
      </c>
      <c r="J1872" s="6">
        <v>2040</v>
      </c>
      <c r="K1872" s="7">
        <f>(J1872-M1872)*税费参数!$B$12/(I1872*10000*(1+SUM(税费参数!$B$6:$B$8)))</f>
        <v>0.0149279763614725</v>
      </c>
      <c r="L1872" s="7">
        <f>J1872*税费参数!$B$12/(I1872*10000)</f>
        <v>0.0172881355932203</v>
      </c>
      <c r="M1872" s="6">
        <f>I1872*10000*SUM(税费参数!$B$9:$B$10)/税费参数!$B$11</f>
        <v>221.25</v>
      </c>
    </row>
    <row r="1873" ht="21" customHeight="1" spans="1:13">
      <c r="A1873" s="5" t="s">
        <v>16</v>
      </c>
      <c r="B1873" s="6" t="s">
        <v>122</v>
      </c>
      <c r="C1873" s="6" t="s">
        <v>152</v>
      </c>
      <c r="D1873" s="6" t="s">
        <v>153</v>
      </c>
      <c r="E1873" s="6" t="s">
        <v>1335</v>
      </c>
      <c r="F1873" s="6" t="s">
        <v>2020</v>
      </c>
      <c r="G1873" s="6">
        <v>51.15</v>
      </c>
      <c r="H1873" s="6">
        <v>47.53</v>
      </c>
      <c r="I1873" s="6">
        <v>118</v>
      </c>
      <c r="J1873" s="6">
        <v>2000</v>
      </c>
      <c r="K1873" s="7">
        <f>(J1873-M1873)*税费参数!$B$12/(I1873*10000*(1+SUM(税费参数!$B$6:$B$8)))</f>
        <v>0.0145996634792958</v>
      </c>
      <c r="L1873" s="7">
        <f>J1873*税费参数!$B$12/(I1873*10000)</f>
        <v>0.0169491525423729</v>
      </c>
      <c r="M1873" s="6">
        <f>I1873*10000*SUM(税费参数!$B$9:$B$10)/税费参数!$B$11</f>
        <v>221.25</v>
      </c>
    </row>
    <row r="1874" ht="21" customHeight="1" spans="1:13">
      <c r="A1874" s="5" t="s">
        <v>16</v>
      </c>
      <c r="B1874" s="6" t="s">
        <v>122</v>
      </c>
      <c r="C1874" s="6" t="s">
        <v>152</v>
      </c>
      <c r="D1874" s="6" t="s">
        <v>153</v>
      </c>
      <c r="E1874" s="6" t="s">
        <v>1339</v>
      </c>
      <c r="F1874" s="6" t="s">
        <v>2003</v>
      </c>
      <c r="G1874" s="6">
        <v>50.29</v>
      </c>
      <c r="H1874" s="6">
        <v>48.47</v>
      </c>
      <c r="I1874" s="6">
        <v>109</v>
      </c>
      <c r="J1874" s="6">
        <v>2200</v>
      </c>
      <c r="K1874" s="7">
        <f>(J1874-M1874)*税费参数!$B$12/(I1874*10000*(1+SUM(税费参数!$B$6:$B$8)))</f>
        <v>0.0177321900615323</v>
      </c>
      <c r="L1874" s="7">
        <f>J1874*税费参数!$B$12/(I1874*10000)</f>
        <v>0.0201834862385321</v>
      </c>
      <c r="M1874" s="6">
        <f>I1874*10000*SUM(税费参数!$B$9:$B$10)/税费参数!$B$11</f>
        <v>204.375</v>
      </c>
    </row>
    <row r="1875" ht="21" customHeight="1" spans="1:13">
      <c r="A1875" s="5" t="s">
        <v>16</v>
      </c>
      <c r="B1875" s="6" t="s">
        <v>122</v>
      </c>
      <c r="C1875" s="6" t="s">
        <v>152</v>
      </c>
      <c r="D1875" s="6" t="s">
        <v>153</v>
      </c>
      <c r="E1875" s="6" t="s">
        <v>1339</v>
      </c>
      <c r="F1875" s="6" t="s">
        <v>2004</v>
      </c>
      <c r="G1875" s="6">
        <v>50.29</v>
      </c>
      <c r="H1875" s="6">
        <v>48.95</v>
      </c>
      <c r="I1875" s="6">
        <v>109</v>
      </c>
      <c r="J1875" s="6">
        <v>1800</v>
      </c>
      <c r="K1875" s="7">
        <f>(J1875-M1875)*税费参数!$B$12/(I1875*10000*(1+SUM(税费参数!$B$6:$B$8)))</f>
        <v>0.0141779772086101</v>
      </c>
      <c r="L1875" s="7">
        <f>J1875*税费参数!$B$12/(I1875*10000)</f>
        <v>0.0165137614678899</v>
      </c>
      <c r="M1875" s="6">
        <f>I1875*10000*SUM(税费参数!$B$9:$B$10)/税费参数!$B$11</f>
        <v>204.375</v>
      </c>
    </row>
    <row r="1876" ht="21" customHeight="1" spans="1:13">
      <c r="A1876" s="5" t="s">
        <v>16</v>
      </c>
      <c r="B1876" s="6" t="s">
        <v>122</v>
      </c>
      <c r="C1876" s="6" t="s">
        <v>152</v>
      </c>
      <c r="D1876" s="6" t="s">
        <v>153</v>
      </c>
      <c r="E1876" s="6" t="s">
        <v>1339</v>
      </c>
      <c r="F1876" s="6" t="s">
        <v>2005</v>
      </c>
      <c r="G1876" s="6">
        <v>50.29</v>
      </c>
      <c r="H1876" s="6">
        <v>50.29</v>
      </c>
      <c r="I1876" s="6">
        <v>109</v>
      </c>
      <c r="J1876" s="6">
        <v>1900</v>
      </c>
      <c r="K1876" s="7">
        <f>(J1876-M1876)*税费参数!$B$12/(I1876*10000*(1+SUM(税费参数!$B$6:$B$8)))</f>
        <v>0.0150665304218406</v>
      </c>
      <c r="L1876" s="7">
        <f>J1876*税费参数!$B$12/(I1876*10000)</f>
        <v>0.0174311926605505</v>
      </c>
      <c r="M1876" s="6">
        <f>I1876*10000*SUM(税费参数!$B$9:$B$10)/税费参数!$B$11</f>
        <v>204.375</v>
      </c>
    </row>
    <row r="1877" ht="21" customHeight="1" spans="1:13">
      <c r="A1877" s="5" t="s">
        <v>16</v>
      </c>
      <c r="B1877" s="6" t="s">
        <v>122</v>
      </c>
      <c r="C1877" s="6" t="s">
        <v>152</v>
      </c>
      <c r="D1877" s="6" t="s">
        <v>153</v>
      </c>
      <c r="E1877" s="6" t="s">
        <v>1339</v>
      </c>
      <c r="F1877" s="6" t="s">
        <v>2006</v>
      </c>
      <c r="G1877" s="6">
        <v>50.29</v>
      </c>
      <c r="H1877" s="6">
        <v>47.92</v>
      </c>
      <c r="I1877" s="6">
        <v>109</v>
      </c>
      <c r="J1877" s="6">
        <v>2000</v>
      </c>
      <c r="K1877" s="7">
        <f>(J1877-M1877)*税费参数!$B$12/(I1877*10000*(1+SUM(税费参数!$B$6:$B$8)))</f>
        <v>0.0159550836350712</v>
      </c>
      <c r="L1877" s="7">
        <f>J1877*税费参数!$B$12/(I1877*10000)</f>
        <v>0.018348623853211</v>
      </c>
      <c r="M1877" s="6">
        <f>I1877*10000*SUM(税费参数!$B$9:$B$10)/税费参数!$B$11</f>
        <v>204.375</v>
      </c>
    </row>
    <row r="1878" ht="21" customHeight="1" spans="1:13">
      <c r="A1878" s="5" t="s">
        <v>16</v>
      </c>
      <c r="B1878" s="6" t="s">
        <v>122</v>
      </c>
      <c r="C1878" s="6" t="s">
        <v>152</v>
      </c>
      <c r="D1878" s="6" t="s">
        <v>153</v>
      </c>
      <c r="E1878" s="6" t="s">
        <v>1339</v>
      </c>
      <c r="F1878" s="6" t="s">
        <v>2007</v>
      </c>
      <c r="G1878" s="6">
        <v>50.29</v>
      </c>
      <c r="H1878" s="6">
        <v>47.53</v>
      </c>
      <c r="I1878" s="6">
        <v>109</v>
      </c>
      <c r="J1878" s="6">
        <v>1850</v>
      </c>
      <c r="K1878" s="7">
        <f>(J1878-M1878)*税费参数!$B$12/(I1878*10000*(1+SUM(税费参数!$B$6:$B$8)))</f>
        <v>0.0146222538152254</v>
      </c>
      <c r="L1878" s="7">
        <f>J1878*税费参数!$B$12/(I1878*10000)</f>
        <v>0.0169724770642202</v>
      </c>
      <c r="M1878" s="6">
        <f>I1878*10000*SUM(税费参数!$B$9:$B$10)/税费参数!$B$11</f>
        <v>204.375</v>
      </c>
    </row>
    <row r="1879" ht="21" customHeight="1" spans="1:13">
      <c r="A1879" s="5" t="s">
        <v>16</v>
      </c>
      <c r="B1879" s="6" t="s">
        <v>122</v>
      </c>
      <c r="C1879" s="6" t="s">
        <v>152</v>
      </c>
      <c r="D1879" s="6" t="s">
        <v>153</v>
      </c>
      <c r="E1879" s="6" t="s">
        <v>1339</v>
      </c>
      <c r="F1879" s="6" t="s">
        <v>2008</v>
      </c>
      <c r="G1879" s="6">
        <v>50.29</v>
      </c>
      <c r="H1879" s="6">
        <v>45.16</v>
      </c>
      <c r="I1879" s="6">
        <v>109</v>
      </c>
      <c r="J1879" s="6">
        <v>2000</v>
      </c>
      <c r="K1879" s="7">
        <f>(J1879-M1879)*税费参数!$B$12/(I1879*10000*(1+SUM(税费参数!$B$6:$B$8)))</f>
        <v>0.0159550836350712</v>
      </c>
      <c r="L1879" s="7">
        <f>J1879*税费参数!$B$12/(I1879*10000)</f>
        <v>0.018348623853211</v>
      </c>
      <c r="M1879" s="6">
        <f>I1879*10000*SUM(税费参数!$B$9:$B$10)/税费参数!$B$11</f>
        <v>204.375</v>
      </c>
    </row>
    <row r="1880" ht="21" customHeight="1" spans="1:13">
      <c r="A1880" s="5" t="s">
        <v>16</v>
      </c>
      <c r="B1880" s="6" t="s">
        <v>122</v>
      </c>
      <c r="C1880" s="6" t="s">
        <v>152</v>
      </c>
      <c r="D1880" s="6" t="s">
        <v>153</v>
      </c>
      <c r="E1880" s="6" t="s">
        <v>1339</v>
      </c>
      <c r="F1880" s="6" t="s">
        <v>2009</v>
      </c>
      <c r="G1880" s="6">
        <v>50.29</v>
      </c>
      <c r="H1880" s="6">
        <v>51.15</v>
      </c>
      <c r="I1880" s="6">
        <v>109</v>
      </c>
      <c r="J1880" s="6">
        <v>1950</v>
      </c>
      <c r="K1880" s="7">
        <f>(J1880-M1880)*税费参数!$B$12/(I1880*10000*(1+SUM(税费参数!$B$6:$B$8)))</f>
        <v>0.0155108070284559</v>
      </c>
      <c r="L1880" s="7">
        <f>J1880*税费参数!$B$12/(I1880*10000)</f>
        <v>0.0178899082568807</v>
      </c>
      <c r="M1880" s="6">
        <f>I1880*10000*SUM(税费参数!$B$9:$B$10)/税费参数!$B$11</f>
        <v>204.375</v>
      </c>
    </row>
    <row r="1881" ht="21" customHeight="1" spans="1:13">
      <c r="A1881" s="5" t="s">
        <v>16</v>
      </c>
      <c r="B1881" s="6" t="s">
        <v>122</v>
      </c>
      <c r="C1881" s="6" t="s">
        <v>152</v>
      </c>
      <c r="D1881" s="6" t="s">
        <v>153</v>
      </c>
      <c r="E1881" s="6" t="s">
        <v>1339</v>
      </c>
      <c r="F1881" s="6" t="s">
        <v>2010</v>
      </c>
      <c r="G1881" s="6">
        <v>50.29</v>
      </c>
      <c r="H1881" s="6">
        <v>48.83</v>
      </c>
      <c r="I1881" s="6">
        <v>109</v>
      </c>
      <c r="J1881" s="6">
        <v>2400</v>
      </c>
      <c r="K1881" s="7">
        <f>(J1881-M1881)*税费参数!$B$12/(I1881*10000*(1+SUM(税费参数!$B$6:$B$8)))</f>
        <v>0.0195092964879934</v>
      </c>
      <c r="L1881" s="7">
        <f>J1881*税费参数!$B$12/(I1881*10000)</f>
        <v>0.0220183486238532</v>
      </c>
      <c r="M1881" s="6">
        <f>I1881*10000*SUM(税费参数!$B$9:$B$10)/税费参数!$B$11</f>
        <v>204.375</v>
      </c>
    </row>
    <row r="1882" ht="21" customHeight="1" spans="1:13">
      <c r="A1882" s="5" t="s">
        <v>16</v>
      </c>
      <c r="B1882" s="6" t="s">
        <v>122</v>
      </c>
      <c r="C1882" s="6" t="s">
        <v>152</v>
      </c>
      <c r="D1882" s="6" t="s">
        <v>153</v>
      </c>
      <c r="E1882" s="6" t="s">
        <v>1339</v>
      </c>
      <c r="F1882" s="6" t="s">
        <v>2011</v>
      </c>
      <c r="G1882" s="6">
        <v>50.29</v>
      </c>
      <c r="H1882" s="6">
        <v>48.47</v>
      </c>
      <c r="I1882" s="6">
        <v>109</v>
      </c>
      <c r="J1882" s="6">
        <v>2100</v>
      </c>
      <c r="K1882" s="7">
        <f>(J1882-M1882)*税费参数!$B$12/(I1882*10000*(1+SUM(税费参数!$B$6:$B$8)))</f>
        <v>0.0168436368483018</v>
      </c>
      <c r="L1882" s="7">
        <f>J1882*税费参数!$B$12/(I1882*10000)</f>
        <v>0.0192660550458716</v>
      </c>
      <c r="M1882" s="6">
        <f>I1882*10000*SUM(税费参数!$B$9:$B$10)/税费参数!$B$11</f>
        <v>204.375</v>
      </c>
    </row>
    <row r="1883" ht="21" customHeight="1" spans="1:13">
      <c r="A1883" s="5" t="s">
        <v>16</v>
      </c>
      <c r="B1883" s="6" t="s">
        <v>122</v>
      </c>
      <c r="C1883" s="6" t="s">
        <v>152</v>
      </c>
      <c r="D1883" s="6" t="s">
        <v>153</v>
      </c>
      <c r="E1883" s="6" t="s">
        <v>1339</v>
      </c>
      <c r="F1883" s="6" t="s">
        <v>2012</v>
      </c>
      <c r="G1883" s="6">
        <v>50.29</v>
      </c>
      <c r="H1883" s="6">
        <v>48.86</v>
      </c>
      <c r="I1883" s="6">
        <v>109</v>
      </c>
      <c r="J1883" s="6">
        <v>3300</v>
      </c>
      <c r="K1883" s="7">
        <f>(J1883-M1883)*税费参数!$B$12/(I1883*10000*(1+SUM(税费参数!$B$6:$B$8)))</f>
        <v>0.0275062754070684</v>
      </c>
      <c r="L1883" s="7">
        <f>J1883*税费参数!$B$12/(I1883*10000)</f>
        <v>0.0302752293577982</v>
      </c>
      <c r="M1883" s="6">
        <f>I1883*10000*SUM(税费参数!$B$9:$B$10)/税费参数!$B$11</f>
        <v>204.375</v>
      </c>
    </row>
    <row r="1884" ht="21" customHeight="1" spans="1:13">
      <c r="A1884" s="5" t="s">
        <v>16</v>
      </c>
      <c r="B1884" s="6" t="s">
        <v>122</v>
      </c>
      <c r="C1884" s="6" t="s">
        <v>152</v>
      </c>
      <c r="D1884" s="6" t="s">
        <v>153</v>
      </c>
      <c r="E1884" s="6" t="s">
        <v>1339</v>
      </c>
      <c r="F1884" s="6" t="s">
        <v>2013</v>
      </c>
      <c r="G1884" s="6">
        <v>50.29</v>
      </c>
      <c r="H1884" s="6">
        <v>49.96</v>
      </c>
      <c r="I1884" s="6">
        <v>109</v>
      </c>
      <c r="J1884" s="6">
        <v>2500</v>
      </c>
      <c r="K1884" s="7">
        <f>(J1884-M1884)*税费参数!$B$12/(I1884*10000*(1+SUM(税费参数!$B$6:$B$8)))</f>
        <v>0.020397849701224</v>
      </c>
      <c r="L1884" s="7">
        <f>J1884*税费参数!$B$12/(I1884*10000)</f>
        <v>0.0229357798165138</v>
      </c>
      <c r="M1884" s="6">
        <f>I1884*10000*SUM(税费参数!$B$9:$B$10)/税费参数!$B$11</f>
        <v>204.375</v>
      </c>
    </row>
    <row r="1885" ht="21" customHeight="1" spans="1:13">
      <c r="A1885" s="5" t="s">
        <v>16</v>
      </c>
      <c r="B1885" s="6" t="s">
        <v>122</v>
      </c>
      <c r="C1885" s="6" t="s">
        <v>152</v>
      </c>
      <c r="D1885" s="6" t="s">
        <v>153</v>
      </c>
      <c r="E1885" s="6" t="s">
        <v>1339</v>
      </c>
      <c r="F1885" s="6" t="s">
        <v>2014</v>
      </c>
      <c r="G1885" s="6">
        <v>50.29</v>
      </c>
      <c r="H1885" s="6">
        <v>50.02</v>
      </c>
      <c r="I1885" s="6">
        <v>109</v>
      </c>
      <c r="J1885" s="6">
        <v>2700</v>
      </c>
      <c r="K1885" s="7">
        <f>(J1885-M1885)*税费参数!$B$12/(I1885*10000*(1+SUM(税费参数!$B$6:$B$8)))</f>
        <v>0.0221749561276851</v>
      </c>
      <c r="L1885" s="7">
        <f>J1885*税费参数!$B$12/(I1885*10000)</f>
        <v>0.0247706422018349</v>
      </c>
      <c r="M1885" s="6">
        <f>I1885*10000*SUM(税费参数!$B$9:$B$10)/税费参数!$B$11</f>
        <v>204.375</v>
      </c>
    </row>
    <row r="1886" ht="21" customHeight="1" spans="1:13">
      <c r="A1886" s="5" t="s">
        <v>16</v>
      </c>
      <c r="B1886" s="6" t="s">
        <v>122</v>
      </c>
      <c r="C1886" s="6" t="s">
        <v>152</v>
      </c>
      <c r="D1886" s="6" t="s">
        <v>153</v>
      </c>
      <c r="E1886" s="6" t="s">
        <v>1339</v>
      </c>
      <c r="F1886" s="6" t="s">
        <v>2015</v>
      </c>
      <c r="G1886" s="6">
        <v>50.29</v>
      </c>
      <c r="H1886" s="6">
        <v>50.21</v>
      </c>
      <c r="I1886" s="6">
        <v>109</v>
      </c>
      <c r="J1886" s="6">
        <v>2200</v>
      </c>
      <c r="K1886" s="7">
        <f>(J1886-M1886)*税费参数!$B$12/(I1886*10000*(1+SUM(税费参数!$B$6:$B$8)))</f>
        <v>0.0177321900615323</v>
      </c>
      <c r="L1886" s="7">
        <f>J1886*税费参数!$B$12/(I1886*10000)</f>
        <v>0.0201834862385321</v>
      </c>
      <c r="M1886" s="6">
        <f>I1886*10000*SUM(税费参数!$B$9:$B$10)/税费参数!$B$11</f>
        <v>204.375</v>
      </c>
    </row>
    <row r="1887" ht="21" customHeight="1" spans="1:13">
      <c r="A1887" s="5" t="s">
        <v>16</v>
      </c>
      <c r="B1887" s="6" t="s">
        <v>122</v>
      </c>
      <c r="C1887" s="6" t="s">
        <v>152</v>
      </c>
      <c r="D1887" s="6" t="s">
        <v>153</v>
      </c>
      <c r="E1887" s="6" t="s">
        <v>1339</v>
      </c>
      <c r="F1887" s="6" t="s">
        <v>2016</v>
      </c>
      <c r="G1887" s="6">
        <v>50.29</v>
      </c>
      <c r="H1887" s="6">
        <v>47.84</v>
      </c>
      <c r="I1887" s="6">
        <v>109</v>
      </c>
      <c r="J1887" s="6">
        <v>2000</v>
      </c>
      <c r="K1887" s="7">
        <f>(J1887-M1887)*税费参数!$B$12/(I1887*10000*(1+SUM(税费参数!$B$6:$B$8)))</f>
        <v>0.0159550836350712</v>
      </c>
      <c r="L1887" s="7">
        <f>J1887*税费参数!$B$12/(I1887*10000)</f>
        <v>0.018348623853211</v>
      </c>
      <c r="M1887" s="6">
        <f>I1887*10000*SUM(税费参数!$B$9:$B$10)/税费参数!$B$11</f>
        <v>204.375</v>
      </c>
    </row>
    <row r="1888" ht="21" customHeight="1" spans="1:13">
      <c r="A1888" s="5" t="s">
        <v>16</v>
      </c>
      <c r="B1888" s="6" t="s">
        <v>122</v>
      </c>
      <c r="C1888" s="6" t="s">
        <v>152</v>
      </c>
      <c r="D1888" s="6" t="s">
        <v>153</v>
      </c>
      <c r="E1888" s="6" t="s">
        <v>1339</v>
      </c>
      <c r="F1888" s="6" t="s">
        <v>2017</v>
      </c>
      <c r="G1888" s="6">
        <v>50.29</v>
      </c>
      <c r="H1888" s="6">
        <v>49.67</v>
      </c>
      <c r="I1888" s="6">
        <v>109</v>
      </c>
      <c r="J1888" s="6">
        <v>2100</v>
      </c>
      <c r="K1888" s="7">
        <f>(J1888-M1888)*税费参数!$B$12/(I1888*10000*(1+SUM(税费参数!$B$6:$B$8)))</f>
        <v>0.0168436368483018</v>
      </c>
      <c r="L1888" s="7">
        <f>J1888*税费参数!$B$12/(I1888*10000)</f>
        <v>0.0192660550458716</v>
      </c>
      <c r="M1888" s="6">
        <f>I1888*10000*SUM(税费参数!$B$9:$B$10)/税费参数!$B$11</f>
        <v>204.375</v>
      </c>
    </row>
    <row r="1889" ht="21" customHeight="1" spans="1:13">
      <c r="A1889" s="5" t="s">
        <v>16</v>
      </c>
      <c r="B1889" s="6" t="s">
        <v>122</v>
      </c>
      <c r="C1889" s="6" t="s">
        <v>152</v>
      </c>
      <c r="D1889" s="6" t="s">
        <v>153</v>
      </c>
      <c r="E1889" s="6" t="s">
        <v>1339</v>
      </c>
      <c r="F1889" s="6" t="s">
        <v>2018</v>
      </c>
      <c r="G1889" s="6">
        <v>50.29</v>
      </c>
      <c r="H1889" s="6">
        <v>49.24</v>
      </c>
      <c r="I1889" s="6">
        <v>109</v>
      </c>
      <c r="J1889" s="6">
        <v>2300</v>
      </c>
      <c r="K1889" s="7">
        <f>(J1889-M1889)*税费参数!$B$12/(I1889*10000*(1+SUM(税费参数!$B$6:$B$8)))</f>
        <v>0.0186207432747629</v>
      </c>
      <c r="L1889" s="7">
        <f>J1889*税费参数!$B$12/(I1889*10000)</f>
        <v>0.0211009174311927</v>
      </c>
      <c r="M1889" s="6">
        <f>I1889*10000*SUM(税费参数!$B$9:$B$10)/税费参数!$B$11</f>
        <v>204.375</v>
      </c>
    </row>
    <row r="1890" ht="21" customHeight="1" spans="1:13">
      <c r="A1890" s="5" t="s">
        <v>16</v>
      </c>
      <c r="B1890" s="6" t="s">
        <v>122</v>
      </c>
      <c r="C1890" s="6" t="s">
        <v>152</v>
      </c>
      <c r="D1890" s="6" t="s">
        <v>153</v>
      </c>
      <c r="E1890" s="6" t="s">
        <v>1339</v>
      </c>
      <c r="F1890" s="6" t="s">
        <v>2019</v>
      </c>
      <c r="G1890" s="6">
        <v>50.29</v>
      </c>
      <c r="H1890" s="6">
        <v>47.53</v>
      </c>
      <c r="I1890" s="6">
        <v>109</v>
      </c>
      <c r="J1890" s="6">
        <v>2040</v>
      </c>
      <c r="K1890" s="7">
        <f>(J1890-M1890)*税费参数!$B$12/(I1890*10000*(1+SUM(税费参数!$B$6:$B$8)))</f>
        <v>0.0163105049203634</v>
      </c>
      <c r="L1890" s="7">
        <f>J1890*税费参数!$B$12/(I1890*10000)</f>
        <v>0.0187155963302752</v>
      </c>
      <c r="M1890" s="6">
        <f>I1890*10000*SUM(税费参数!$B$9:$B$10)/税费参数!$B$11</f>
        <v>204.375</v>
      </c>
    </row>
    <row r="1891" ht="21" customHeight="1" spans="1:13">
      <c r="A1891" s="5" t="s">
        <v>16</v>
      </c>
      <c r="B1891" s="6" t="s">
        <v>122</v>
      </c>
      <c r="C1891" s="6" t="s">
        <v>152</v>
      </c>
      <c r="D1891" s="6" t="s">
        <v>153</v>
      </c>
      <c r="E1891" s="6" t="s">
        <v>1339</v>
      </c>
      <c r="F1891" s="6" t="s">
        <v>2020</v>
      </c>
      <c r="G1891" s="6">
        <v>50.29</v>
      </c>
      <c r="H1891" s="6">
        <v>47.53</v>
      </c>
      <c r="I1891" s="6">
        <v>109</v>
      </c>
      <c r="J1891" s="6">
        <v>2000</v>
      </c>
      <c r="K1891" s="7">
        <f>(J1891-M1891)*税费参数!$B$12/(I1891*10000*(1+SUM(税费参数!$B$6:$B$8)))</f>
        <v>0.0159550836350712</v>
      </c>
      <c r="L1891" s="7">
        <f>J1891*税费参数!$B$12/(I1891*10000)</f>
        <v>0.018348623853211</v>
      </c>
      <c r="M1891" s="6">
        <f>I1891*10000*SUM(税费参数!$B$9:$B$10)/税费参数!$B$11</f>
        <v>204.375</v>
      </c>
    </row>
    <row r="1892" ht="21" customHeight="1" spans="1:13">
      <c r="A1892" s="5" t="s">
        <v>16</v>
      </c>
      <c r="B1892" s="6" t="s">
        <v>122</v>
      </c>
      <c r="C1892" s="6" t="s">
        <v>152</v>
      </c>
      <c r="D1892" s="6" t="s">
        <v>153</v>
      </c>
      <c r="E1892" s="6" t="s">
        <v>1325</v>
      </c>
      <c r="F1892" s="6" t="s">
        <v>2003</v>
      </c>
      <c r="G1892" s="6">
        <v>50.13</v>
      </c>
      <c r="H1892" s="6">
        <v>48.47</v>
      </c>
      <c r="I1892" s="6">
        <v>120</v>
      </c>
      <c r="J1892" s="6">
        <v>2200</v>
      </c>
      <c r="K1892" s="7">
        <f>(J1892-M1892)*税费参数!$B$12/(I1892*10000*(1+SUM(税费参数!$B$6:$B$8)))</f>
        <v>0.0159402744148507</v>
      </c>
      <c r="L1892" s="7">
        <f>J1892*税费参数!$B$12/(I1892*10000)</f>
        <v>0.0183333333333333</v>
      </c>
      <c r="M1892" s="6">
        <f>I1892*10000*SUM(税费参数!$B$9:$B$10)/税费参数!$B$11</f>
        <v>225</v>
      </c>
    </row>
    <row r="1893" ht="21" customHeight="1" spans="1:13">
      <c r="A1893" s="5" t="s">
        <v>16</v>
      </c>
      <c r="B1893" s="6" t="s">
        <v>122</v>
      </c>
      <c r="C1893" s="6" t="s">
        <v>152</v>
      </c>
      <c r="D1893" s="6" t="s">
        <v>153</v>
      </c>
      <c r="E1893" s="6" t="s">
        <v>1325</v>
      </c>
      <c r="F1893" s="6" t="s">
        <v>2004</v>
      </c>
      <c r="G1893" s="6">
        <v>50.13</v>
      </c>
      <c r="H1893" s="6">
        <v>48.95</v>
      </c>
      <c r="I1893" s="6">
        <v>120</v>
      </c>
      <c r="J1893" s="6">
        <v>1800</v>
      </c>
      <c r="K1893" s="7">
        <f>(J1893-M1893)*税费参数!$B$12/(I1893*10000*(1+SUM(税费参数!$B$6:$B$8)))</f>
        <v>0.0127118644067797</v>
      </c>
      <c r="L1893" s="7">
        <f>J1893*税费参数!$B$12/(I1893*10000)</f>
        <v>0.015</v>
      </c>
      <c r="M1893" s="6">
        <f>I1893*10000*SUM(税费参数!$B$9:$B$10)/税费参数!$B$11</f>
        <v>225</v>
      </c>
    </row>
    <row r="1894" ht="21" customHeight="1" spans="1:13">
      <c r="A1894" s="5" t="s">
        <v>16</v>
      </c>
      <c r="B1894" s="6" t="s">
        <v>122</v>
      </c>
      <c r="C1894" s="6" t="s">
        <v>152</v>
      </c>
      <c r="D1894" s="6" t="s">
        <v>153</v>
      </c>
      <c r="E1894" s="6" t="s">
        <v>1325</v>
      </c>
      <c r="F1894" s="6" t="s">
        <v>2005</v>
      </c>
      <c r="G1894" s="6">
        <v>50.13</v>
      </c>
      <c r="H1894" s="6">
        <v>50.29</v>
      </c>
      <c r="I1894" s="6">
        <v>120</v>
      </c>
      <c r="J1894" s="6">
        <v>1900</v>
      </c>
      <c r="K1894" s="7">
        <f>(J1894-M1894)*税费参数!$B$12/(I1894*10000*(1+SUM(税费参数!$B$6:$B$8)))</f>
        <v>0.0135189669087974</v>
      </c>
      <c r="L1894" s="7">
        <f>J1894*税费参数!$B$12/(I1894*10000)</f>
        <v>0.0158333333333333</v>
      </c>
      <c r="M1894" s="6">
        <f>I1894*10000*SUM(税费参数!$B$9:$B$10)/税费参数!$B$11</f>
        <v>225</v>
      </c>
    </row>
    <row r="1895" ht="21" customHeight="1" spans="1:13">
      <c r="A1895" s="5" t="s">
        <v>16</v>
      </c>
      <c r="B1895" s="6" t="s">
        <v>122</v>
      </c>
      <c r="C1895" s="6" t="s">
        <v>152</v>
      </c>
      <c r="D1895" s="6" t="s">
        <v>153</v>
      </c>
      <c r="E1895" s="6" t="s">
        <v>1325</v>
      </c>
      <c r="F1895" s="6" t="s">
        <v>2006</v>
      </c>
      <c r="G1895" s="6">
        <v>50.13</v>
      </c>
      <c r="H1895" s="6">
        <v>47.92</v>
      </c>
      <c r="I1895" s="6">
        <v>120</v>
      </c>
      <c r="J1895" s="6">
        <v>2000</v>
      </c>
      <c r="K1895" s="7">
        <f>(J1895-M1895)*税费参数!$B$12/(I1895*10000*(1+SUM(税费参数!$B$6:$B$8)))</f>
        <v>0.0143260694108152</v>
      </c>
      <c r="L1895" s="7">
        <f>J1895*税费参数!$B$12/(I1895*10000)</f>
        <v>0.0166666666666667</v>
      </c>
      <c r="M1895" s="6">
        <f>I1895*10000*SUM(税费参数!$B$9:$B$10)/税费参数!$B$11</f>
        <v>225</v>
      </c>
    </row>
    <row r="1896" ht="21" customHeight="1" spans="1:13">
      <c r="A1896" s="5" t="s">
        <v>16</v>
      </c>
      <c r="B1896" s="6" t="s">
        <v>122</v>
      </c>
      <c r="C1896" s="6" t="s">
        <v>152</v>
      </c>
      <c r="D1896" s="6" t="s">
        <v>153</v>
      </c>
      <c r="E1896" s="6" t="s">
        <v>1325</v>
      </c>
      <c r="F1896" s="6" t="s">
        <v>2007</v>
      </c>
      <c r="G1896" s="6">
        <v>50.13</v>
      </c>
      <c r="H1896" s="6">
        <v>47.53</v>
      </c>
      <c r="I1896" s="6">
        <v>120</v>
      </c>
      <c r="J1896" s="6">
        <v>1850</v>
      </c>
      <c r="K1896" s="7">
        <f>(J1896-M1896)*税费参数!$B$12/(I1896*10000*(1+SUM(税费参数!$B$6:$B$8)))</f>
        <v>0.0131154156577885</v>
      </c>
      <c r="L1896" s="7">
        <f>J1896*税费参数!$B$12/(I1896*10000)</f>
        <v>0.0154166666666667</v>
      </c>
      <c r="M1896" s="6">
        <f>I1896*10000*SUM(税费参数!$B$9:$B$10)/税费参数!$B$11</f>
        <v>225</v>
      </c>
    </row>
    <row r="1897" ht="21" customHeight="1" spans="1:13">
      <c r="A1897" s="5" t="s">
        <v>16</v>
      </c>
      <c r="B1897" s="6" t="s">
        <v>122</v>
      </c>
      <c r="C1897" s="6" t="s">
        <v>152</v>
      </c>
      <c r="D1897" s="6" t="s">
        <v>153</v>
      </c>
      <c r="E1897" s="6" t="s">
        <v>1325</v>
      </c>
      <c r="F1897" s="6" t="s">
        <v>2008</v>
      </c>
      <c r="G1897" s="6">
        <v>50.13</v>
      </c>
      <c r="H1897" s="6">
        <v>45.16</v>
      </c>
      <c r="I1897" s="6">
        <v>120</v>
      </c>
      <c r="J1897" s="6">
        <v>2000</v>
      </c>
      <c r="K1897" s="7">
        <f>(J1897-M1897)*税费参数!$B$12/(I1897*10000*(1+SUM(税费参数!$B$6:$B$8)))</f>
        <v>0.0143260694108152</v>
      </c>
      <c r="L1897" s="7">
        <f>J1897*税费参数!$B$12/(I1897*10000)</f>
        <v>0.0166666666666667</v>
      </c>
      <c r="M1897" s="6">
        <f>I1897*10000*SUM(税费参数!$B$9:$B$10)/税费参数!$B$11</f>
        <v>225</v>
      </c>
    </row>
    <row r="1898" ht="21" customHeight="1" spans="1:13">
      <c r="A1898" s="5" t="s">
        <v>16</v>
      </c>
      <c r="B1898" s="6" t="s">
        <v>122</v>
      </c>
      <c r="C1898" s="6" t="s">
        <v>152</v>
      </c>
      <c r="D1898" s="6" t="s">
        <v>153</v>
      </c>
      <c r="E1898" s="6" t="s">
        <v>1325</v>
      </c>
      <c r="F1898" s="6" t="s">
        <v>2009</v>
      </c>
      <c r="G1898" s="6">
        <v>50.13</v>
      </c>
      <c r="H1898" s="6">
        <v>51.15</v>
      </c>
      <c r="I1898" s="6">
        <v>120</v>
      </c>
      <c r="J1898" s="6">
        <v>1950</v>
      </c>
      <c r="K1898" s="7">
        <f>(J1898-M1898)*税费参数!$B$12/(I1898*10000*(1+SUM(税费参数!$B$6:$B$8)))</f>
        <v>0.0139225181598063</v>
      </c>
      <c r="L1898" s="7">
        <f>J1898*税费参数!$B$12/(I1898*10000)</f>
        <v>0.01625</v>
      </c>
      <c r="M1898" s="6">
        <f>I1898*10000*SUM(税费参数!$B$9:$B$10)/税费参数!$B$11</f>
        <v>225</v>
      </c>
    </row>
    <row r="1899" ht="21" customHeight="1" spans="1:13">
      <c r="A1899" s="5" t="s">
        <v>16</v>
      </c>
      <c r="B1899" s="6" t="s">
        <v>122</v>
      </c>
      <c r="C1899" s="6" t="s">
        <v>152</v>
      </c>
      <c r="D1899" s="6" t="s">
        <v>153</v>
      </c>
      <c r="E1899" s="6" t="s">
        <v>1325</v>
      </c>
      <c r="F1899" s="6" t="s">
        <v>2010</v>
      </c>
      <c r="G1899" s="6">
        <v>50.13</v>
      </c>
      <c r="H1899" s="6">
        <v>48.83</v>
      </c>
      <c r="I1899" s="6">
        <v>120</v>
      </c>
      <c r="J1899" s="6">
        <v>2400</v>
      </c>
      <c r="K1899" s="7">
        <f>(J1899-M1899)*税费参数!$B$12/(I1899*10000*(1+SUM(税费参数!$B$6:$B$8)))</f>
        <v>0.0175544794188862</v>
      </c>
      <c r="L1899" s="7">
        <f>J1899*税费参数!$B$12/(I1899*10000)</f>
        <v>0.02</v>
      </c>
      <c r="M1899" s="6">
        <f>I1899*10000*SUM(税费参数!$B$9:$B$10)/税费参数!$B$11</f>
        <v>225</v>
      </c>
    </row>
    <row r="1900" ht="21" customHeight="1" spans="1:13">
      <c r="A1900" s="5" t="s">
        <v>16</v>
      </c>
      <c r="B1900" s="6" t="s">
        <v>122</v>
      </c>
      <c r="C1900" s="6" t="s">
        <v>152</v>
      </c>
      <c r="D1900" s="6" t="s">
        <v>153</v>
      </c>
      <c r="E1900" s="6" t="s">
        <v>1325</v>
      </c>
      <c r="F1900" s="6" t="s">
        <v>2011</v>
      </c>
      <c r="G1900" s="6">
        <v>50.13</v>
      </c>
      <c r="H1900" s="6">
        <v>48.47</v>
      </c>
      <c r="I1900" s="6">
        <v>120</v>
      </c>
      <c r="J1900" s="6">
        <v>2100</v>
      </c>
      <c r="K1900" s="7">
        <f>(J1900-M1900)*税费参数!$B$12/(I1900*10000*(1+SUM(税费参数!$B$6:$B$8)))</f>
        <v>0.0151331719128329</v>
      </c>
      <c r="L1900" s="7">
        <f>J1900*税费参数!$B$12/(I1900*10000)</f>
        <v>0.0175</v>
      </c>
      <c r="M1900" s="6">
        <f>I1900*10000*SUM(税费参数!$B$9:$B$10)/税费参数!$B$11</f>
        <v>225</v>
      </c>
    </row>
    <row r="1901" ht="21" customHeight="1" spans="1:13">
      <c r="A1901" s="5" t="s">
        <v>16</v>
      </c>
      <c r="B1901" s="6" t="s">
        <v>122</v>
      </c>
      <c r="C1901" s="6" t="s">
        <v>152</v>
      </c>
      <c r="D1901" s="6" t="s">
        <v>153</v>
      </c>
      <c r="E1901" s="6" t="s">
        <v>1325</v>
      </c>
      <c r="F1901" s="6" t="s">
        <v>2012</v>
      </c>
      <c r="G1901" s="6">
        <v>50.13</v>
      </c>
      <c r="H1901" s="6">
        <v>48.86</v>
      </c>
      <c r="I1901" s="6">
        <v>120</v>
      </c>
      <c r="J1901" s="6">
        <v>3300</v>
      </c>
      <c r="K1901" s="7">
        <f>(J1901-M1901)*税费参数!$B$12/(I1901*10000*(1+SUM(税费参数!$B$6:$B$8)))</f>
        <v>0.024818401937046</v>
      </c>
      <c r="L1901" s="7">
        <f>J1901*税费参数!$B$12/(I1901*10000)</f>
        <v>0.0275</v>
      </c>
      <c r="M1901" s="6">
        <f>I1901*10000*SUM(税费参数!$B$9:$B$10)/税费参数!$B$11</f>
        <v>225</v>
      </c>
    </row>
    <row r="1902" ht="21" customHeight="1" spans="1:13">
      <c r="A1902" s="5" t="s">
        <v>16</v>
      </c>
      <c r="B1902" s="6" t="s">
        <v>122</v>
      </c>
      <c r="C1902" s="6" t="s">
        <v>152</v>
      </c>
      <c r="D1902" s="6" t="s">
        <v>153</v>
      </c>
      <c r="E1902" s="6" t="s">
        <v>1325</v>
      </c>
      <c r="F1902" s="6" t="s">
        <v>2013</v>
      </c>
      <c r="G1902" s="6">
        <v>50.13</v>
      </c>
      <c r="H1902" s="6">
        <v>49.96</v>
      </c>
      <c r="I1902" s="6">
        <v>120</v>
      </c>
      <c r="J1902" s="6">
        <v>2500</v>
      </c>
      <c r="K1902" s="7">
        <f>(J1902-M1902)*税费参数!$B$12/(I1902*10000*(1+SUM(税费参数!$B$6:$B$8)))</f>
        <v>0.018361581920904</v>
      </c>
      <c r="L1902" s="7">
        <f>J1902*税费参数!$B$12/(I1902*10000)</f>
        <v>0.0208333333333333</v>
      </c>
      <c r="M1902" s="6">
        <f>I1902*10000*SUM(税费参数!$B$9:$B$10)/税费参数!$B$11</f>
        <v>225</v>
      </c>
    </row>
    <row r="1903" ht="21" customHeight="1" spans="1:13">
      <c r="A1903" s="5" t="s">
        <v>16</v>
      </c>
      <c r="B1903" s="6" t="s">
        <v>122</v>
      </c>
      <c r="C1903" s="6" t="s">
        <v>152</v>
      </c>
      <c r="D1903" s="6" t="s">
        <v>153</v>
      </c>
      <c r="E1903" s="6" t="s">
        <v>1325</v>
      </c>
      <c r="F1903" s="6" t="s">
        <v>2014</v>
      </c>
      <c r="G1903" s="6">
        <v>50.13</v>
      </c>
      <c r="H1903" s="6">
        <v>50.02</v>
      </c>
      <c r="I1903" s="6">
        <v>120</v>
      </c>
      <c r="J1903" s="6">
        <v>2700</v>
      </c>
      <c r="K1903" s="7">
        <f>(J1903-M1903)*税费参数!$B$12/(I1903*10000*(1+SUM(税费参数!$B$6:$B$8)))</f>
        <v>0.0199757869249395</v>
      </c>
      <c r="L1903" s="7">
        <f>J1903*税费参数!$B$12/(I1903*10000)</f>
        <v>0.0225</v>
      </c>
      <c r="M1903" s="6">
        <f>I1903*10000*SUM(税费参数!$B$9:$B$10)/税费参数!$B$11</f>
        <v>225</v>
      </c>
    </row>
    <row r="1904" ht="21" customHeight="1" spans="1:13">
      <c r="A1904" s="5" t="s">
        <v>16</v>
      </c>
      <c r="B1904" s="6" t="s">
        <v>122</v>
      </c>
      <c r="C1904" s="6" t="s">
        <v>152</v>
      </c>
      <c r="D1904" s="6" t="s">
        <v>153</v>
      </c>
      <c r="E1904" s="6" t="s">
        <v>1325</v>
      </c>
      <c r="F1904" s="6" t="s">
        <v>2015</v>
      </c>
      <c r="G1904" s="6">
        <v>50.13</v>
      </c>
      <c r="H1904" s="6">
        <v>50.21</v>
      </c>
      <c r="I1904" s="6">
        <v>120</v>
      </c>
      <c r="J1904" s="6">
        <v>2200</v>
      </c>
      <c r="K1904" s="7">
        <f>(J1904-M1904)*税费参数!$B$12/(I1904*10000*(1+SUM(税费参数!$B$6:$B$8)))</f>
        <v>0.0159402744148507</v>
      </c>
      <c r="L1904" s="7">
        <f>J1904*税费参数!$B$12/(I1904*10000)</f>
        <v>0.0183333333333333</v>
      </c>
      <c r="M1904" s="6">
        <f>I1904*10000*SUM(税费参数!$B$9:$B$10)/税费参数!$B$11</f>
        <v>225</v>
      </c>
    </row>
    <row r="1905" ht="21" customHeight="1" spans="1:13">
      <c r="A1905" s="5" t="s">
        <v>16</v>
      </c>
      <c r="B1905" s="6" t="s">
        <v>122</v>
      </c>
      <c r="C1905" s="6" t="s">
        <v>152</v>
      </c>
      <c r="D1905" s="6" t="s">
        <v>153</v>
      </c>
      <c r="E1905" s="6" t="s">
        <v>1325</v>
      </c>
      <c r="F1905" s="6" t="s">
        <v>2016</v>
      </c>
      <c r="G1905" s="6">
        <v>50.13</v>
      </c>
      <c r="H1905" s="6">
        <v>47.84</v>
      </c>
      <c r="I1905" s="6">
        <v>120</v>
      </c>
      <c r="J1905" s="6">
        <v>2000</v>
      </c>
      <c r="K1905" s="7">
        <f>(J1905-M1905)*税费参数!$B$12/(I1905*10000*(1+SUM(税费参数!$B$6:$B$8)))</f>
        <v>0.0143260694108152</v>
      </c>
      <c r="L1905" s="7">
        <f>J1905*税费参数!$B$12/(I1905*10000)</f>
        <v>0.0166666666666667</v>
      </c>
      <c r="M1905" s="6">
        <f>I1905*10000*SUM(税费参数!$B$9:$B$10)/税费参数!$B$11</f>
        <v>225</v>
      </c>
    </row>
    <row r="1906" ht="21" customHeight="1" spans="1:13">
      <c r="A1906" s="5" t="s">
        <v>16</v>
      </c>
      <c r="B1906" s="6" t="s">
        <v>122</v>
      </c>
      <c r="C1906" s="6" t="s">
        <v>152</v>
      </c>
      <c r="D1906" s="6" t="s">
        <v>153</v>
      </c>
      <c r="E1906" s="6" t="s">
        <v>1325</v>
      </c>
      <c r="F1906" s="6" t="s">
        <v>2017</v>
      </c>
      <c r="G1906" s="6">
        <v>50.13</v>
      </c>
      <c r="H1906" s="6">
        <v>49.67</v>
      </c>
      <c r="I1906" s="6">
        <v>120</v>
      </c>
      <c r="J1906" s="6">
        <v>2100</v>
      </c>
      <c r="K1906" s="7">
        <f>(J1906-M1906)*税费参数!$B$12/(I1906*10000*(1+SUM(税费参数!$B$6:$B$8)))</f>
        <v>0.0151331719128329</v>
      </c>
      <c r="L1906" s="7">
        <f>J1906*税费参数!$B$12/(I1906*10000)</f>
        <v>0.0175</v>
      </c>
      <c r="M1906" s="6">
        <f>I1906*10000*SUM(税费参数!$B$9:$B$10)/税费参数!$B$11</f>
        <v>225</v>
      </c>
    </row>
    <row r="1907" ht="21" customHeight="1" spans="1:13">
      <c r="A1907" s="5" t="s">
        <v>16</v>
      </c>
      <c r="B1907" s="6" t="s">
        <v>122</v>
      </c>
      <c r="C1907" s="6" t="s">
        <v>152</v>
      </c>
      <c r="D1907" s="6" t="s">
        <v>153</v>
      </c>
      <c r="E1907" s="6" t="s">
        <v>1325</v>
      </c>
      <c r="F1907" s="6" t="s">
        <v>2018</v>
      </c>
      <c r="G1907" s="6">
        <v>50.13</v>
      </c>
      <c r="H1907" s="6">
        <v>49.24</v>
      </c>
      <c r="I1907" s="6">
        <v>120</v>
      </c>
      <c r="J1907" s="6">
        <v>2300</v>
      </c>
      <c r="K1907" s="7">
        <f>(J1907-M1907)*税费参数!$B$12/(I1907*10000*(1+SUM(税费参数!$B$6:$B$8)))</f>
        <v>0.0167473769168684</v>
      </c>
      <c r="L1907" s="7">
        <f>J1907*税费参数!$B$12/(I1907*10000)</f>
        <v>0.0191666666666667</v>
      </c>
      <c r="M1907" s="6">
        <f>I1907*10000*SUM(税费参数!$B$9:$B$10)/税费参数!$B$11</f>
        <v>225</v>
      </c>
    </row>
    <row r="1908" ht="21" customHeight="1" spans="1:13">
      <c r="A1908" s="5" t="s">
        <v>16</v>
      </c>
      <c r="B1908" s="6" t="s">
        <v>122</v>
      </c>
      <c r="C1908" s="6" t="s">
        <v>152</v>
      </c>
      <c r="D1908" s="6" t="s">
        <v>153</v>
      </c>
      <c r="E1908" s="6" t="s">
        <v>1325</v>
      </c>
      <c r="F1908" s="6" t="s">
        <v>2019</v>
      </c>
      <c r="G1908" s="6">
        <v>50.13</v>
      </c>
      <c r="H1908" s="6">
        <v>47.53</v>
      </c>
      <c r="I1908" s="6">
        <v>120</v>
      </c>
      <c r="J1908" s="6">
        <v>2040</v>
      </c>
      <c r="K1908" s="7">
        <f>(J1908-M1908)*税费参数!$B$12/(I1908*10000*(1+SUM(税费参数!$B$6:$B$8)))</f>
        <v>0.0146489104116223</v>
      </c>
      <c r="L1908" s="7">
        <f>J1908*税费参数!$B$12/(I1908*10000)</f>
        <v>0.017</v>
      </c>
      <c r="M1908" s="6">
        <f>I1908*10000*SUM(税费参数!$B$9:$B$10)/税费参数!$B$11</f>
        <v>225</v>
      </c>
    </row>
    <row r="1909" ht="21" customHeight="1" spans="1:13">
      <c r="A1909" s="5" t="s">
        <v>16</v>
      </c>
      <c r="B1909" s="6" t="s">
        <v>122</v>
      </c>
      <c r="C1909" s="6" t="s">
        <v>152</v>
      </c>
      <c r="D1909" s="6" t="s">
        <v>153</v>
      </c>
      <c r="E1909" s="6" t="s">
        <v>1325</v>
      </c>
      <c r="F1909" s="6" t="s">
        <v>2020</v>
      </c>
      <c r="G1909" s="6">
        <v>50.13</v>
      </c>
      <c r="H1909" s="6">
        <v>47.53</v>
      </c>
      <c r="I1909" s="6">
        <v>120</v>
      </c>
      <c r="J1909" s="6">
        <v>2000</v>
      </c>
      <c r="K1909" s="7">
        <f>(J1909-M1909)*税费参数!$B$12/(I1909*10000*(1+SUM(税费参数!$B$6:$B$8)))</f>
        <v>0.0143260694108152</v>
      </c>
      <c r="L1909" s="7">
        <f>J1909*税费参数!$B$12/(I1909*10000)</f>
        <v>0.0166666666666667</v>
      </c>
      <c r="M1909" s="6">
        <f>I1909*10000*SUM(税费参数!$B$9:$B$10)/税费参数!$B$11</f>
        <v>225</v>
      </c>
    </row>
    <row r="1910" ht="21" customHeight="1" spans="1:13">
      <c r="A1910" s="5" t="s">
        <v>16</v>
      </c>
      <c r="B1910" s="6" t="s">
        <v>122</v>
      </c>
      <c r="C1910" s="6" t="s">
        <v>152</v>
      </c>
      <c r="D1910" s="6" t="s">
        <v>153</v>
      </c>
      <c r="E1910" s="6" t="s">
        <v>1307</v>
      </c>
      <c r="F1910" s="6" t="s">
        <v>2003</v>
      </c>
      <c r="G1910" s="6">
        <v>50.29</v>
      </c>
      <c r="H1910" s="6">
        <v>48.47</v>
      </c>
      <c r="I1910" s="6">
        <v>118</v>
      </c>
      <c r="J1910" s="6">
        <v>2200</v>
      </c>
      <c r="K1910" s="7">
        <f>(J1910-M1910)*税费参数!$B$12/(I1910*10000*(1+SUM(税费参数!$B$6:$B$8)))</f>
        <v>0.0162412278901793</v>
      </c>
      <c r="L1910" s="7">
        <f>J1910*税费参数!$B$12/(I1910*10000)</f>
        <v>0.0186440677966102</v>
      </c>
      <c r="M1910" s="6">
        <f>I1910*10000*SUM(税费参数!$B$9:$B$10)/税费参数!$B$11</f>
        <v>221.25</v>
      </c>
    </row>
    <row r="1911" ht="21" customHeight="1" spans="1:13">
      <c r="A1911" s="5" t="s">
        <v>16</v>
      </c>
      <c r="B1911" s="6" t="s">
        <v>122</v>
      </c>
      <c r="C1911" s="6" t="s">
        <v>152</v>
      </c>
      <c r="D1911" s="6" t="s">
        <v>153</v>
      </c>
      <c r="E1911" s="6" t="s">
        <v>1307</v>
      </c>
      <c r="F1911" s="6" t="s">
        <v>2004</v>
      </c>
      <c r="G1911" s="6">
        <v>50.29</v>
      </c>
      <c r="H1911" s="6">
        <v>48.95</v>
      </c>
      <c r="I1911" s="6">
        <v>118</v>
      </c>
      <c r="J1911" s="6">
        <v>1800</v>
      </c>
      <c r="K1911" s="7">
        <f>(J1911-M1911)*税费参数!$B$12/(I1911*10000*(1+SUM(税费参数!$B$6:$B$8)))</f>
        <v>0.0129580990684122</v>
      </c>
      <c r="L1911" s="7">
        <f>J1911*税费参数!$B$12/(I1911*10000)</f>
        <v>0.0152542372881356</v>
      </c>
      <c r="M1911" s="6">
        <f>I1911*10000*SUM(税费参数!$B$9:$B$10)/税费参数!$B$11</f>
        <v>221.25</v>
      </c>
    </row>
    <row r="1912" ht="21" customHeight="1" spans="1:13">
      <c r="A1912" s="5" t="s">
        <v>16</v>
      </c>
      <c r="B1912" s="6" t="s">
        <v>122</v>
      </c>
      <c r="C1912" s="6" t="s">
        <v>152</v>
      </c>
      <c r="D1912" s="6" t="s">
        <v>153</v>
      </c>
      <c r="E1912" s="6" t="s">
        <v>1307</v>
      </c>
      <c r="F1912" s="6" t="s">
        <v>2005</v>
      </c>
      <c r="G1912" s="6">
        <v>50.29</v>
      </c>
      <c r="H1912" s="6">
        <v>50.29</v>
      </c>
      <c r="I1912" s="6">
        <v>118</v>
      </c>
      <c r="J1912" s="6">
        <v>1900</v>
      </c>
      <c r="K1912" s="7">
        <f>(J1912-M1912)*税费参数!$B$12/(I1912*10000*(1+SUM(税费参数!$B$6:$B$8)))</f>
        <v>0.013778881273854</v>
      </c>
      <c r="L1912" s="7">
        <f>J1912*税费参数!$B$12/(I1912*10000)</f>
        <v>0.0161016949152542</v>
      </c>
      <c r="M1912" s="6">
        <f>I1912*10000*SUM(税费参数!$B$9:$B$10)/税费参数!$B$11</f>
        <v>221.25</v>
      </c>
    </row>
    <row r="1913" ht="21" customHeight="1" spans="1:13">
      <c r="A1913" s="5" t="s">
        <v>16</v>
      </c>
      <c r="B1913" s="6" t="s">
        <v>122</v>
      </c>
      <c r="C1913" s="6" t="s">
        <v>152</v>
      </c>
      <c r="D1913" s="6" t="s">
        <v>153</v>
      </c>
      <c r="E1913" s="6" t="s">
        <v>1307</v>
      </c>
      <c r="F1913" s="6" t="s">
        <v>2006</v>
      </c>
      <c r="G1913" s="6">
        <v>50.29</v>
      </c>
      <c r="H1913" s="6">
        <v>47.92</v>
      </c>
      <c r="I1913" s="6">
        <v>118</v>
      </c>
      <c r="J1913" s="6">
        <v>2000</v>
      </c>
      <c r="K1913" s="7">
        <f>(J1913-M1913)*税费参数!$B$12/(I1913*10000*(1+SUM(税费参数!$B$6:$B$8)))</f>
        <v>0.0145996634792958</v>
      </c>
      <c r="L1913" s="7">
        <f>J1913*税费参数!$B$12/(I1913*10000)</f>
        <v>0.0169491525423729</v>
      </c>
      <c r="M1913" s="6">
        <f>I1913*10000*SUM(税费参数!$B$9:$B$10)/税费参数!$B$11</f>
        <v>221.25</v>
      </c>
    </row>
    <row r="1914" ht="21" customHeight="1" spans="1:13">
      <c r="A1914" s="5" t="s">
        <v>16</v>
      </c>
      <c r="B1914" s="6" t="s">
        <v>122</v>
      </c>
      <c r="C1914" s="6" t="s">
        <v>152</v>
      </c>
      <c r="D1914" s="6" t="s">
        <v>153</v>
      </c>
      <c r="E1914" s="6" t="s">
        <v>1307</v>
      </c>
      <c r="F1914" s="6" t="s">
        <v>2007</v>
      </c>
      <c r="G1914" s="6">
        <v>50.29</v>
      </c>
      <c r="H1914" s="6">
        <v>47.53</v>
      </c>
      <c r="I1914" s="6">
        <v>118</v>
      </c>
      <c r="J1914" s="6">
        <v>1850</v>
      </c>
      <c r="K1914" s="7">
        <f>(J1914-M1914)*税费参数!$B$12/(I1914*10000*(1+SUM(税费参数!$B$6:$B$8)))</f>
        <v>0.0133684901711331</v>
      </c>
      <c r="L1914" s="7">
        <f>J1914*税费参数!$B$12/(I1914*10000)</f>
        <v>0.0156779661016949</v>
      </c>
      <c r="M1914" s="6">
        <f>I1914*10000*SUM(税费参数!$B$9:$B$10)/税费参数!$B$11</f>
        <v>221.25</v>
      </c>
    </row>
    <row r="1915" ht="21" customHeight="1" spans="1:13">
      <c r="A1915" s="5" t="s">
        <v>16</v>
      </c>
      <c r="B1915" s="6" t="s">
        <v>122</v>
      </c>
      <c r="C1915" s="6" t="s">
        <v>152</v>
      </c>
      <c r="D1915" s="6" t="s">
        <v>153</v>
      </c>
      <c r="E1915" s="6" t="s">
        <v>1307</v>
      </c>
      <c r="F1915" s="6" t="s">
        <v>2008</v>
      </c>
      <c r="G1915" s="6">
        <v>50.29</v>
      </c>
      <c r="H1915" s="6">
        <v>45.16</v>
      </c>
      <c r="I1915" s="6">
        <v>118</v>
      </c>
      <c r="J1915" s="6">
        <v>2000</v>
      </c>
      <c r="K1915" s="7">
        <f>(J1915-M1915)*税费参数!$B$12/(I1915*10000*(1+SUM(税费参数!$B$6:$B$8)))</f>
        <v>0.0145996634792958</v>
      </c>
      <c r="L1915" s="7">
        <f>J1915*税费参数!$B$12/(I1915*10000)</f>
        <v>0.0169491525423729</v>
      </c>
      <c r="M1915" s="6">
        <f>I1915*10000*SUM(税费参数!$B$9:$B$10)/税费参数!$B$11</f>
        <v>221.25</v>
      </c>
    </row>
    <row r="1916" ht="21" customHeight="1" spans="1:13">
      <c r="A1916" s="5" t="s">
        <v>16</v>
      </c>
      <c r="B1916" s="6" t="s">
        <v>122</v>
      </c>
      <c r="C1916" s="6" t="s">
        <v>152</v>
      </c>
      <c r="D1916" s="6" t="s">
        <v>153</v>
      </c>
      <c r="E1916" s="6" t="s">
        <v>1307</v>
      </c>
      <c r="F1916" s="6" t="s">
        <v>2009</v>
      </c>
      <c r="G1916" s="6">
        <v>50.29</v>
      </c>
      <c r="H1916" s="6">
        <v>51.15</v>
      </c>
      <c r="I1916" s="6">
        <v>118</v>
      </c>
      <c r="J1916" s="6">
        <v>1950</v>
      </c>
      <c r="K1916" s="7">
        <f>(J1916-M1916)*税费参数!$B$12/(I1916*10000*(1+SUM(税费参数!$B$6:$B$8)))</f>
        <v>0.0141892723765749</v>
      </c>
      <c r="L1916" s="7">
        <f>J1916*税费参数!$B$12/(I1916*10000)</f>
        <v>0.0165254237288136</v>
      </c>
      <c r="M1916" s="6">
        <f>I1916*10000*SUM(税费参数!$B$9:$B$10)/税费参数!$B$11</f>
        <v>221.25</v>
      </c>
    </row>
    <row r="1917" ht="21" customHeight="1" spans="1:13">
      <c r="A1917" s="5" t="s">
        <v>16</v>
      </c>
      <c r="B1917" s="6" t="s">
        <v>122</v>
      </c>
      <c r="C1917" s="6" t="s">
        <v>152</v>
      </c>
      <c r="D1917" s="6" t="s">
        <v>153</v>
      </c>
      <c r="E1917" s="6" t="s">
        <v>1307</v>
      </c>
      <c r="F1917" s="6" t="s">
        <v>2010</v>
      </c>
      <c r="G1917" s="6">
        <v>50.29</v>
      </c>
      <c r="H1917" s="6">
        <v>48.83</v>
      </c>
      <c r="I1917" s="6">
        <v>118</v>
      </c>
      <c r="J1917" s="6">
        <v>2400</v>
      </c>
      <c r="K1917" s="7">
        <f>(J1917-M1917)*税费参数!$B$12/(I1917*10000*(1+SUM(税费参数!$B$6:$B$8)))</f>
        <v>0.0178827923010629</v>
      </c>
      <c r="L1917" s="7">
        <f>J1917*税费参数!$B$12/(I1917*10000)</f>
        <v>0.0203389830508475</v>
      </c>
      <c r="M1917" s="6">
        <f>I1917*10000*SUM(税费参数!$B$9:$B$10)/税费参数!$B$11</f>
        <v>221.25</v>
      </c>
    </row>
    <row r="1918" ht="21" customHeight="1" spans="1:13">
      <c r="A1918" s="5" t="s">
        <v>16</v>
      </c>
      <c r="B1918" s="6" t="s">
        <v>122</v>
      </c>
      <c r="C1918" s="6" t="s">
        <v>152</v>
      </c>
      <c r="D1918" s="6" t="s">
        <v>153</v>
      </c>
      <c r="E1918" s="6" t="s">
        <v>1307</v>
      </c>
      <c r="F1918" s="6" t="s">
        <v>2011</v>
      </c>
      <c r="G1918" s="6">
        <v>50.29</v>
      </c>
      <c r="H1918" s="6">
        <v>48.47</v>
      </c>
      <c r="I1918" s="6">
        <v>118</v>
      </c>
      <c r="J1918" s="6">
        <v>2100</v>
      </c>
      <c r="K1918" s="7">
        <f>(J1918-M1918)*税费参数!$B$12/(I1918*10000*(1+SUM(税费参数!$B$6:$B$8)))</f>
        <v>0.0154204456847376</v>
      </c>
      <c r="L1918" s="7">
        <f>J1918*税费参数!$B$12/(I1918*10000)</f>
        <v>0.0177966101694915</v>
      </c>
      <c r="M1918" s="6">
        <f>I1918*10000*SUM(税费参数!$B$9:$B$10)/税费参数!$B$11</f>
        <v>221.25</v>
      </c>
    </row>
    <row r="1919" ht="21" customHeight="1" spans="1:13">
      <c r="A1919" s="5" t="s">
        <v>16</v>
      </c>
      <c r="B1919" s="6" t="s">
        <v>122</v>
      </c>
      <c r="C1919" s="6" t="s">
        <v>152</v>
      </c>
      <c r="D1919" s="6" t="s">
        <v>153</v>
      </c>
      <c r="E1919" s="6" t="s">
        <v>1307</v>
      </c>
      <c r="F1919" s="6" t="s">
        <v>2012</v>
      </c>
      <c r="G1919" s="6">
        <v>50.29</v>
      </c>
      <c r="H1919" s="6">
        <v>48.86</v>
      </c>
      <c r="I1919" s="6">
        <v>118</v>
      </c>
      <c r="J1919" s="6">
        <v>3300</v>
      </c>
      <c r="K1919" s="7">
        <f>(J1919-M1919)*税费参数!$B$12/(I1919*10000*(1+SUM(税费参数!$B$6:$B$8)))</f>
        <v>0.025269832150039</v>
      </c>
      <c r="L1919" s="7">
        <f>J1919*税费参数!$B$12/(I1919*10000)</f>
        <v>0.0279661016949153</v>
      </c>
      <c r="M1919" s="6">
        <f>I1919*10000*SUM(税费参数!$B$9:$B$10)/税费参数!$B$11</f>
        <v>221.25</v>
      </c>
    </row>
    <row r="1920" ht="21" customHeight="1" spans="1:13">
      <c r="A1920" s="5" t="s">
        <v>16</v>
      </c>
      <c r="B1920" s="6" t="s">
        <v>122</v>
      </c>
      <c r="C1920" s="6" t="s">
        <v>152</v>
      </c>
      <c r="D1920" s="6" t="s">
        <v>153</v>
      </c>
      <c r="E1920" s="6" t="s">
        <v>1307</v>
      </c>
      <c r="F1920" s="6" t="s">
        <v>2013</v>
      </c>
      <c r="G1920" s="6">
        <v>50.29</v>
      </c>
      <c r="H1920" s="6">
        <v>49.96</v>
      </c>
      <c r="I1920" s="6">
        <v>118</v>
      </c>
      <c r="J1920" s="6">
        <v>2500</v>
      </c>
      <c r="K1920" s="7">
        <f>(J1920-M1920)*税费参数!$B$12/(I1920*10000*(1+SUM(税费参数!$B$6:$B$8)))</f>
        <v>0.0187035745065047</v>
      </c>
      <c r="L1920" s="7">
        <f>J1920*税费参数!$B$12/(I1920*10000)</f>
        <v>0.0211864406779661</v>
      </c>
      <c r="M1920" s="6">
        <f>I1920*10000*SUM(税费参数!$B$9:$B$10)/税费参数!$B$11</f>
        <v>221.25</v>
      </c>
    </row>
    <row r="1921" ht="21" customHeight="1" spans="1:13">
      <c r="A1921" s="5" t="s">
        <v>16</v>
      </c>
      <c r="B1921" s="6" t="s">
        <v>122</v>
      </c>
      <c r="C1921" s="6" t="s">
        <v>152</v>
      </c>
      <c r="D1921" s="6" t="s">
        <v>153</v>
      </c>
      <c r="E1921" s="6" t="s">
        <v>1307</v>
      </c>
      <c r="F1921" s="6" t="s">
        <v>2014</v>
      </c>
      <c r="G1921" s="6">
        <v>50.29</v>
      </c>
      <c r="H1921" s="6">
        <v>50.02</v>
      </c>
      <c r="I1921" s="6">
        <v>118</v>
      </c>
      <c r="J1921" s="6">
        <v>2700</v>
      </c>
      <c r="K1921" s="7">
        <f>(J1921-M1921)*税费参数!$B$12/(I1921*10000*(1+SUM(税费参数!$B$6:$B$8)))</f>
        <v>0.0203451389173883</v>
      </c>
      <c r="L1921" s="7">
        <f>J1921*税费参数!$B$12/(I1921*10000)</f>
        <v>0.0228813559322034</v>
      </c>
      <c r="M1921" s="6">
        <f>I1921*10000*SUM(税费参数!$B$9:$B$10)/税费参数!$B$11</f>
        <v>221.25</v>
      </c>
    </row>
    <row r="1922" ht="21" customHeight="1" spans="1:13">
      <c r="A1922" s="5" t="s">
        <v>16</v>
      </c>
      <c r="B1922" s="6" t="s">
        <v>122</v>
      </c>
      <c r="C1922" s="6" t="s">
        <v>152</v>
      </c>
      <c r="D1922" s="6" t="s">
        <v>153</v>
      </c>
      <c r="E1922" s="6" t="s">
        <v>1307</v>
      </c>
      <c r="F1922" s="6" t="s">
        <v>2015</v>
      </c>
      <c r="G1922" s="6">
        <v>50.29</v>
      </c>
      <c r="H1922" s="6">
        <v>50.21</v>
      </c>
      <c r="I1922" s="6">
        <v>118</v>
      </c>
      <c r="J1922" s="6">
        <v>2200</v>
      </c>
      <c r="K1922" s="7">
        <f>(J1922-M1922)*税费参数!$B$12/(I1922*10000*(1+SUM(税费参数!$B$6:$B$8)))</f>
        <v>0.0162412278901793</v>
      </c>
      <c r="L1922" s="7">
        <f>J1922*税费参数!$B$12/(I1922*10000)</f>
        <v>0.0186440677966102</v>
      </c>
      <c r="M1922" s="6">
        <f>I1922*10000*SUM(税费参数!$B$9:$B$10)/税费参数!$B$11</f>
        <v>221.25</v>
      </c>
    </row>
    <row r="1923" ht="21" customHeight="1" spans="1:13">
      <c r="A1923" s="5" t="s">
        <v>16</v>
      </c>
      <c r="B1923" s="6" t="s">
        <v>122</v>
      </c>
      <c r="C1923" s="6" t="s">
        <v>152</v>
      </c>
      <c r="D1923" s="6" t="s">
        <v>153</v>
      </c>
      <c r="E1923" s="6" t="s">
        <v>1307</v>
      </c>
      <c r="F1923" s="6" t="s">
        <v>2016</v>
      </c>
      <c r="G1923" s="6">
        <v>50.29</v>
      </c>
      <c r="H1923" s="6">
        <v>47.84</v>
      </c>
      <c r="I1923" s="6">
        <v>118</v>
      </c>
      <c r="J1923" s="6">
        <v>2000</v>
      </c>
      <c r="K1923" s="7">
        <f>(J1923-M1923)*税费参数!$B$12/(I1923*10000*(1+SUM(税费参数!$B$6:$B$8)))</f>
        <v>0.0145996634792958</v>
      </c>
      <c r="L1923" s="7">
        <f>J1923*税费参数!$B$12/(I1923*10000)</f>
        <v>0.0169491525423729</v>
      </c>
      <c r="M1923" s="6">
        <f>I1923*10000*SUM(税费参数!$B$9:$B$10)/税费参数!$B$11</f>
        <v>221.25</v>
      </c>
    </row>
    <row r="1924" ht="21" customHeight="1" spans="1:13">
      <c r="A1924" s="5" t="s">
        <v>16</v>
      </c>
      <c r="B1924" s="6" t="s">
        <v>122</v>
      </c>
      <c r="C1924" s="6" t="s">
        <v>152</v>
      </c>
      <c r="D1924" s="6" t="s">
        <v>153</v>
      </c>
      <c r="E1924" s="6" t="s">
        <v>1307</v>
      </c>
      <c r="F1924" s="6" t="s">
        <v>2017</v>
      </c>
      <c r="G1924" s="6">
        <v>50.29</v>
      </c>
      <c r="H1924" s="6">
        <v>49.67</v>
      </c>
      <c r="I1924" s="6">
        <v>118</v>
      </c>
      <c r="J1924" s="6">
        <v>2100</v>
      </c>
      <c r="K1924" s="7">
        <f>(J1924-M1924)*税费参数!$B$12/(I1924*10000*(1+SUM(税费参数!$B$6:$B$8)))</f>
        <v>0.0154204456847376</v>
      </c>
      <c r="L1924" s="7">
        <f>J1924*税费参数!$B$12/(I1924*10000)</f>
        <v>0.0177966101694915</v>
      </c>
      <c r="M1924" s="6">
        <f>I1924*10000*SUM(税费参数!$B$9:$B$10)/税费参数!$B$11</f>
        <v>221.25</v>
      </c>
    </row>
    <row r="1925" ht="21" customHeight="1" spans="1:13">
      <c r="A1925" s="5" t="s">
        <v>16</v>
      </c>
      <c r="B1925" s="6" t="s">
        <v>122</v>
      </c>
      <c r="C1925" s="6" t="s">
        <v>152</v>
      </c>
      <c r="D1925" s="6" t="s">
        <v>153</v>
      </c>
      <c r="E1925" s="6" t="s">
        <v>1307</v>
      </c>
      <c r="F1925" s="6" t="s">
        <v>2018</v>
      </c>
      <c r="G1925" s="6">
        <v>50.29</v>
      </c>
      <c r="H1925" s="6">
        <v>49.24</v>
      </c>
      <c r="I1925" s="6">
        <v>118</v>
      </c>
      <c r="J1925" s="6">
        <v>2300</v>
      </c>
      <c r="K1925" s="7">
        <f>(J1925-M1925)*税费参数!$B$12/(I1925*10000*(1+SUM(税费参数!$B$6:$B$8)))</f>
        <v>0.0170620100956211</v>
      </c>
      <c r="L1925" s="7">
        <f>J1925*税费参数!$B$12/(I1925*10000)</f>
        <v>0.0194915254237288</v>
      </c>
      <c r="M1925" s="6">
        <f>I1925*10000*SUM(税费参数!$B$9:$B$10)/税费参数!$B$11</f>
        <v>221.25</v>
      </c>
    </row>
    <row r="1926" ht="21" customHeight="1" spans="1:13">
      <c r="A1926" s="5" t="s">
        <v>16</v>
      </c>
      <c r="B1926" s="6" t="s">
        <v>122</v>
      </c>
      <c r="C1926" s="6" t="s">
        <v>152</v>
      </c>
      <c r="D1926" s="6" t="s">
        <v>153</v>
      </c>
      <c r="E1926" s="6" t="s">
        <v>1307</v>
      </c>
      <c r="F1926" s="6" t="s">
        <v>2019</v>
      </c>
      <c r="G1926" s="6">
        <v>50.29</v>
      </c>
      <c r="H1926" s="6">
        <v>47.53</v>
      </c>
      <c r="I1926" s="6">
        <v>118</v>
      </c>
      <c r="J1926" s="6">
        <v>2040</v>
      </c>
      <c r="K1926" s="7">
        <f>(J1926-M1926)*税费参数!$B$12/(I1926*10000*(1+SUM(税费参数!$B$6:$B$8)))</f>
        <v>0.0149279763614725</v>
      </c>
      <c r="L1926" s="7">
        <f>J1926*税费参数!$B$12/(I1926*10000)</f>
        <v>0.0172881355932203</v>
      </c>
      <c r="M1926" s="6">
        <f>I1926*10000*SUM(税费参数!$B$9:$B$10)/税费参数!$B$11</f>
        <v>221.25</v>
      </c>
    </row>
    <row r="1927" ht="21" customHeight="1" spans="1:13">
      <c r="A1927" s="5" t="s">
        <v>16</v>
      </c>
      <c r="B1927" s="6" t="s">
        <v>122</v>
      </c>
      <c r="C1927" s="6" t="s">
        <v>152</v>
      </c>
      <c r="D1927" s="6" t="s">
        <v>153</v>
      </c>
      <c r="E1927" s="6" t="s">
        <v>1307</v>
      </c>
      <c r="F1927" s="6" t="s">
        <v>2020</v>
      </c>
      <c r="G1927" s="6">
        <v>50.29</v>
      </c>
      <c r="H1927" s="6">
        <v>47.53</v>
      </c>
      <c r="I1927" s="6">
        <v>118</v>
      </c>
      <c r="J1927" s="6">
        <v>2000</v>
      </c>
      <c r="K1927" s="7">
        <f>(J1927-M1927)*税费参数!$B$12/(I1927*10000*(1+SUM(税费参数!$B$6:$B$8)))</f>
        <v>0.0145996634792958</v>
      </c>
      <c r="L1927" s="7">
        <f>J1927*税费参数!$B$12/(I1927*10000)</f>
        <v>0.0169491525423729</v>
      </c>
      <c r="M1927" s="6">
        <f>I1927*10000*SUM(税费参数!$B$9:$B$10)/税费参数!$B$11</f>
        <v>221.25</v>
      </c>
    </row>
    <row r="1928" ht="21" customHeight="1" spans="1:13">
      <c r="A1928" s="5" t="s">
        <v>16</v>
      </c>
      <c r="B1928" s="6" t="s">
        <v>122</v>
      </c>
      <c r="C1928" s="6" t="s">
        <v>152</v>
      </c>
      <c r="D1928" s="6" t="s">
        <v>153</v>
      </c>
      <c r="E1928" s="6" t="s">
        <v>1305</v>
      </c>
      <c r="F1928" s="6" t="s">
        <v>2003</v>
      </c>
      <c r="G1928" s="6">
        <v>50.45</v>
      </c>
      <c r="H1928" s="6">
        <v>48.47</v>
      </c>
      <c r="I1928" s="6">
        <v>109</v>
      </c>
      <c r="J1928" s="6">
        <v>2200</v>
      </c>
      <c r="K1928" s="7">
        <f>(J1928-M1928)*税费参数!$B$12/(I1928*10000*(1+SUM(税费参数!$B$6:$B$8)))</f>
        <v>0.0177321900615323</v>
      </c>
      <c r="L1928" s="7">
        <f>J1928*税费参数!$B$12/(I1928*10000)</f>
        <v>0.0201834862385321</v>
      </c>
      <c r="M1928" s="6">
        <f>I1928*10000*SUM(税费参数!$B$9:$B$10)/税费参数!$B$11</f>
        <v>204.375</v>
      </c>
    </row>
    <row r="1929" ht="21" customHeight="1" spans="1:13">
      <c r="A1929" s="5" t="s">
        <v>16</v>
      </c>
      <c r="B1929" s="6" t="s">
        <v>122</v>
      </c>
      <c r="C1929" s="6" t="s">
        <v>152</v>
      </c>
      <c r="D1929" s="6" t="s">
        <v>153</v>
      </c>
      <c r="E1929" s="6" t="s">
        <v>1305</v>
      </c>
      <c r="F1929" s="6" t="s">
        <v>2004</v>
      </c>
      <c r="G1929" s="6">
        <v>50.45</v>
      </c>
      <c r="H1929" s="6">
        <v>48.95</v>
      </c>
      <c r="I1929" s="6">
        <v>109</v>
      </c>
      <c r="J1929" s="6">
        <v>1800</v>
      </c>
      <c r="K1929" s="7">
        <f>(J1929-M1929)*税费参数!$B$12/(I1929*10000*(1+SUM(税费参数!$B$6:$B$8)))</f>
        <v>0.0141779772086101</v>
      </c>
      <c r="L1929" s="7">
        <f>J1929*税费参数!$B$12/(I1929*10000)</f>
        <v>0.0165137614678899</v>
      </c>
      <c r="M1929" s="6">
        <f>I1929*10000*SUM(税费参数!$B$9:$B$10)/税费参数!$B$11</f>
        <v>204.375</v>
      </c>
    </row>
    <row r="1930" ht="21" customHeight="1" spans="1:13">
      <c r="A1930" s="5" t="s">
        <v>16</v>
      </c>
      <c r="B1930" s="6" t="s">
        <v>122</v>
      </c>
      <c r="C1930" s="6" t="s">
        <v>152</v>
      </c>
      <c r="D1930" s="6" t="s">
        <v>153</v>
      </c>
      <c r="E1930" s="6" t="s">
        <v>1305</v>
      </c>
      <c r="F1930" s="6" t="s">
        <v>2005</v>
      </c>
      <c r="G1930" s="6">
        <v>50.45</v>
      </c>
      <c r="H1930" s="6">
        <v>50.29</v>
      </c>
      <c r="I1930" s="6">
        <v>109</v>
      </c>
      <c r="J1930" s="6">
        <v>1900</v>
      </c>
      <c r="K1930" s="7">
        <f>(J1930-M1930)*税费参数!$B$12/(I1930*10000*(1+SUM(税费参数!$B$6:$B$8)))</f>
        <v>0.0150665304218406</v>
      </c>
      <c r="L1930" s="7">
        <f>J1930*税费参数!$B$12/(I1930*10000)</f>
        <v>0.0174311926605505</v>
      </c>
      <c r="M1930" s="6">
        <f>I1930*10000*SUM(税费参数!$B$9:$B$10)/税费参数!$B$11</f>
        <v>204.375</v>
      </c>
    </row>
    <row r="1931" ht="21" customHeight="1" spans="1:13">
      <c r="A1931" s="5" t="s">
        <v>16</v>
      </c>
      <c r="B1931" s="6" t="s">
        <v>122</v>
      </c>
      <c r="C1931" s="6" t="s">
        <v>152</v>
      </c>
      <c r="D1931" s="6" t="s">
        <v>153</v>
      </c>
      <c r="E1931" s="6" t="s">
        <v>1305</v>
      </c>
      <c r="F1931" s="6" t="s">
        <v>2006</v>
      </c>
      <c r="G1931" s="6">
        <v>50.45</v>
      </c>
      <c r="H1931" s="6">
        <v>47.92</v>
      </c>
      <c r="I1931" s="6">
        <v>109</v>
      </c>
      <c r="J1931" s="6">
        <v>2000</v>
      </c>
      <c r="K1931" s="7">
        <f>(J1931-M1931)*税费参数!$B$12/(I1931*10000*(1+SUM(税费参数!$B$6:$B$8)))</f>
        <v>0.0159550836350712</v>
      </c>
      <c r="L1931" s="7">
        <f>J1931*税费参数!$B$12/(I1931*10000)</f>
        <v>0.018348623853211</v>
      </c>
      <c r="M1931" s="6">
        <f>I1931*10000*SUM(税费参数!$B$9:$B$10)/税费参数!$B$11</f>
        <v>204.375</v>
      </c>
    </row>
    <row r="1932" ht="21" customHeight="1" spans="1:13">
      <c r="A1932" s="5" t="s">
        <v>16</v>
      </c>
      <c r="B1932" s="6" t="s">
        <v>122</v>
      </c>
      <c r="C1932" s="6" t="s">
        <v>152</v>
      </c>
      <c r="D1932" s="6" t="s">
        <v>153</v>
      </c>
      <c r="E1932" s="6" t="s">
        <v>1305</v>
      </c>
      <c r="F1932" s="6" t="s">
        <v>2007</v>
      </c>
      <c r="G1932" s="6">
        <v>50.45</v>
      </c>
      <c r="H1932" s="6">
        <v>47.53</v>
      </c>
      <c r="I1932" s="6">
        <v>109</v>
      </c>
      <c r="J1932" s="6">
        <v>1850</v>
      </c>
      <c r="K1932" s="7">
        <f>(J1932-M1932)*税费参数!$B$12/(I1932*10000*(1+SUM(税费参数!$B$6:$B$8)))</f>
        <v>0.0146222538152254</v>
      </c>
      <c r="L1932" s="7">
        <f>J1932*税费参数!$B$12/(I1932*10000)</f>
        <v>0.0169724770642202</v>
      </c>
      <c r="M1932" s="6">
        <f>I1932*10000*SUM(税费参数!$B$9:$B$10)/税费参数!$B$11</f>
        <v>204.375</v>
      </c>
    </row>
    <row r="1933" ht="21" customHeight="1" spans="1:13">
      <c r="A1933" s="5" t="s">
        <v>16</v>
      </c>
      <c r="B1933" s="6" t="s">
        <v>122</v>
      </c>
      <c r="C1933" s="6" t="s">
        <v>152</v>
      </c>
      <c r="D1933" s="6" t="s">
        <v>153</v>
      </c>
      <c r="E1933" s="6" t="s">
        <v>1305</v>
      </c>
      <c r="F1933" s="6" t="s">
        <v>2008</v>
      </c>
      <c r="G1933" s="6">
        <v>50.45</v>
      </c>
      <c r="H1933" s="6">
        <v>45.16</v>
      </c>
      <c r="I1933" s="6">
        <v>109</v>
      </c>
      <c r="J1933" s="6">
        <v>2000</v>
      </c>
      <c r="K1933" s="7">
        <f>(J1933-M1933)*税费参数!$B$12/(I1933*10000*(1+SUM(税费参数!$B$6:$B$8)))</f>
        <v>0.0159550836350712</v>
      </c>
      <c r="L1933" s="7">
        <f>J1933*税费参数!$B$12/(I1933*10000)</f>
        <v>0.018348623853211</v>
      </c>
      <c r="M1933" s="6">
        <f>I1933*10000*SUM(税费参数!$B$9:$B$10)/税费参数!$B$11</f>
        <v>204.375</v>
      </c>
    </row>
    <row r="1934" ht="21" customHeight="1" spans="1:13">
      <c r="A1934" s="5" t="s">
        <v>16</v>
      </c>
      <c r="B1934" s="6" t="s">
        <v>122</v>
      </c>
      <c r="C1934" s="6" t="s">
        <v>152</v>
      </c>
      <c r="D1934" s="6" t="s">
        <v>153</v>
      </c>
      <c r="E1934" s="6" t="s">
        <v>1305</v>
      </c>
      <c r="F1934" s="6" t="s">
        <v>2009</v>
      </c>
      <c r="G1934" s="6">
        <v>50.45</v>
      </c>
      <c r="H1934" s="6">
        <v>51.15</v>
      </c>
      <c r="I1934" s="6">
        <v>109</v>
      </c>
      <c r="J1934" s="6">
        <v>1950</v>
      </c>
      <c r="K1934" s="7">
        <f>(J1934-M1934)*税费参数!$B$12/(I1934*10000*(1+SUM(税费参数!$B$6:$B$8)))</f>
        <v>0.0155108070284559</v>
      </c>
      <c r="L1934" s="7">
        <f>J1934*税费参数!$B$12/(I1934*10000)</f>
        <v>0.0178899082568807</v>
      </c>
      <c r="M1934" s="6">
        <f>I1934*10000*SUM(税费参数!$B$9:$B$10)/税费参数!$B$11</f>
        <v>204.375</v>
      </c>
    </row>
    <row r="1935" ht="21" customHeight="1" spans="1:13">
      <c r="A1935" s="5" t="s">
        <v>16</v>
      </c>
      <c r="B1935" s="6" t="s">
        <v>122</v>
      </c>
      <c r="C1935" s="6" t="s">
        <v>152</v>
      </c>
      <c r="D1935" s="6" t="s">
        <v>153</v>
      </c>
      <c r="E1935" s="6" t="s">
        <v>1305</v>
      </c>
      <c r="F1935" s="6" t="s">
        <v>2010</v>
      </c>
      <c r="G1935" s="6">
        <v>50.45</v>
      </c>
      <c r="H1935" s="6">
        <v>48.83</v>
      </c>
      <c r="I1935" s="6">
        <v>109</v>
      </c>
      <c r="J1935" s="6">
        <v>2400</v>
      </c>
      <c r="K1935" s="7">
        <f>(J1935-M1935)*税费参数!$B$12/(I1935*10000*(1+SUM(税费参数!$B$6:$B$8)))</f>
        <v>0.0195092964879934</v>
      </c>
      <c r="L1935" s="7">
        <f>J1935*税费参数!$B$12/(I1935*10000)</f>
        <v>0.0220183486238532</v>
      </c>
      <c r="M1935" s="6">
        <f>I1935*10000*SUM(税费参数!$B$9:$B$10)/税费参数!$B$11</f>
        <v>204.375</v>
      </c>
    </row>
    <row r="1936" ht="21" customHeight="1" spans="1:13">
      <c r="A1936" s="5" t="s">
        <v>16</v>
      </c>
      <c r="B1936" s="6" t="s">
        <v>122</v>
      </c>
      <c r="C1936" s="6" t="s">
        <v>152</v>
      </c>
      <c r="D1936" s="6" t="s">
        <v>153</v>
      </c>
      <c r="E1936" s="6" t="s">
        <v>1305</v>
      </c>
      <c r="F1936" s="6" t="s">
        <v>2011</v>
      </c>
      <c r="G1936" s="6">
        <v>50.45</v>
      </c>
      <c r="H1936" s="6">
        <v>48.47</v>
      </c>
      <c r="I1936" s="6">
        <v>109</v>
      </c>
      <c r="J1936" s="6">
        <v>2100</v>
      </c>
      <c r="K1936" s="7">
        <f>(J1936-M1936)*税费参数!$B$12/(I1936*10000*(1+SUM(税费参数!$B$6:$B$8)))</f>
        <v>0.0168436368483018</v>
      </c>
      <c r="L1936" s="7">
        <f>J1936*税费参数!$B$12/(I1936*10000)</f>
        <v>0.0192660550458716</v>
      </c>
      <c r="M1936" s="6">
        <f>I1936*10000*SUM(税费参数!$B$9:$B$10)/税费参数!$B$11</f>
        <v>204.375</v>
      </c>
    </row>
    <row r="1937" ht="21" customHeight="1" spans="1:13">
      <c r="A1937" s="5" t="s">
        <v>16</v>
      </c>
      <c r="B1937" s="6" t="s">
        <v>122</v>
      </c>
      <c r="C1937" s="6" t="s">
        <v>152</v>
      </c>
      <c r="D1937" s="6" t="s">
        <v>153</v>
      </c>
      <c r="E1937" s="6" t="s">
        <v>1305</v>
      </c>
      <c r="F1937" s="6" t="s">
        <v>2012</v>
      </c>
      <c r="G1937" s="6">
        <v>50.45</v>
      </c>
      <c r="H1937" s="6">
        <v>48.86</v>
      </c>
      <c r="I1937" s="6">
        <v>109</v>
      </c>
      <c r="J1937" s="6">
        <v>3300</v>
      </c>
      <c r="K1937" s="7">
        <f>(J1937-M1937)*税费参数!$B$12/(I1937*10000*(1+SUM(税费参数!$B$6:$B$8)))</f>
        <v>0.0275062754070684</v>
      </c>
      <c r="L1937" s="7">
        <f>J1937*税费参数!$B$12/(I1937*10000)</f>
        <v>0.0302752293577982</v>
      </c>
      <c r="M1937" s="6">
        <f>I1937*10000*SUM(税费参数!$B$9:$B$10)/税费参数!$B$11</f>
        <v>204.375</v>
      </c>
    </row>
    <row r="1938" ht="21" customHeight="1" spans="1:13">
      <c r="A1938" s="5" t="s">
        <v>16</v>
      </c>
      <c r="B1938" s="6" t="s">
        <v>122</v>
      </c>
      <c r="C1938" s="6" t="s">
        <v>152</v>
      </c>
      <c r="D1938" s="6" t="s">
        <v>153</v>
      </c>
      <c r="E1938" s="6" t="s">
        <v>1305</v>
      </c>
      <c r="F1938" s="6" t="s">
        <v>2013</v>
      </c>
      <c r="G1938" s="6">
        <v>50.45</v>
      </c>
      <c r="H1938" s="6">
        <v>49.96</v>
      </c>
      <c r="I1938" s="6">
        <v>109</v>
      </c>
      <c r="J1938" s="6">
        <v>2500</v>
      </c>
      <c r="K1938" s="7">
        <f>(J1938-M1938)*税费参数!$B$12/(I1938*10000*(1+SUM(税费参数!$B$6:$B$8)))</f>
        <v>0.020397849701224</v>
      </c>
      <c r="L1938" s="7">
        <f>J1938*税费参数!$B$12/(I1938*10000)</f>
        <v>0.0229357798165138</v>
      </c>
      <c r="M1938" s="6">
        <f>I1938*10000*SUM(税费参数!$B$9:$B$10)/税费参数!$B$11</f>
        <v>204.375</v>
      </c>
    </row>
    <row r="1939" ht="21" customHeight="1" spans="1:13">
      <c r="A1939" s="5" t="s">
        <v>16</v>
      </c>
      <c r="B1939" s="6" t="s">
        <v>122</v>
      </c>
      <c r="C1939" s="6" t="s">
        <v>152</v>
      </c>
      <c r="D1939" s="6" t="s">
        <v>153</v>
      </c>
      <c r="E1939" s="6" t="s">
        <v>1305</v>
      </c>
      <c r="F1939" s="6" t="s">
        <v>2014</v>
      </c>
      <c r="G1939" s="6">
        <v>50.45</v>
      </c>
      <c r="H1939" s="6">
        <v>50.02</v>
      </c>
      <c r="I1939" s="6">
        <v>109</v>
      </c>
      <c r="J1939" s="6">
        <v>2700</v>
      </c>
      <c r="K1939" s="7">
        <f>(J1939-M1939)*税费参数!$B$12/(I1939*10000*(1+SUM(税费参数!$B$6:$B$8)))</f>
        <v>0.0221749561276851</v>
      </c>
      <c r="L1939" s="7">
        <f>J1939*税费参数!$B$12/(I1939*10000)</f>
        <v>0.0247706422018349</v>
      </c>
      <c r="M1939" s="6">
        <f>I1939*10000*SUM(税费参数!$B$9:$B$10)/税费参数!$B$11</f>
        <v>204.375</v>
      </c>
    </row>
    <row r="1940" ht="21" customHeight="1" spans="1:13">
      <c r="A1940" s="5" t="s">
        <v>16</v>
      </c>
      <c r="B1940" s="6" t="s">
        <v>122</v>
      </c>
      <c r="C1940" s="6" t="s">
        <v>152</v>
      </c>
      <c r="D1940" s="6" t="s">
        <v>153</v>
      </c>
      <c r="E1940" s="6" t="s">
        <v>1305</v>
      </c>
      <c r="F1940" s="6" t="s">
        <v>2015</v>
      </c>
      <c r="G1940" s="6">
        <v>50.45</v>
      </c>
      <c r="H1940" s="6">
        <v>50.21</v>
      </c>
      <c r="I1940" s="6">
        <v>109</v>
      </c>
      <c r="J1940" s="6">
        <v>2200</v>
      </c>
      <c r="K1940" s="7">
        <f>(J1940-M1940)*税费参数!$B$12/(I1940*10000*(1+SUM(税费参数!$B$6:$B$8)))</f>
        <v>0.0177321900615323</v>
      </c>
      <c r="L1940" s="7">
        <f>J1940*税费参数!$B$12/(I1940*10000)</f>
        <v>0.0201834862385321</v>
      </c>
      <c r="M1940" s="6">
        <f>I1940*10000*SUM(税费参数!$B$9:$B$10)/税费参数!$B$11</f>
        <v>204.375</v>
      </c>
    </row>
    <row r="1941" ht="21" customHeight="1" spans="1:13">
      <c r="A1941" s="5" t="s">
        <v>16</v>
      </c>
      <c r="B1941" s="6" t="s">
        <v>122</v>
      </c>
      <c r="C1941" s="6" t="s">
        <v>152</v>
      </c>
      <c r="D1941" s="6" t="s">
        <v>153</v>
      </c>
      <c r="E1941" s="6" t="s">
        <v>1305</v>
      </c>
      <c r="F1941" s="6" t="s">
        <v>2016</v>
      </c>
      <c r="G1941" s="6">
        <v>50.45</v>
      </c>
      <c r="H1941" s="6">
        <v>47.84</v>
      </c>
      <c r="I1941" s="6">
        <v>109</v>
      </c>
      <c r="J1941" s="6">
        <v>2000</v>
      </c>
      <c r="K1941" s="7">
        <f>(J1941-M1941)*税费参数!$B$12/(I1941*10000*(1+SUM(税费参数!$B$6:$B$8)))</f>
        <v>0.0159550836350712</v>
      </c>
      <c r="L1941" s="7">
        <f>J1941*税费参数!$B$12/(I1941*10000)</f>
        <v>0.018348623853211</v>
      </c>
      <c r="M1941" s="6">
        <f>I1941*10000*SUM(税费参数!$B$9:$B$10)/税费参数!$B$11</f>
        <v>204.375</v>
      </c>
    </row>
    <row r="1942" ht="21" customHeight="1" spans="1:13">
      <c r="A1942" s="5" t="s">
        <v>16</v>
      </c>
      <c r="B1942" s="6" t="s">
        <v>122</v>
      </c>
      <c r="C1942" s="6" t="s">
        <v>152</v>
      </c>
      <c r="D1942" s="6" t="s">
        <v>153</v>
      </c>
      <c r="E1942" s="6" t="s">
        <v>1305</v>
      </c>
      <c r="F1942" s="6" t="s">
        <v>2017</v>
      </c>
      <c r="G1942" s="6">
        <v>50.45</v>
      </c>
      <c r="H1942" s="6">
        <v>49.67</v>
      </c>
      <c r="I1942" s="6">
        <v>109</v>
      </c>
      <c r="J1942" s="6">
        <v>2100</v>
      </c>
      <c r="K1942" s="7">
        <f>(J1942-M1942)*税费参数!$B$12/(I1942*10000*(1+SUM(税费参数!$B$6:$B$8)))</f>
        <v>0.0168436368483018</v>
      </c>
      <c r="L1942" s="7">
        <f>J1942*税费参数!$B$12/(I1942*10000)</f>
        <v>0.0192660550458716</v>
      </c>
      <c r="M1942" s="6">
        <f>I1942*10000*SUM(税费参数!$B$9:$B$10)/税费参数!$B$11</f>
        <v>204.375</v>
      </c>
    </row>
    <row r="1943" ht="21" customHeight="1" spans="1:13">
      <c r="A1943" s="5" t="s">
        <v>16</v>
      </c>
      <c r="B1943" s="6" t="s">
        <v>122</v>
      </c>
      <c r="C1943" s="6" t="s">
        <v>152</v>
      </c>
      <c r="D1943" s="6" t="s">
        <v>153</v>
      </c>
      <c r="E1943" s="6" t="s">
        <v>1305</v>
      </c>
      <c r="F1943" s="6" t="s">
        <v>2018</v>
      </c>
      <c r="G1943" s="6">
        <v>50.45</v>
      </c>
      <c r="H1943" s="6">
        <v>49.24</v>
      </c>
      <c r="I1943" s="6">
        <v>109</v>
      </c>
      <c r="J1943" s="6">
        <v>2300</v>
      </c>
      <c r="K1943" s="7">
        <f>(J1943-M1943)*税费参数!$B$12/(I1943*10000*(1+SUM(税费参数!$B$6:$B$8)))</f>
        <v>0.0186207432747629</v>
      </c>
      <c r="L1943" s="7">
        <f>J1943*税费参数!$B$12/(I1943*10000)</f>
        <v>0.0211009174311927</v>
      </c>
      <c r="M1943" s="6">
        <f>I1943*10000*SUM(税费参数!$B$9:$B$10)/税费参数!$B$11</f>
        <v>204.375</v>
      </c>
    </row>
    <row r="1944" ht="21" customHeight="1" spans="1:13">
      <c r="A1944" s="5" t="s">
        <v>16</v>
      </c>
      <c r="B1944" s="6" t="s">
        <v>122</v>
      </c>
      <c r="C1944" s="6" t="s">
        <v>152</v>
      </c>
      <c r="D1944" s="6" t="s">
        <v>153</v>
      </c>
      <c r="E1944" s="6" t="s">
        <v>1305</v>
      </c>
      <c r="F1944" s="6" t="s">
        <v>2019</v>
      </c>
      <c r="G1944" s="6">
        <v>50.45</v>
      </c>
      <c r="H1944" s="6">
        <v>47.53</v>
      </c>
      <c r="I1944" s="6">
        <v>109</v>
      </c>
      <c r="J1944" s="6">
        <v>2040</v>
      </c>
      <c r="K1944" s="7">
        <f>(J1944-M1944)*税费参数!$B$12/(I1944*10000*(1+SUM(税费参数!$B$6:$B$8)))</f>
        <v>0.0163105049203634</v>
      </c>
      <c r="L1944" s="7">
        <f>J1944*税费参数!$B$12/(I1944*10000)</f>
        <v>0.0187155963302752</v>
      </c>
      <c r="M1944" s="6">
        <f>I1944*10000*SUM(税费参数!$B$9:$B$10)/税费参数!$B$11</f>
        <v>204.375</v>
      </c>
    </row>
    <row r="1945" ht="21" customHeight="1" spans="1:13">
      <c r="A1945" s="5" t="s">
        <v>16</v>
      </c>
      <c r="B1945" s="6" t="s">
        <v>122</v>
      </c>
      <c r="C1945" s="6" t="s">
        <v>152</v>
      </c>
      <c r="D1945" s="6" t="s">
        <v>153</v>
      </c>
      <c r="E1945" s="6" t="s">
        <v>1305</v>
      </c>
      <c r="F1945" s="6" t="s">
        <v>2020</v>
      </c>
      <c r="G1945" s="6">
        <v>50.45</v>
      </c>
      <c r="H1945" s="6">
        <v>47.53</v>
      </c>
      <c r="I1945" s="6">
        <v>109</v>
      </c>
      <c r="J1945" s="6">
        <v>2000</v>
      </c>
      <c r="K1945" s="7">
        <f>(J1945-M1945)*税费参数!$B$12/(I1945*10000*(1+SUM(税费参数!$B$6:$B$8)))</f>
        <v>0.0159550836350712</v>
      </c>
      <c r="L1945" s="7">
        <f>J1945*税费参数!$B$12/(I1945*10000)</f>
        <v>0.018348623853211</v>
      </c>
      <c r="M1945" s="6">
        <f>I1945*10000*SUM(税费参数!$B$9:$B$10)/税费参数!$B$11</f>
        <v>204.375</v>
      </c>
    </row>
    <row r="1946" ht="21" customHeight="1" spans="1:13">
      <c r="A1946" s="5" t="s">
        <v>16</v>
      </c>
      <c r="B1946" s="6" t="s">
        <v>122</v>
      </c>
      <c r="C1946" s="6" t="s">
        <v>152</v>
      </c>
      <c r="D1946" s="6" t="s">
        <v>153</v>
      </c>
      <c r="E1946" s="6" t="s">
        <v>1301</v>
      </c>
      <c r="F1946" s="6" t="s">
        <v>2003</v>
      </c>
      <c r="G1946" s="6">
        <v>50.44</v>
      </c>
      <c r="H1946" s="6">
        <v>48.47</v>
      </c>
      <c r="I1946" s="6">
        <v>109</v>
      </c>
      <c r="J1946" s="6">
        <v>2200</v>
      </c>
      <c r="K1946" s="7">
        <f>(J1946-M1946)*税费参数!$B$12/(I1946*10000*(1+SUM(税费参数!$B$6:$B$8)))</f>
        <v>0.0177321900615323</v>
      </c>
      <c r="L1946" s="7">
        <f>J1946*税费参数!$B$12/(I1946*10000)</f>
        <v>0.0201834862385321</v>
      </c>
      <c r="M1946" s="6">
        <f>I1946*10000*SUM(税费参数!$B$9:$B$10)/税费参数!$B$11</f>
        <v>204.375</v>
      </c>
    </row>
    <row r="1947" ht="21" customHeight="1" spans="1:13">
      <c r="A1947" s="5" t="s">
        <v>16</v>
      </c>
      <c r="B1947" s="6" t="s">
        <v>122</v>
      </c>
      <c r="C1947" s="6" t="s">
        <v>152</v>
      </c>
      <c r="D1947" s="6" t="s">
        <v>153</v>
      </c>
      <c r="E1947" s="6" t="s">
        <v>1301</v>
      </c>
      <c r="F1947" s="6" t="s">
        <v>2004</v>
      </c>
      <c r="G1947" s="6">
        <v>50.44</v>
      </c>
      <c r="H1947" s="6">
        <v>48.95</v>
      </c>
      <c r="I1947" s="6">
        <v>109</v>
      </c>
      <c r="J1947" s="6">
        <v>1800</v>
      </c>
      <c r="K1947" s="7">
        <f>(J1947-M1947)*税费参数!$B$12/(I1947*10000*(1+SUM(税费参数!$B$6:$B$8)))</f>
        <v>0.0141779772086101</v>
      </c>
      <c r="L1947" s="7">
        <f>J1947*税费参数!$B$12/(I1947*10000)</f>
        <v>0.0165137614678899</v>
      </c>
      <c r="M1947" s="6">
        <f>I1947*10000*SUM(税费参数!$B$9:$B$10)/税费参数!$B$11</f>
        <v>204.375</v>
      </c>
    </row>
    <row r="1948" ht="21" customHeight="1" spans="1:13">
      <c r="A1948" s="5" t="s">
        <v>16</v>
      </c>
      <c r="B1948" s="6" t="s">
        <v>122</v>
      </c>
      <c r="C1948" s="6" t="s">
        <v>152</v>
      </c>
      <c r="D1948" s="6" t="s">
        <v>153</v>
      </c>
      <c r="E1948" s="6" t="s">
        <v>1301</v>
      </c>
      <c r="F1948" s="6" t="s">
        <v>2005</v>
      </c>
      <c r="G1948" s="6">
        <v>50.44</v>
      </c>
      <c r="H1948" s="6">
        <v>50.29</v>
      </c>
      <c r="I1948" s="6">
        <v>109</v>
      </c>
      <c r="J1948" s="6">
        <v>1900</v>
      </c>
      <c r="K1948" s="7">
        <f>(J1948-M1948)*税费参数!$B$12/(I1948*10000*(1+SUM(税费参数!$B$6:$B$8)))</f>
        <v>0.0150665304218406</v>
      </c>
      <c r="L1948" s="7">
        <f>J1948*税费参数!$B$12/(I1948*10000)</f>
        <v>0.0174311926605505</v>
      </c>
      <c r="M1948" s="6">
        <f>I1948*10000*SUM(税费参数!$B$9:$B$10)/税费参数!$B$11</f>
        <v>204.375</v>
      </c>
    </row>
    <row r="1949" ht="21" customHeight="1" spans="1:13">
      <c r="A1949" s="5" t="s">
        <v>16</v>
      </c>
      <c r="B1949" s="6" t="s">
        <v>122</v>
      </c>
      <c r="C1949" s="6" t="s">
        <v>152</v>
      </c>
      <c r="D1949" s="6" t="s">
        <v>153</v>
      </c>
      <c r="E1949" s="6" t="s">
        <v>1301</v>
      </c>
      <c r="F1949" s="6" t="s">
        <v>2006</v>
      </c>
      <c r="G1949" s="6">
        <v>50.44</v>
      </c>
      <c r="H1949" s="6">
        <v>47.92</v>
      </c>
      <c r="I1949" s="6">
        <v>109</v>
      </c>
      <c r="J1949" s="6">
        <v>2000</v>
      </c>
      <c r="K1949" s="7">
        <f>(J1949-M1949)*税费参数!$B$12/(I1949*10000*(1+SUM(税费参数!$B$6:$B$8)))</f>
        <v>0.0159550836350712</v>
      </c>
      <c r="L1949" s="7">
        <f>J1949*税费参数!$B$12/(I1949*10000)</f>
        <v>0.018348623853211</v>
      </c>
      <c r="M1949" s="6">
        <f>I1949*10000*SUM(税费参数!$B$9:$B$10)/税费参数!$B$11</f>
        <v>204.375</v>
      </c>
    </row>
    <row r="1950" ht="21" customHeight="1" spans="1:13">
      <c r="A1950" s="5" t="s">
        <v>16</v>
      </c>
      <c r="B1950" s="6" t="s">
        <v>122</v>
      </c>
      <c r="C1950" s="6" t="s">
        <v>152</v>
      </c>
      <c r="D1950" s="6" t="s">
        <v>153</v>
      </c>
      <c r="E1950" s="6" t="s">
        <v>1301</v>
      </c>
      <c r="F1950" s="6" t="s">
        <v>2007</v>
      </c>
      <c r="G1950" s="6">
        <v>50.44</v>
      </c>
      <c r="H1950" s="6">
        <v>47.53</v>
      </c>
      <c r="I1950" s="6">
        <v>109</v>
      </c>
      <c r="J1950" s="6">
        <v>1850</v>
      </c>
      <c r="K1950" s="7">
        <f>(J1950-M1950)*税费参数!$B$12/(I1950*10000*(1+SUM(税费参数!$B$6:$B$8)))</f>
        <v>0.0146222538152254</v>
      </c>
      <c r="L1950" s="7">
        <f>J1950*税费参数!$B$12/(I1950*10000)</f>
        <v>0.0169724770642202</v>
      </c>
      <c r="M1950" s="6">
        <f>I1950*10000*SUM(税费参数!$B$9:$B$10)/税费参数!$B$11</f>
        <v>204.375</v>
      </c>
    </row>
    <row r="1951" ht="21" customHeight="1" spans="1:13">
      <c r="A1951" s="5" t="s">
        <v>16</v>
      </c>
      <c r="B1951" s="6" t="s">
        <v>122</v>
      </c>
      <c r="C1951" s="6" t="s">
        <v>152</v>
      </c>
      <c r="D1951" s="6" t="s">
        <v>153</v>
      </c>
      <c r="E1951" s="6" t="s">
        <v>1301</v>
      </c>
      <c r="F1951" s="6" t="s">
        <v>2008</v>
      </c>
      <c r="G1951" s="6">
        <v>50.44</v>
      </c>
      <c r="H1951" s="6">
        <v>45.16</v>
      </c>
      <c r="I1951" s="6">
        <v>109</v>
      </c>
      <c r="J1951" s="6">
        <v>2000</v>
      </c>
      <c r="K1951" s="7">
        <f>(J1951-M1951)*税费参数!$B$12/(I1951*10000*(1+SUM(税费参数!$B$6:$B$8)))</f>
        <v>0.0159550836350712</v>
      </c>
      <c r="L1951" s="7">
        <f>J1951*税费参数!$B$12/(I1951*10000)</f>
        <v>0.018348623853211</v>
      </c>
      <c r="M1951" s="6">
        <f>I1951*10000*SUM(税费参数!$B$9:$B$10)/税费参数!$B$11</f>
        <v>204.375</v>
      </c>
    </row>
    <row r="1952" ht="21" customHeight="1" spans="1:13">
      <c r="A1952" s="5" t="s">
        <v>16</v>
      </c>
      <c r="B1952" s="6" t="s">
        <v>122</v>
      </c>
      <c r="C1952" s="6" t="s">
        <v>152</v>
      </c>
      <c r="D1952" s="6" t="s">
        <v>153</v>
      </c>
      <c r="E1952" s="6" t="s">
        <v>1301</v>
      </c>
      <c r="F1952" s="6" t="s">
        <v>2009</v>
      </c>
      <c r="G1952" s="6">
        <v>50.44</v>
      </c>
      <c r="H1952" s="6">
        <v>51.15</v>
      </c>
      <c r="I1952" s="6">
        <v>109</v>
      </c>
      <c r="J1952" s="6">
        <v>1950</v>
      </c>
      <c r="K1952" s="7">
        <f>(J1952-M1952)*税费参数!$B$12/(I1952*10000*(1+SUM(税费参数!$B$6:$B$8)))</f>
        <v>0.0155108070284559</v>
      </c>
      <c r="L1952" s="7">
        <f>J1952*税费参数!$B$12/(I1952*10000)</f>
        <v>0.0178899082568807</v>
      </c>
      <c r="M1952" s="6">
        <f>I1952*10000*SUM(税费参数!$B$9:$B$10)/税费参数!$B$11</f>
        <v>204.375</v>
      </c>
    </row>
    <row r="1953" ht="21" customHeight="1" spans="1:13">
      <c r="A1953" s="5" t="s">
        <v>16</v>
      </c>
      <c r="B1953" s="6" t="s">
        <v>122</v>
      </c>
      <c r="C1953" s="6" t="s">
        <v>152</v>
      </c>
      <c r="D1953" s="6" t="s">
        <v>153</v>
      </c>
      <c r="E1953" s="6" t="s">
        <v>1301</v>
      </c>
      <c r="F1953" s="6" t="s">
        <v>2010</v>
      </c>
      <c r="G1953" s="6">
        <v>50.44</v>
      </c>
      <c r="H1953" s="6">
        <v>48.83</v>
      </c>
      <c r="I1953" s="6">
        <v>109</v>
      </c>
      <c r="J1953" s="6">
        <v>2400</v>
      </c>
      <c r="K1953" s="7">
        <f>(J1953-M1953)*税费参数!$B$12/(I1953*10000*(1+SUM(税费参数!$B$6:$B$8)))</f>
        <v>0.0195092964879934</v>
      </c>
      <c r="L1953" s="7">
        <f>J1953*税费参数!$B$12/(I1953*10000)</f>
        <v>0.0220183486238532</v>
      </c>
      <c r="M1953" s="6">
        <f>I1953*10000*SUM(税费参数!$B$9:$B$10)/税费参数!$B$11</f>
        <v>204.375</v>
      </c>
    </row>
    <row r="1954" ht="21" customHeight="1" spans="1:13">
      <c r="A1954" s="5" t="s">
        <v>16</v>
      </c>
      <c r="B1954" s="6" t="s">
        <v>122</v>
      </c>
      <c r="C1954" s="6" t="s">
        <v>152</v>
      </c>
      <c r="D1954" s="6" t="s">
        <v>153</v>
      </c>
      <c r="E1954" s="6" t="s">
        <v>1301</v>
      </c>
      <c r="F1954" s="6" t="s">
        <v>2011</v>
      </c>
      <c r="G1954" s="6">
        <v>50.44</v>
      </c>
      <c r="H1954" s="6">
        <v>48.47</v>
      </c>
      <c r="I1954" s="6">
        <v>109</v>
      </c>
      <c r="J1954" s="6">
        <v>2100</v>
      </c>
      <c r="K1954" s="7">
        <f>(J1954-M1954)*税费参数!$B$12/(I1954*10000*(1+SUM(税费参数!$B$6:$B$8)))</f>
        <v>0.0168436368483018</v>
      </c>
      <c r="L1954" s="7">
        <f>J1954*税费参数!$B$12/(I1954*10000)</f>
        <v>0.0192660550458716</v>
      </c>
      <c r="M1954" s="6">
        <f>I1954*10000*SUM(税费参数!$B$9:$B$10)/税费参数!$B$11</f>
        <v>204.375</v>
      </c>
    </row>
    <row r="1955" ht="21" customHeight="1" spans="1:13">
      <c r="A1955" s="5" t="s">
        <v>16</v>
      </c>
      <c r="B1955" s="6" t="s">
        <v>122</v>
      </c>
      <c r="C1955" s="6" t="s">
        <v>152</v>
      </c>
      <c r="D1955" s="6" t="s">
        <v>153</v>
      </c>
      <c r="E1955" s="6" t="s">
        <v>1301</v>
      </c>
      <c r="F1955" s="6" t="s">
        <v>2012</v>
      </c>
      <c r="G1955" s="6">
        <v>50.44</v>
      </c>
      <c r="H1955" s="6">
        <v>48.86</v>
      </c>
      <c r="I1955" s="6">
        <v>109</v>
      </c>
      <c r="J1955" s="6">
        <v>3300</v>
      </c>
      <c r="K1955" s="7">
        <f>(J1955-M1955)*税费参数!$B$12/(I1955*10000*(1+SUM(税费参数!$B$6:$B$8)))</f>
        <v>0.0275062754070684</v>
      </c>
      <c r="L1955" s="7">
        <f>J1955*税费参数!$B$12/(I1955*10000)</f>
        <v>0.0302752293577982</v>
      </c>
      <c r="M1955" s="6">
        <f>I1955*10000*SUM(税费参数!$B$9:$B$10)/税费参数!$B$11</f>
        <v>204.375</v>
      </c>
    </row>
    <row r="1956" ht="21" customHeight="1" spans="1:13">
      <c r="A1956" s="5" t="s">
        <v>16</v>
      </c>
      <c r="B1956" s="6" t="s">
        <v>122</v>
      </c>
      <c r="C1956" s="6" t="s">
        <v>152</v>
      </c>
      <c r="D1956" s="6" t="s">
        <v>153</v>
      </c>
      <c r="E1956" s="6" t="s">
        <v>1301</v>
      </c>
      <c r="F1956" s="6" t="s">
        <v>2013</v>
      </c>
      <c r="G1956" s="6">
        <v>50.44</v>
      </c>
      <c r="H1956" s="6">
        <v>49.96</v>
      </c>
      <c r="I1956" s="6">
        <v>109</v>
      </c>
      <c r="J1956" s="6">
        <v>2500</v>
      </c>
      <c r="K1956" s="7">
        <f>(J1956-M1956)*税费参数!$B$12/(I1956*10000*(1+SUM(税费参数!$B$6:$B$8)))</f>
        <v>0.020397849701224</v>
      </c>
      <c r="L1956" s="7">
        <f>J1956*税费参数!$B$12/(I1956*10000)</f>
        <v>0.0229357798165138</v>
      </c>
      <c r="M1956" s="6">
        <f>I1956*10000*SUM(税费参数!$B$9:$B$10)/税费参数!$B$11</f>
        <v>204.375</v>
      </c>
    </row>
    <row r="1957" ht="21" customHeight="1" spans="1:13">
      <c r="A1957" s="5" t="s">
        <v>16</v>
      </c>
      <c r="B1957" s="6" t="s">
        <v>122</v>
      </c>
      <c r="C1957" s="6" t="s">
        <v>152</v>
      </c>
      <c r="D1957" s="6" t="s">
        <v>153</v>
      </c>
      <c r="E1957" s="6" t="s">
        <v>1301</v>
      </c>
      <c r="F1957" s="6" t="s">
        <v>2014</v>
      </c>
      <c r="G1957" s="6">
        <v>50.44</v>
      </c>
      <c r="H1957" s="6">
        <v>50.02</v>
      </c>
      <c r="I1957" s="6">
        <v>109</v>
      </c>
      <c r="J1957" s="6">
        <v>2700</v>
      </c>
      <c r="K1957" s="7">
        <f>(J1957-M1957)*税费参数!$B$12/(I1957*10000*(1+SUM(税费参数!$B$6:$B$8)))</f>
        <v>0.0221749561276851</v>
      </c>
      <c r="L1957" s="7">
        <f>J1957*税费参数!$B$12/(I1957*10000)</f>
        <v>0.0247706422018349</v>
      </c>
      <c r="M1957" s="6">
        <f>I1957*10000*SUM(税费参数!$B$9:$B$10)/税费参数!$B$11</f>
        <v>204.375</v>
      </c>
    </row>
    <row r="1958" ht="21" customHeight="1" spans="1:13">
      <c r="A1958" s="5" t="s">
        <v>16</v>
      </c>
      <c r="B1958" s="6" t="s">
        <v>122</v>
      </c>
      <c r="C1958" s="6" t="s">
        <v>152</v>
      </c>
      <c r="D1958" s="6" t="s">
        <v>153</v>
      </c>
      <c r="E1958" s="6" t="s">
        <v>1301</v>
      </c>
      <c r="F1958" s="6" t="s">
        <v>2015</v>
      </c>
      <c r="G1958" s="6">
        <v>50.44</v>
      </c>
      <c r="H1958" s="6">
        <v>50.21</v>
      </c>
      <c r="I1958" s="6">
        <v>109</v>
      </c>
      <c r="J1958" s="6">
        <v>2200</v>
      </c>
      <c r="K1958" s="7">
        <f>(J1958-M1958)*税费参数!$B$12/(I1958*10000*(1+SUM(税费参数!$B$6:$B$8)))</f>
        <v>0.0177321900615323</v>
      </c>
      <c r="L1958" s="7">
        <f>J1958*税费参数!$B$12/(I1958*10000)</f>
        <v>0.0201834862385321</v>
      </c>
      <c r="M1958" s="6">
        <f>I1958*10000*SUM(税费参数!$B$9:$B$10)/税费参数!$B$11</f>
        <v>204.375</v>
      </c>
    </row>
    <row r="1959" ht="21" customHeight="1" spans="1:13">
      <c r="A1959" s="5" t="s">
        <v>16</v>
      </c>
      <c r="B1959" s="6" t="s">
        <v>122</v>
      </c>
      <c r="C1959" s="6" t="s">
        <v>152</v>
      </c>
      <c r="D1959" s="6" t="s">
        <v>153</v>
      </c>
      <c r="E1959" s="6" t="s">
        <v>1301</v>
      </c>
      <c r="F1959" s="6" t="s">
        <v>2016</v>
      </c>
      <c r="G1959" s="6">
        <v>50.44</v>
      </c>
      <c r="H1959" s="6">
        <v>47.84</v>
      </c>
      <c r="I1959" s="6">
        <v>109</v>
      </c>
      <c r="J1959" s="6">
        <v>2000</v>
      </c>
      <c r="K1959" s="7">
        <f>(J1959-M1959)*税费参数!$B$12/(I1959*10000*(1+SUM(税费参数!$B$6:$B$8)))</f>
        <v>0.0159550836350712</v>
      </c>
      <c r="L1959" s="7">
        <f>J1959*税费参数!$B$12/(I1959*10000)</f>
        <v>0.018348623853211</v>
      </c>
      <c r="M1959" s="6">
        <f>I1959*10000*SUM(税费参数!$B$9:$B$10)/税费参数!$B$11</f>
        <v>204.375</v>
      </c>
    </row>
    <row r="1960" ht="21" customHeight="1" spans="1:13">
      <c r="A1960" s="5" t="s">
        <v>16</v>
      </c>
      <c r="B1960" s="6" t="s">
        <v>122</v>
      </c>
      <c r="C1960" s="6" t="s">
        <v>152</v>
      </c>
      <c r="D1960" s="6" t="s">
        <v>153</v>
      </c>
      <c r="E1960" s="6" t="s">
        <v>1301</v>
      </c>
      <c r="F1960" s="6" t="s">
        <v>2017</v>
      </c>
      <c r="G1960" s="6">
        <v>50.44</v>
      </c>
      <c r="H1960" s="6">
        <v>49.67</v>
      </c>
      <c r="I1960" s="6">
        <v>109</v>
      </c>
      <c r="J1960" s="6">
        <v>2100</v>
      </c>
      <c r="K1960" s="7">
        <f>(J1960-M1960)*税费参数!$B$12/(I1960*10000*(1+SUM(税费参数!$B$6:$B$8)))</f>
        <v>0.0168436368483018</v>
      </c>
      <c r="L1960" s="7">
        <f>J1960*税费参数!$B$12/(I1960*10000)</f>
        <v>0.0192660550458716</v>
      </c>
      <c r="M1960" s="6">
        <f>I1960*10000*SUM(税费参数!$B$9:$B$10)/税费参数!$B$11</f>
        <v>204.375</v>
      </c>
    </row>
    <row r="1961" ht="21" customHeight="1" spans="1:13">
      <c r="A1961" s="5" t="s">
        <v>16</v>
      </c>
      <c r="B1961" s="6" t="s">
        <v>122</v>
      </c>
      <c r="C1961" s="6" t="s">
        <v>152</v>
      </c>
      <c r="D1961" s="6" t="s">
        <v>153</v>
      </c>
      <c r="E1961" s="6" t="s">
        <v>1301</v>
      </c>
      <c r="F1961" s="6" t="s">
        <v>2018</v>
      </c>
      <c r="G1961" s="6">
        <v>50.44</v>
      </c>
      <c r="H1961" s="6">
        <v>49.24</v>
      </c>
      <c r="I1961" s="6">
        <v>109</v>
      </c>
      <c r="J1961" s="6">
        <v>2300</v>
      </c>
      <c r="K1961" s="7">
        <f>(J1961-M1961)*税费参数!$B$12/(I1961*10000*(1+SUM(税费参数!$B$6:$B$8)))</f>
        <v>0.0186207432747629</v>
      </c>
      <c r="L1961" s="7">
        <f>J1961*税费参数!$B$12/(I1961*10000)</f>
        <v>0.0211009174311927</v>
      </c>
      <c r="M1961" s="6">
        <f>I1961*10000*SUM(税费参数!$B$9:$B$10)/税费参数!$B$11</f>
        <v>204.375</v>
      </c>
    </row>
    <row r="1962" ht="21" customHeight="1" spans="1:13">
      <c r="A1962" s="5" t="s">
        <v>16</v>
      </c>
      <c r="B1962" s="6" t="s">
        <v>122</v>
      </c>
      <c r="C1962" s="6" t="s">
        <v>152</v>
      </c>
      <c r="D1962" s="6" t="s">
        <v>153</v>
      </c>
      <c r="E1962" s="6" t="s">
        <v>1301</v>
      </c>
      <c r="F1962" s="6" t="s">
        <v>2019</v>
      </c>
      <c r="G1962" s="6">
        <v>50.44</v>
      </c>
      <c r="H1962" s="6">
        <v>47.53</v>
      </c>
      <c r="I1962" s="6">
        <v>109</v>
      </c>
      <c r="J1962" s="6">
        <v>2040</v>
      </c>
      <c r="K1962" s="7">
        <f>(J1962-M1962)*税费参数!$B$12/(I1962*10000*(1+SUM(税费参数!$B$6:$B$8)))</f>
        <v>0.0163105049203634</v>
      </c>
      <c r="L1962" s="7">
        <f>J1962*税费参数!$B$12/(I1962*10000)</f>
        <v>0.0187155963302752</v>
      </c>
      <c r="M1962" s="6">
        <f>I1962*10000*SUM(税费参数!$B$9:$B$10)/税费参数!$B$11</f>
        <v>204.375</v>
      </c>
    </row>
    <row r="1963" ht="21" customHeight="1" spans="1:13">
      <c r="A1963" s="5" t="s">
        <v>16</v>
      </c>
      <c r="B1963" s="6" t="s">
        <v>122</v>
      </c>
      <c r="C1963" s="6" t="s">
        <v>152</v>
      </c>
      <c r="D1963" s="6" t="s">
        <v>153</v>
      </c>
      <c r="E1963" s="6" t="s">
        <v>1301</v>
      </c>
      <c r="F1963" s="6" t="s">
        <v>2020</v>
      </c>
      <c r="G1963" s="6">
        <v>50.44</v>
      </c>
      <c r="H1963" s="6">
        <v>47.53</v>
      </c>
      <c r="I1963" s="6">
        <v>109</v>
      </c>
      <c r="J1963" s="6">
        <v>2000</v>
      </c>
      <c r="K1963" s="7">
        <f>(J1963-M1963)*税费参数!$B$12/(I1963*10000*(1+SUM(税费参数!$B$6:$B$8)))</f>
        <v>0.0159550836350712</v>
      </c>
      <c r="L1963" s="7">
        <f>J1963*税费参数!$B$12/(I1963*10000)</f>
        <v>0.018348623853211</v>
      </c>
      <c r="M1963" s="6">
        <f>I1963*10000*SUM(税费参数!$B$9:$B$10)/税费参数!$B$11</f>
        <v>204.375</v>
      </c>
    </row>
    <row r="1964" ht="21" customHeight="1" spans="1:13">
      <c r="A1964" s="5" t="s">
        <v>16</v>
      </c>
      <c r="B1964" s="6" t="s">
        <v>122</v>
      </c>
      <c r="C1964" s="6" t="s">
        <v>152</v>
      </c>
      <c r="D1964" s="6" t="s">
        <v>153</v>
      </c>
      <c r="E1964" s="6" t="s">
        <v>1333</v>
      </c>
      <c r="F1964" s="6" t="s">
        <v>2003</v>
      </c>
      <c r="G1964" s="6">
        <v>49.97</v>
      </c>
      <c r="H1964" s="6">
        <v>48.47</v>
      </c>
      <c r="I1964" s="6">
        <v>109</v>
      </c>
      <c r="J1964" s="6">
        <v>2200</v>
      </c>
      <c r="K1964" s="7">
        <f>(J1964-M1964)*税费参数!$B$12/(I1964*10000*(1+SUM(税费参数!$B$6:$B$8)))</f>
        <v>0.0177321900615323</v>
      </c>
      <c r="L1964" s="7">
        <f>J1964*税费参数!$B$12/(I1964*10000)</f>
        <v>0.0201834862385321</v>
      </c>
      <c r="M1964" s="6">
        <f>I1964*10000*SUM(税费参数!$B$9:$B$10)/税费参数!$B$11</f>
        <v>204.375</v>
      </c>
    </row>
    <row r="1965" ht="21" customHeight="1" spans="1:13">
      <c r="A1965" s="5" t="s">
        <v>16</v>
      </c>
      <c r="B1965" s="6" t="s">
        <v>122</v>
      </c>
      <c r="C1965" s="6" t="s">
        <v>152</v>
      </c>
      <c r="D1965" s="6" t="s">
        <v>153</v>
      </c>
      <c r="E1965" s="6" t="s">
        <v>1333</v>
      </c>
      <c r="F1965" s="6" t="s">
        <v>2004</v>
      </c>
      <c r="G1965" s="6">
        <v>49.97</v>
      </c>
      <c r="H1965" s="6">
        <v>48.95</v>
      </c>
      <c r="I1965" s="6">
        <v>109</v>
      </c>
      <c r="J1965" s="6">
        <v>1800</v>
      </c>
      <c r="K1965" s="7">
        <f>(J1965-M1965)*税费参数!$B$12/(I1965*10000*(1+SUM(税费参数!$B$6:$B$8)))</f>
        <v>0.0141779772086101</v>
      </c>
      <c r="L1965" s="7">
        <f>J1965*税费参数!$B$12/(I1965*10000)</f>
        <v>0.0165137614678899</v>
      </c>
      <c r="M1965" s="6">
        <f>I1965*10000*SUM(税费参数!$B$9:$B$10)/税费参数!$B$11</f>
        <v>204.375</v>
      </c>
    </row>
    <row r="1966" ht="21" customHeight="1" spans="1:13">
      <c r="A1966" s="5" t="s">
        <v>16</v>
      </c>
      <c r="B1966" s="6" t="s">
        <v>122</v>
      </c>
      <c r="C1966" s="6" t="s">
        <v>152</v>
      </c>
      <c r="D1966" s="6" t="s">
        <v>153</v>
      </c>
      <c r="E1966" s="6" t="s">
        <v>1333</v>
      </c>
      <c r="F1966" s="6" t="s">
        <v>2005</v>
      </c>
      <c r="G1966" s="6">
        <v>49.97</v>
      </c>
      <c r="H1966" s="6">
        <v>50.29</v>
      </c>
      <c r="I1966" s="6">
        <v>109</v>
      </c>
      <c r="J1966" s="6">
        <v>1900</v>
      </c>
      <c r="K1966" s="7">
        <f>(J1966-M1966)*税费参数!$B$12/(I1966*10000*(1+SUM(税费参数!$B$6:$B$8)))</f>
        <v>0.0150665304218406</v>
      </c>
      <c r="L1966" s="7">
        <f>J1966*税费参数!$B$12/(I1966*10000)</f>
        <v>0.0174311926605505</v>
      </c>
      <c r="M1966" s="6">
        <f>I1966*10000*SUM(税费参数!$B$9:$B$10)/税费参数!$B$11</f>
        <v>204.375</v>
      </c>
    </row>
    <row r="1967" ht="21" customHeight="1" spans="1:13">
      <c r="A1967" s="5" t="s">
        <v>16</v>
      </c>
      <c r="B1967" s="6" t="s">
        <v>122</v>
      </c>
      <c r="C1967" s="6" t="s">
        <v>152</v>
      </c>
      <c r="D1967" s="6" t="s">
        <v>153</v>
      </c>
      <c r="E1967" s="6" t="s">
        <v>1333</v>
      </c>
      <c r="F1967" s="6" t="s">
        <v>2006</v>
      </c>
      <c r="G1967" s="6">
        <v>49.97</v>
      </c>
      <c r="H1967" s="6">
        <v>47.92</v>
      </c>
      <c r="I1967" s="6">
        <v>109</v>
      </c>
      <c r="J1967" s="6">
        <v>2000</v>
      </c>
      <c r="K1967" s="7">
        <f>(J1967-M1967)*税费参数!$B$12/(I1967*10000*(1+SUM(税费参数!$B$6:$B$8)))</f>
        <v>0.0159550836350712</v>
      </c>
      <c r="L1967" s="7">
        <f>J1967*税费参数!$B$12/(I1967*10000)</f>
        <v>0.018348623853211</v>
      </c>
      <c r="M1967" s="6">
        <f>I1967*10000*SUM(税费参数!$B$9:$B$10)/税费参数!$B$11</f>
        <v>204.375</v>
      </c>
    </row>
    <row r="1968" ht="21" customHeight="1" spans="1:13">
      <c r="A1968" s="5" t="s">
        <v>16</v>
      </c>
      <c r="B1968" s="6" t="s">
        <v>122</v>
      </c>
      <c r="C1968" s="6" t="s">
        <v>152</v>
      </c>
      <c r="D1968" s="6" t="s">
        <v>153</v>
      </c>
      <c r="E1968" s="6" t="s">
        <v>1333</v>
      </c>
      <c r="F1968" s="6" t="s">
        <v>2007</v>
      </c>
      <c r="G1968" s="6">
        <v>49.97</v>
      </c>
      <c r="H1968" s="6">
        <v>47.53</v>
      </c>
      <c r="I1968" s="6">
        <v>109</v>
      </c>
      <c r="J1968" s="6">
        <v>1850</v>
      </c>
      <c r="K1968" s="7">
        <f>(J1968-M1968)*税费参数!$B$12/(I1968*10000*(1+SUM(税费参数!$B$6:$B$8)))</f>
        <v>0.0146222538152254</v>
      </c>
      <c r="L1968" s="7">
        <f>J1968*税费参数!$B$12/(I1968*10000)</f>
        <v>0.0169724770642202</v>
      </c>
      <c r="M1968" s="6">
        <f>I1968*10000*SUM(税费参数!$B$9:$B$10)/税费参数!$B$11</f>
        <v>204.375</v>
      </c>
    </row>
    <row r="1969" ht="21" customHeight="1" spans="1:13">
      <c r="A1969" s="5" t="s">
        <v>16</v>
      </c>
      <c r="B1969" s="6" t="s">
        <v>122</v>
      </c>
      <c r="C1969" s="6" t="s">
        <v>152</v>
      </c>
      <c r="D1969" s="6" t="s">
        <v>153</v>
      </c>
      <c r="E1969" s="6" t="s">
        <v>1333</v>
      </c>
      <c r="F1969" s="6" t="s">
        <v>2008</v>
      </c>
      <c r="G1969" s="6">
        <v>49.97</v>
      </c>
      <c r="H1969" s="6">
        <v>45.16</v>
      </c>
      <c r="I1969" s="6">
        <v>109</v>
      </c>
      <c r="J1969" s="6">
        <v>2000</v>
      </c>
      <c r="K1969" s="7">
        <f>(J1969-M1969)*税费参数!$B$12/(I1969*10000*(1+SUM(税费参数!$B$6:$B$8)))</f>
        <v>0.0159550836350712</v>
      </c>
      <c r="L1969" s="7">
        <f>J1969*税费参数!$B$12/(I1969*10000)</f>
        <v>0.018348623853211</v>
      </c>
      <c r="M1969" s="6">
        <f>I1969*10000*SUM(税费参数!$B$9:$B$10)/税费参数!$B$11</f>
        <v>204.375</v>
      </c>
    </row>
    <row r="1970" ht="21" customHeight="1" spans="1:13">
      <c r="A1970" s="5" t="s">
        <v>16</v>
      </c>
      <c r="B1970" s="6" t="s">
        <v>122</v>
      </c>
      <c r="C1970" s="6" t="s">
        <v>152</v>
      </c>
      <c r="D1970" s="6" t="s">
        <v>153</v>
      </c>
      <c r="E1970" s="6" t="s">
        <v>1333</v>
      </c>
      <c r="F1970" s="6" t="s">
        <v>2009</v>
      </c>
      <c r="G1970" s="6">
        <v>49.97</v>
      </c>
      <c r="H1970" s="6">
        <v>51.15</v>
      </c>
      <c r="I1970" s="6">
        <v>109</v>
      </c>
      <c r="J1970" s="6">
        <v>1950</v>
      </c>
      <c r="K1970" s="7">
        <f>(J1970-M1970)*税费参数!$B$12/(I1970*10000*(1+SUM(税费参数!$B$6:$B$8)))</f>
        <v>0.0155108070284559</v>
      </c>
      <c r="L1970" s="7">
        <f>J1970*税费参数!$B$12/(I1970*10000)</f>
        <v>0.0178899082568807</v>
      </c>
      <c r="M1970" s="6">
        <f>I1970*10000*SUM(税费参数!$B$9:$B$10)/税费参数!$B$11</f>
        <v>204.375</v>
      </c>
    </row>
    <row r="1971" ht="21" customHeight="1" spans="1:13">
      <c r="A1971" s="5" t="s">
        <v>16</v>
      </c>
      <c r="B1971" s="6" t="s">
        <v>122</v>
      </c>
      <c r="C1971" s="6" t="s">
        <v>152</v>
      </c>
      <c r="D1971" s="6" t="s">
        <v>153</v>
      </c>
      <c r="E1971" s="6" t="s">
        <v>1333</v>
      </c>
      <c r="F1971" s="6" t="s">
        <v>2010</v>
      </c>
      <c r="G1971" s="6">
        <v>49.97</v>
      </c>
      <c r="H1971" s="6">
        <v>48.83</v>
      </c>
      <c r="I1971" s="6">
        <v>109</v>
      </c>
      <c r="J1971" s="6">
        <v>2400</v>
      </c>
      <c r="K1971" s="7">
        <f>(J1971-M1971)*税费参数!$B$12/(I1971*10000*(1+SUM(税费参数!$B$6:$B$8)))</f>
        <v>0.0195092964879934</v>
      </c>
      <c r="L1971" s="7">
        <f>J1971*税费参数!$B$12/(I1971*10000)</f>
        <v>0.0220183486238532</v>
      </c>
      <c r="M1971" s="6">
        <f>I1971*10000*SUM(税费参数!$B$9:$B$10)/税费参数!$B$11</f>
        <v>204.375</v>
      </c>
    </row>
    <row r="1972" ht="21" customHeight="1" spans="1:13">
      <c r="A1972" s="5" t="s">
        <v>16</v>
      </c>
      <c r="B1972" s="6" t="s">
        <v>122</v>
      </c>
      <c r="C1972" s="6" t="s">
        <v>152</v>
      </c>
      <c r="D1972" s="6" t="s">
        <v>153</v>
      </c>
      <c r="E1972" s="6" t="s">
        <v>1333</v>
      </c>
      <c r="F1972" s="6" t="s">
        <v>2011</v>
      </c>
      <c r="G1972" s="6">
        <v>49.97</v>
      </c>
      <c r="H1972" s="6">
        <v>48.47</v>
      </c>
      <c r="I1972" s="6">
        <v>109</v>
      </c>
      <c r="J1972" s="6">
        <v>2100</v>
      </c>
      <c r="K1972" s="7">
        <f>(J1972-M1972)*税费参数!$B$12/(I1972*10000*(1+SUM(税费参数!$B$6:$B$8)))</f>
        <v>0.0168436368483018</v>
      </c>
      <c r="L1972" s="7">
        <f>J1972*税费参数!$B$12/(I1972*10000)</f>
        <v>0.0192660550458716</v>
      </c>
      <c r="M1972" s="6">
        <f>I1972*10000*SUM(税费参数!$B$9:$B$10)/税费参数!$B$11</f>
        <v>204.375</v>
      </c>
    </row>
    <row r="1973" ht="21" customHeight="1" spans="1:13">
      <c r="A1973" s="5" t="s">
        <v>16</v>
      </c>
      <c r="B1973" s="6" t="s">
        <v>122</v>
      </c>
      <c r="C1973" s="6" t="s">
        <v>152</v>
      </c>
      <c r="D1973" s="6" t="s">
        <v>153</v>
      </c>
      <c r="E1973" s="6" t="s">
        <v>1333</v>
      </c>
      <c r="F1973" s="6" t="s">
        <v>2012</v>
      </c>
      <c r="G1973" s="6">
        <v>49.97</v>
      </c>
      <c r="H1973" s="6">
        <v>48.86</v>
      </c>
      <c r="I1973" s="6">
        <v>109</v>
      </c>
      <c r="J1973" s="6">
        <v>3300</v>
      </c>
      <c r="K1973" s="7">
        <f>(J1973-M1973)*税费参数!$B$12/(I1973*10000*(1+SUM(税费参数!$B$6:$B$8)))</f>
        <v>0.0275062754070684</v>
      </c>
      <c r="L1973" s="7">
        <f>J1973*税费参数!$B$12/(I1973*10000)</f>
        <v>0.0302752293577982</v>
      </c>
      <c r="M1973" s="6">
        <f>I1973*10000*SUM(税费参数!$B$9:$B$10)/税费参数!$B$11</f>
        <v>204.375</v>
      </c>
    </row>
    <row r="1974" ht="21" customHeight="1" spans="1:13">
      <c r="A1974" s="5" t="s">
        <v>16</v>
      </c>
      <c r="B1974" s="6" t="s">
        <v>122</v>
      </c>
      <c r="C1974" s="6" t="s">
        <v>152</v>
      </c>
      <c r="D1974" s="6" t="s">
        <v>153</v>
      </c>
      <c r="E1974" s="6" t="s">
        <v>1333</v>
      </c>
      <c r="F1974" s="6" t="s">
        <v>2013</v>
      </c>
      <c r="G1974" s="6">
        <v>49.97</v>
      </c>
      <c r="H1974" s="6">
        <v>49.96</v>
      </c>
      <c r="I1974" s="6">
        <v>109</v>
      </c>
      <c r="J1974" s="6">
        <v>2500</v>
      </c>
      <c r="K1974" s="7">
        <f>(J1974-M1974)*税费参数!$B$12/(I1974*10000*(1+SUM(税费参数!$B$6:$B$8)))</f>
        <v>0.020397849701224</v>
      </c>
      <c r="L1974" s="7">
        <f>J1974*税费参数!$B$12/(I1974*10000)</f>
        <v>0.0229357798165138</v>
      </c>
      <c r="M1974" s="6">
        <f>I1974*10000*SUM(税费参数!$B$9:$B$10)/税费参数!$B$11</f>
        <v>204.375</v>
      </c>
    </row>
    <row r="1975" ht="21" customHeight="1" spans="1:13">
      <c r="A1975" s="5" t="s">
        <v>16</v>
      </c>
      <c r="B1975" s="6" t="s">
        <v>122</v>
      </c>
      <c r="C1975" s="6" t="s">
        <v>152</v>
      </c>
      <c r="D1975" s="6" t="s">
        <v>153</v>
      </c>
      <c r="E1975" s="6" t="s">
        <v>1333</v>
      </c>
      <c r="F1975" s="6" t="s">
        <v>2014</v>
      </c>
      <c r="G1975" s="6">
        <v>49.97</v>
      </c>
      <c r="H1975" s="6">
        <v>50.02</v>
      </c>
      <c r="I1975" s="6">
        <v>109</v>
      </c>
      <c r="J1975" s="6">
        <v>2700</v>
      </c>
      <c r="K1975" s="7">
        <f>(J1975-M1975)*税费参数!$B$12/(I1975*10000*(1+SUM(税费参数!$B$6:$B$8)))</f>
        <v>0.0221749561276851</v>
      </c>
      <c r="L1975" s="7">
        <f>J1975*税费参数!$B$12/(I1975*10000)</f>
        <v>0.0247706422018349</v>
      </c>
      <c r="M1975" s="6">
        <f>I1975*10000*SUM(税费参数!$B$9:$B$10)/税费参数!$B$11</f>
        <v>204.375</v>
      </c>
    </row>
    <row r="1976" ht="21" customHeight="1" spans="1:13">
      <c r="A1976" s="5" t="s">
        <v>16</v>
      </c>
      <c r="B1976" s="6" t="s">
        <v>122</v>
      </c>
      <c r="C1976" s="6" t="s">
        <v>152</v>
      </c>
      <c r="D1976" s="6" t="s">
        <v>153</v>
      </c>
      <c r="E1976" s="6" t="s">
        <v>1333</v>
      </c>
      <c r="F1976" s="6" t="s">
        <v>2015</v>
      </c>
      <c r="G1976" s="6">
        <v>49.97</v>
      </c>
      <c r="H1976" s="6">
        <v>50.21</v>
      </c>
      <c r="I1976" s="6">
        <v>109</v>
      </c>
      <c r="J1976" s="6">
        <v>2200</v>
      </c>
      <c r="K1976" s="7">
        <f>(J1976-M1976)*税费参数!$B$12/(I1976*10000*(1+SUM(税费参数!$B$6:$B$8)))</f>
        <v>0.0177321900615323</v>
      </c>
      <c r="L1976" s="7">
        <f>J1976*税费参数!$B$12/(I1976*10000)</f>
        <v>0.0201834862385321</v>
      </c>
      <c r="M1976" s="6">
        <f>I1976*10000*SUM(税费参数!$B$9:$B$10)/税费参数!$B$11</f>
        <v>204.375</v>
      </c>
    </row>
    <row r="1977" ht="21" customHeight="1" spans="1:13">
      <c r="A1977" s="5" t="s">
        <v>16</v>
      </c>
      <c r="B1977" s="6" t="s">
        <v>122</v>
      </c>
      <c r="C1977" s="6" t="s">
        <v>152</v>
      </c>
      <c r="D1977" s="6" t="s">
        <v>153</v>
      </c>
      <c r="E1977" s="6" t="s">
        <v>1333</v>
      </c>
      <c r="F1977" s="6" t="s">
        <v>2016</v>
      </c>
      <c r="G1977" s="6">
        <v>49.97</v>
      </c>
      <c r="H1977" s="6">
        <v>47.84</v>
      </c>
      <c r="I1977" s="6">
        <v>109</v>
      </c>
      <c r="J1977" s="6">
        <v>2000</v>
      </c>
      <c r="K1977" s="7">
        <f>(J1977-M1977)*税费参数!$B$12/(I1977*10000*(1+SUM(税费参数!$B$6:$B$8)))</f>
        <v>0.0159550836350712</v>
      </c>
      <c r="L1977" s="7">
        <f>J1977*税费参数!$B$12/(I1977*10000)</f>
        <v>0.018348623853211</v>
      </c>
      <c r="M1977" s="6">
        <f>I1977*10000*SUM(税费参数!$B$9:$B$10)/税费参数!$B$11</f>
        <v>204.375</v>
      </c>
    </row>
    <row r="1978" ht="21" customHeight="1" spans="1:13">
      <c r="A1978" s="5" t="s">
        <v>16</v>
      </c>
      <c r="B1978" s="6" t="s">
        <v>122</v>
      </c>
      <c r="C1978" s="6" t="s">
        <v>152</v>
      </c>
      <c r="D1978" s="6" t="s">
        <v>153</v>
      </c>
      <c r="E1978" s="6" t="s">
        <v>1333</v>
      </c>
      <c r="F1978" s="6" t="s">
        <v>2017</v>
      </c>
      <c r="G1978" s="6">
        <v>49.97</v>
      </c>
      <c r="H1978" s="6">
        <v>49.67</v>
      </c>
      <c r="I1978" s="6">
        <v>109</v>
      </c>
      <c r="J1978" s="6">
        <v>2100</v>
      </c>
      <c r="K1978" s="7">
        <f>(J1978-M1978)*税费参数!$B$12/(I1978*10000*(1+SUM(税费参数!$B$6:$B$8)))</f>
        <v>0.0168436368483018</v>
      </c>
      <c r="L1978" s="7">
        <f>J1978*税费参数!$B$12/(I1978*10000)</f>
        <v>0.0192660550458716</v>
      </c>
      <c r="M1978" s="6">
        <f>I1978*10000*SUM(税费参数!$B$9:$B$10)/税费参数!$B$11</f>
        <v>204.375</v>
      </c>
    </row>
    <row r="1979" ht="21" customHeight="1" spans="1:13">
      <c r="A1979" s="5" t="s">
        <v>16</v>
      </c>
      <c r="B1979" s="6" t="s">
        <v>122</v>
      </c>
      <c r="C1979" s="6" t="s">
        <v>152</v>
      </c>
      <c r="D1979" s="6" t="s">
        <v>153</v>
      </c>
      <c r="E1979" s="6" t="s">
        <v>1333</v>
      </c>
      <c r="F1979" s="6" t="s">
        <v>2018</v>
      </c>
      <c r="G1979" s="6">
        <v>49.97</v>
      </c>
      <c r="H1979" s="6">
        <v>49.24</v>
      </c>
      <c r="I1979" s="6">
        <v>109</v>
      </c>
      <c r="J1979" s="6">
        <v>2300</v>
      </c>
      <c r="K1979" s="7">
        <f>(J1979-M1979)*税费参数!$B$12/(I1979*10000*(1+SUM(税费参数!$B$6:$B$8)))</f>
        <v>0.0186207432747629</v>
      </c>
      <c r="L1979" s="7">
        <f>J1979*税费参数!$B$12/(I1979*10000)</f>
        <v>0.0211009174311927</v>
      </c>
      <c r="M1979" s="6">
        <f>I1979*10000*SUM(税费参数!$B$9:$B$10)/税费参数!$B$11</f>
        <v>204.375</v>
      </c>
    </row>
    <row r="1980" ht="21" customHeight="1" spans="1:13">
      <c r="A1980" s="5" t="s">
        <v>16</v>
      </c>
      <c r="B1980" s="6" t="s">
        <v>122</v>
      </c>
      <c r="C1980" s="6" t="s">
        <v>152</v>
      </c>
      <c r="D1980" s="6" t="s">
        <v>153</v>
      </c>
      <c r="E1980" s="6" t="s">
        <v>1333</v>
      </c>
      <c r="F1980" s="6" t="s">
        <v>2019</v>
      </c>
      <c r="G1980" s="6">
        <v>49.97</v>
      </c>
      <c r="H1980" s="6">
        <v>47.53</v>
      </c>
      <c r="I1980" s="6">
        <v>109</v>
      </c>
      <c r="J1980" s="6">
        <v>2040</v>
      </c>
      <c r="K1980" s="7">
        <f>(J1980-M1980)*税费参数!$B$12/(I1980*10000*(1+SUM(税费参数!$B$6:$B$8)))</f>
        <v>0.0163105049203634</v>
      </c>
      <c r="L1980" s="7">
        <f>J1980*税费参数!$B$12/(I1980*10000)</f>
        <v>0.0187155963302752</v>
      </c>
      <c r="M1980" s="6">
        <f>I1980*10000*SUM(税费参数!$B$9:$B$10)/税费参数!$B$11</f>
        <v>204.375</v>
      </c>
    </row>
    <row r="1981" ht="21" customHeight="1" spans="1:13">
      <c r="A1981" s="5" t="s">
        <v>16</v>
      </c>
      <c r="B1981" s="6" t="s">
        <v>122</v>
      </c>
      <c r="C1981" s="6" t="s">
        <v>152</v>
      </c>
      <c r="D1981" s="6" t="s">
        <v>153</v>
      </c>
      <c r="E1981" s="6" t="s">
        <v>1333</v>
      </c>
      <c r="F1981" s="6" t="s">
        <v>2020</v>
      </c>
      <c r="G1981" s="6">
        <v>49.97</v>
      </c>
      <c r="H1981" s="6">
        <v>47.53</v>
      </c>
      <c r="I1981" s="6">
        <v>109</v>
      </c>
      <c r="J1981" s="6">
        <v>2000</v>
      </c>
      <c r="K1981" s="7">
        <f>(J1981-M1981)*税费参数!$B$12/(I1981*10000*(1+SUM(税费参数!$B$6:$B$8)))</f>
        <v>0.0159550836350712</v>
      </c>
      <c r="L1981" s="7">
        <f>J1981*税费参数!$B$12/(I1981*10000)</f>
        <v>0.018348623853211</v>
      </c>
      <c r="M1981" s="6">
        <f>I1981*10000*SUM(税费参数!$B$9:$B$10)/税费参数!$B$11</f>
        <v>204.375</v>
      </c>
    </row>
    <row r="1982" ht="21" customHeight="1" spans="1:13">
      <c r="A1982" s="5" t="s">
        <v>16</v>
      </c>
      <c r="B1982" s="6" t="s">
        <v>122</v>
      </c>
      <c r="C1982" s="6" t="s">
        <v>152</v>
      </c>
      <c r="D1982" s="6" t="s">
        <v>153</v>
      </c>
      <c r="E1982" s="6" t="s">
        <v>1323</v>
      </c>
      <c r="F1982" s="6" t="s">
        <v>2003</v>
      </c>
      <c r="G1982" s="6">
        <v>48.47</v>
      </c>
      <c r="H1982" s="6">
        <v>48.47</v>
      </c>
      <c r="I1982" s="6">
        <v>120</v>
      </c>
      <c r="J1982" s="6">
        <v>2200</v>
      </c>
      <c r="K1982" s="7">
        <f>(J1982-M1982)*税费参数!$B$12/(I1982*10000*(1+SUM(税费参数!$B$6:$B$8)))</f>
        <v>0.0159402744148507</v>
      </c>
      <c r="L1982" s="7">
        <f>J1982*税费参数!$B$12/(I1982*10000)</f>
        <v>0.0183333333333333</v>
      </c>
      <c r="M1982" s="6">
        <f>I1982*10000*SUM(税费参数!$B$9:$B$10)/税费参数!$B$11</f>
        <v>225</v>
      </c>
    </row>
    <row r="1983" ht="21" customHeight="1" spans="1:13">
      <c r="A1983" s="5" t="s">
        <v>16</v>
      </c>
      <c r="B1983" s="6" t="s">
        <v>122</v>
      </c>
      <c r="C1983" s="6" t="s">
        <v>152</v>
      </c>
      <c r="D1983" s="6" t="s">
        <v>153</v>
      </c>
      <c r="E1983" s="6" t="s">
        <v>1323</v>
      </c>
      <c r="F1983" s="6" t="s">
        <v>2004</v>
      </c>
      <c r="G1983" s="6">
        <v>48.47</v>
      </c>
      <c r="H1983" s="6">
        <v>48.95</v>
      </c>
      <c r="I1983" s="6">
        <v>120</v>
      </c>
      <c r="J1983" s="6">
        <v>1800</v>
      </c>
      <c r="K1983" s="7">
        <f>(J1983-M1983)*税费参数!$B$12/(I1983*10000*(1+SUM(税费参数!$B$6:$B$8)))</f>
        <v>0.0127118644067797</v>
      </c>
      <c r="L1983" s="7">
        <f>J1983*税费参数!$B$12/(I1983*10000)</f>
        <v>0.015</v>
      </c>
      <c r="M1983" s="6">
        <f>I1983*10000*SUM(税费参数!$B$9:$B$10)/税费参数!$B$11</f>
        <v>225</v>
      </c>
    </row>
    <row r="1984" ht="21" customHeight="1" spans="1:13">
      <c r="A1984" s="5" t="s">
        <v>16</v>
      </c>
      <c r="B1984" s="6" t="s">
        <v>122</v>
      </c>
      <c r="C1984" s="6" t="s">
        <v>152</v>
      </c>
      <c r="D1984" s="6" t="s">
        <v>153</v>
      </c>
      <c r="E1984" s="6" t="s">
        <v>1323</v>
      </c>
      <c r="F1984" s="6" t="s">
        <v>2005</v>
      </c>
      <c r="G1984" s="6">
        <v>48.47</v>
      </c>
      <c r="H1984" s="6">
        <v>50.29</v>
      </c>
      <c r="I1984" s="6">
        <v>120</v>
      </c>
      <c r="J1984" s="6">
        <v>1900</v>
      </c>
      <c r="K1984" s="7">
        <f>(J1984-M1984)*税费参数!$B$12/(I1984*10000*(1+SUM(税费参数!$B$6:$B$8)))</f>
        <v>0.0135189669087974</v>
      </c>
      <c r="L1984" s="7">
        <f>J1984*税费参数!$B$12/(I1984*10000)</f>
        <v>0.0158333333333333</v>
      </c>
      <c r="M1984" s="6">
        <f>I1984*10000*SUM(税费参数!$B$9:$B$10)/税费参数!$B$11</f>
        <v>225</v>
      </c>
    </row>
    <row r="1985" ht="21" customHeight="1" spans="1:13">
      <c r="A1985" s="5" t="s">
        <v>16</v>
      </c>
      <c r="B1985" s="6" t="s">
        <v>122</v>
      </c>
      <c r="C1985" s="6" t="s">
        <v>152</v>
      </c>
      <c r="D1985" s="6" t="s">
        <v>153</v>
      </c>
      <c r="E1985" s="6" t="s">
        <v>1323</v>
      </c>
      <c r="F1985" s="6" t="s">
        <v>2006</v>
      </c>
      <c r="G1985" s="6">
        <v>48.47</v>
      </c>
      <c r="H1985" s="6">
        <v>47.92</v>
      </c>
      <c r="I1985" s="6">
        <v>120</v>
      </c>
      <c r="J1985" s="6">
        <v>2000</v>
      </c>
      <c r="K1985" s="7">
        <f>(J1985-M1985)*税费参数!$B$12/(I1985*10000*(1+SUM(税费参数!$B$6:$B$8)))</f>
        <v>0.0143260694108152</v>
      </c>
      <c r="L1985" s="7">
        <f>J1985*税费参数!$B$12/(I1985*10000)</f>
        <v>0.0166666666666667</v>
      </c>
      <c r="M1985" s="6">
        <f>I1985*10000*SUM(税费参数!$B$9:$B$10)/税费参数!$B$11</f>
        <v>225</v>
      </c>
    </row>
    <row r="1986" ht="21" customHeight="1" spans="1:13">
      <c r="A1986" s="5" t="s">
        <v>16</v>
      </c>
      <c r="B1986" s="6" t="s">
        <v>122</v>
      </c>
      <c r="C1986" s="6" t="s">
        <v>152</v>
      </c>
      <c r="D1986" s="6" t="s">
        <v>153</v>
      </c>
      <c r="E1986" s="6" t="s">
        <v>1323</v>
      </c>
      <c r="F1986" s="6" t="s">
        <v>2007</v>
      </c>
      <c r="G1986" s="6">
        <v>48.47</v>
      </c>
      <c r="H1986" s="6">
        <v>47.53</v>
      </c>
      <c r="I1986" s="6">
        <v>120</v>
      </c>
      <c r="J1986" s="6">
        <v>1850</v>
      </c>
      <c r="K1986" s="7">
        <f>(J1986-M1986)*税费参数!$B$12/(I1986*10000*(1+SUM(税费参数!$B$6:$B$8)))</f>
        <v>0.0131154156577885</v>
      </c>
      <c r="L1986" s="7">
        <f>J1986*税费参数!$B$12/(I1986*10000)</f>
        <v>0.0154166666666667</v>
      </c>
      <c r="M1986" s="6">
        <f>I1986*10000*SUM(税费参数!$B$9:$B$10)/税费参数!$B$11</f>
        <v>225</v>
      </c>
    </row>
    <row r="1987" ht="21" customHeight="1" spans="1:13">
      <c r="A1987" s="5" t="s">
        <v>16</v>
      </c>
      <c r="B1987" s="6" t="s">
        <v>122</v>
      </c>
      <c r="C1987" s="6" t="s">
        <v>152</v>
      </c>
      <c r="D1987" s="6" t="s">
        <v>153</v>
      </c>
      <c r="E1987" s="6" t="s">
        <v>1323</v>
      </c>
      <c r="F1987" s="6" t="s">
        <v>2008</v>
      </c>
      <c r="G1987" s="6">
        <v>48.47</v>
      </c>
      <c r="H1987" s="6">
        <v>45.16</v>
      </c>
      <c r="I1987" s="6">
        <v>120</v>
      </c>
      <c r="J1987" s="6">
        <v>2000</v>
      </c>
      <c r="K1987" s="7">
        <f>(J1987-M1987)*税费参数!$B$12/(I1987*10000*(1+SUM(税费参数!$B$6:$B$8)))</f>
        <v>0.0143260694108152</v>
      </c>
      <c r="L1987" s="7">
        <f>J1987*税费参数!$B$12/(I1987*10000)</f>
        <v>0.0166666666666667</v>
      </c>
      <c r="M1987" s="6">
        <f>I1987*10000*SUM(税费参数!$B$9:$B$10)/税费参数!$B$11</f>
        <v>225</v>
      </c>
    </row>
    <row r="1988" ht="21" customHeight="1" spans="1:13">
      <c r="A1988" s="5" t="s">
        <v>16</v>
      </c>
      <c r="B1988" s="6" t="s">
        <v>122</v>
      </c>
      <c r="C1988" s="6" t="s">
        <v>152</v>
      </c>
      <c r="D1988" s="6" t="s">
        <v>153</v>
      </c>
      <c r="E1988" s="6" t="s">
        <v>1323</v>
      </c>
      <c r="F1988" s="6" t="s">
        <v>2009</v>
      </c>
      <c r="G1988" s="6">
        <v>48.47</v>
      </c>
      <c r="H1988" s="6">
        <v>51.15</v>
      </c>
      <c r="I1988" s="6">
        <v>120</v>
      </c>
      <c r="J1988" s="6">
        <v>1950</v>
      </c>
      <c r="K1988" s="7">
        <f>(J1988-M1988)*税费参数!$B$12/(I1988*10000*(1+SUM(税费参数!$B$6:$B$8)))</f>
        <v>0.0139225181598063</v>
      </c>
      <c r="L1988" s="7">
        <f>J1988*税费参数!$B$12/(I1988*10000)</f>
        <v>0.01625</v>
      </c>
      <c r="M1988" s="6">
        <f>I1988*10000*SUM(税费参数!$B$9:$B$10)/税费参数!$B$11</f>
        <v>225</v>
      </c>
    </row>
    <row r="1989" ht="21" customHeight="1" spans="1:13">
      <c r="A1989" s="5" t="s">
        <v>16</v>
      </c>
      <c r="B1989" s="6" t="s">
        <v>122</v>
      </c>
      <c r="C1989" s="6" t="s">
        <v>152</v>
      </c>
      <c r="D1989" s="6" t="s">
        <v>153</v>
      </c>
      <c r="E1989" s="6" t="s">
        <v>1323</v>
      </c>
      <c r="F1989" s="6" t="s">
        <v>2010</v>
      </c>
      <c r="G1989" s="6">
        <v>48.47</v>
      </c>
      <c r="H1989" s="6">
        <v>48.83</v>
      </c>
      <c r="I1989" s="6">
        <v>120</v>
      </c>
      <c r="J1989" s="6">
        <v>2400</v>
      </c>
      <c r="K1989" s="7">
        <f>(J1989-M1989)*税费参数!$B$12/(I1989*10000*(1+SUM(税费参数!$B$6:$B$8)))</f>
        <v>0.0175544794188862</v>
      </c>
      <c r="L1989" s="7">
        <f>J1989*税费参数!$B$12/(I1989*10000)</f>
        <v>0.02</v>
      </c>
      <c r="M1989" s="6">
        <f>I1989*10000*SUM(税费参数!$B$9:$B$10)/税费参数!$B$11</f>
        <v>225</v>
      </c>
    </row>
    <row r="1990" ht="21" customHeight="1" spans="1:13">
      <c r="A1990" s="5" t="s">
        <v>16</v>
      </c>
      <c r="B1990" s="6" t="s">
        <v>122</v>
      </c>
      <c r="C1990" s="6" t="s">
        <v>152</v>
      </c>
      <c r="D1990" s="6" t="s">
        <v>153</v>
      </c>
      <c r="E1990" s="6" t="s">
        <v>1323</v>
      </c>
      <c r="F1990" s="6" t="s">
        <v>2011</v>
      </c>
      <c r="G1990" s="6">
        <v>48.47</v>
      </c>
      <c r="H1990" s="6">
        <v>48.47</v>
      </c>
      <c r="I1990" s="6">
        <v>120</v>
      </c>
      <c r="J1990" s="6">
        <v>2100</v>
      </c>
      <c r="K1990" s="7">
        <f>(J1990-M1990)*税费参数!$B$12/(I1990*10000*(1+SUM(税费参数!$B$6:$B$8)))</f>
        <v>0.0151331719128329</v>
      </c>
      <c r="L1990" s="7">
        <f>J1990*税费参数!$B$12/(I1990*10000)</f>
        <v>0.0175</v>
      </c>
      <c r="M1990" s="6">
        <f>I1990*10000*SUM(税费参数!$B$9:$B$10)/税费参数!$B$11</f>
        <v>225</v>
      </c>
    </row>
    <row r="1991" ht="21" customHeight="1" spans="1:13">
      <c r="A1991" s="5" t="s">
        <v>16</v>
      </c>
      <c r="B1991" s="6" t="s">
        <v>122</v>
      </c>
      <c r="C1991" s="6" t="s">
        <v>152</v>
      </c>
      <c r="D1991" s="6" t="s">
        <v>153</v>
      </c>
      <c r="E1991" s="6" t="s">
        <v>1323</v>
      </c>
      <c r="F1991" s="6" t="s">
        <v>2012</v>
      </c>
      <c r="G1991" s="6">
        <v>48.47</v>
      </c>
      <c r="H1991" s="6">
        <v>48.86</v>
      </c>
      <c r="I1991" s="6">
        <v>120</v>
      </c>
      <c r="J1991" s="6">
        <v>3300</v>
      </c>
      <c r="K1991" s="7">
        <f>(J1991-M1991)*税费参数!$B$12/(I1991*10000*(1+SUM(税费参数!$B$6:$B$8)))</f>
        <v>0.024818401937046</v>
      </c>
      <c r="L1991" s="7">
        <f>J1991*税费参数!$B$12/(I1991*10000)</f>
        <v>0.0275</v>
      </c>
      <c r="M1991" s="6">
        <f>I1991*10000*SUM(税费参数!$B$9:$B$10)/税费参数!$B$11</f>
        <v>225</v>
      </c>
    </row>
    <row r="1992" ht="21" customHeight="1" spans="1:13">
      <c r="A1992" s="5" t="s">
        <v>16</v>
      </c>
      <c r="B1992" s="6" t="s">
        <v>122</v>
      </c>
      <c r="C1992" s="6" t="s">
        <v>152</v>
      </c>
      <c r="D1992" s="6" t="s">
        <v>153</v>
      </c>
      <c r="E1992" s="6" t="s">
        <v>1323</v>
      </c>
      <c r="F1992" s="6" t="s">
        <v>2013</v>
      </c>
      <c r="G1992" s="6">
        <v>48.47</v>
      </c>
      <c r="H1992" s="6">
        <v>49.96</v>
      </c>
      <c r="I1992" s="6">
        <v>120</v>
      </c>
      <c r="J1992" s="6">
        <v>2500</v>
      </c>
      <c r="K1992" s="7">
        <f>(J1992-M1992)*税费参数!$B$12/(I1992*10000*(1+SUM(税费参数!$B$6:$B$8)))</f>
        <v>0.018361581920904</v>
      </c>
      <c r="L1992" s="7">
        <f>J1992*税费参数!$B$12/(I1992*10000)</f>
        <v>0.0208333333333333</v>
      </c>
      <c r="M1992" s="6">
        <f>I1992*10000*SUM(税费参数!$B$9:$B$10)/税费参数!$B$11</f>
        <v>225</v>
      </c>
    </row>
    <row r="1993" ht="21" customHeight="1" spans="1:13">
      <c r="A1993" s="5" t="s">
        <v>16</v>
      </c>
      <c r="B1993" s="6" t="s">
        <v>122</v>
      </c>
      <c r="C1993" s="6" t="s">
        <v>152</v>
      </c>
      <c r="D1993" s="6" t="s">
        <v>153</v>
      </c>
      <c r="E1993" s="6" t="s">
        <v>1323</v>
      </c>
      <c r="F1993" s="6" t="s">
        <v>2014</v>
      </c>
      <c r="G1993" s="6">
        <v>48.47</v>
      </c>
      <c r="H1993" s="6">
        <v>50.02</v>
      </c>
      <c r="I1993" s="6">
        <v>120</v>
      </c>
      <c r="J1993" s="6">
        <v>2700</v>
      </c>
      <c r="K1993" s="7">
        <f>(J1993-M1993)*税费参数!$B$12/(I1993*10000*(1+SUM(税费参数!$B$6:$B$8)))</f>
        <v>0.0199757869249395</v>
      </c>
      <c r="L1993" s="7">
        <f>J1993*税费参数!$B$12/(I1993*10000)</f>
        <v>0.0225</v>
      </c>
      <c r="M1993" s="6">
        <f>I1993*10000*SUM(税费参数!$B$9:$B$10)/税费参数!$B$11</f>
        <v>225</v>
      </c>
    </row>
    <row r="1994" ht="21" customHeight="1" spans="1:13">
      <c r="A1994" s="5" t="s">
        <v>16</v>
      </c>
      <c r="B1994" s="6" t="s">
        <v>122</v>
      </c>
      <c r="C1994" s="6" t="s">
        <v>152</v>
      </c>
      <c r="D1994" s="6" t="s">
        <v>153</v>
      </c>
      <c r="E1994" s="6" t="s">
        <v>1323</v>
      </c>
      <c r="F1994" s="6" t="s">
        <v>2015</v>
      </c>
      <c r="G1994" s="6">
        <v>48.47</v>
      </c>
      <c r="H1994" s="6">
        <v>50.21</v>
      </c>
      <c r="I1994" s="6">
        <v>120</v>
      </c>
      <c r="J1994" s="6">
        <v>2200</v>
      </c>
      <c r="K1994" s="7">
        <f>(J1994-M1994)*税费参数!$B$12/(I1994*10000*(1+SUM(税费参数!$B$6:$B$8)))</f>
        <v>0.0159402744148507</v>
      </c>
      <c r="L1994" s="7">
        <f>J1994*税费参数!$B$12/(I1994*10000)</f>
        <v>0.0183333333333333</v>
      </c>
      <c r="M1994" s="6">
        <f>I1994*10000*SUM(税费参数!$B$9:$B$10)/税费参数!$B$11</f>
        <v>225</v>
      </c>
    </row>
    <row r="1995" ht="21" customHeight="1" spans="1:13">
      <c r="A1995" s="5" t="s">
        <v>16</v>
      </c>
      <c r="B1995" s="6" t="s">
        <v>122</v>
      </c>
      <c r="C1995" s="6" t="s">
        <v>152</v>
      </c>
      <c r="D1995" s="6" t="s">
        <v>153</v>
      </c>
      <c r="E1995" s="6" t="s">
        <v>1323</v>
      </c>
      <c r="F1995" s="6" t="s">
        <v>2016</v>
      </c>
      <c r="G1995" s="6">
        <v>48.47</v>
      </c>
      <c r="H1995" s="6">
        <v>47.84</v>
      </c>
      <c r="I1995" s="6">
        <v>120</v>
      </c>
      <c r="J1995" s="6">
        <v>2000</v>
      </c>
      <c r="K1995" s="7">
        <f>(J1995-M1995)*税费参数!$B$12/(I1995*10000*(1+SUM(税费参数!$B$6:$B$8)))</f>
        <v>0.0143260694108152</v>
      </c>
      <c r="L1995" s="7">
        <f>J1995*税费参数!$B$12/(I1995*10000)</f>
        <v>0.0166666666666667</v>
      </c>
      <c r="M1995" s="6">
        <f>I1995*10000*SUM(税费参数!$B$9:$B$10)/税费参数!$B$11</f>
        <v>225</v>
      </c>
    </row>
    <row r="1996" ht="21" customHeight="1" spans="1:13">
      <c r="A1996" s="5" t="s">
        <v>16</v>
      </c>
      <c r="B1996" s="6" t="s">
        <v>122</v>
      </c>
      <c r="C1996" s="6" t="s">
        <v>152</v>
      </c>
      <c r="D1996" s="6" t="s">
        <v>153</v>
      </c>
      <c r="E1996" s="6" t="s">
        <v>1323</v>
      </c>
      <c r="F1996" s="6" t="s">
        <v>2017</v>
      </c>
      <c r="G1996" s="6">
        <v>48.47</v>
      </c>
      <c r="H1996" s="6">
        <v>49.67</v>
      </c>
      <c r="I1996" s="6">
        <v>120</v>
      </c>
      <c r="J1996" s="6">
        <v>2100</v>
      </c>
      <c r="K1996" s="7">
        <f>(J1996-M1996)*税费参数!$B$12/(I1996*10000*(1+SUM(税费参数!$B$6:$B$8)))</f>
        <v>0.0151331719128329</v>
      </c>
      <c r="L1996" s="7">
        <f>J1996*税费参数!$B$12/(I1996*10000)</f>
        <v>0.0175</v>
      </c>
      <c r="M1996" s="6">
        <f>I1996*10000*SUM(税费参数!$B$9:$B$10)/税费参数!$B$11</f>
        <v>225</v>
      </c>
    </row>
    <row r="1997" ht="21" customHeight="1" spans="1:13">
      <c r="A1997" s="5" t="s">
        <v>16</v>
      </c>
      <c r="B1997" s="6" t="s">
        <v>122</v>
      </c>
      <c r="C1997" s="6" t="s">
        <v>152</v>
      </c>
      <c r="D1997" s="6" t="s">
        <v>153</v>
      </c>
      <c r="E1997" s="6" t="s">
        <v>1323</v>
      </c>
      <c r="F1997" s="6" t="s">
        <v>2018</v>
      </c>
      <c r="G1997" s="6">
        <v>48.47</v>
      </c>
      <c r="H1997" s="6">
        <v>49.24</v>
      </c>
      <c r="I1997" s="6">
        <v>120</v>
      </c>
      <c r="J1997" s="6">
        <v>2300</v>
      </c>
      <c r="K1997" s="7">
        <f>(J1997-M1997)*税费参数!$B$12/(I1997*10000*(1+SUM(税费参数!$B$6:$B$8)))</f>
        <v>0.0167473769168684</v>
      </c>
      <c r="L1997" s="7">
        <f>J1997*税费参数!$B$12/(I1997*10000)</f>
        <v>0.0191666666666667</v>
      </c>
      <c r="M1997" s="6">
        <f>I1997*10000*SUM(税费参数!$B$9:$B$10)/税费参数!$B$11</f>
        <v>225</v>
      </c>
    </row>
    <row r="1998" ht="21" customHeight="1" spans="1:13">
      <c r="A1998" s="5" t="s">
        <v>16</v>
      </c>
      <c r="B1998" s="6" t="s">
        <v>122</v>
      </c>
      <c r="C1998" s="6" t="s">
        <v>152</v>
      </c>
      <c r="D1998" s="6" t="s">
        <v>153</v>
      </c>
      <c r="E1998" s="6" t="s">
        <v>1323</v>
      </c>
      <c r="F1998" s="6" t="s">
        <v>2019</v>
      </c>
      <c r="G1998" s="6">
        <v>48.47</v>
      </c>
      <c r="H1998" s="6">
        <v>47.53</v>
      </c>
      <c r="I1998" s="6">
        <v>120</v>
      </c>
      <c r="J1998" s="6">
        <v>2040</v>
      </c>
      <c r="K1998" s="7">
        <f>(J1998-M1998)*税费参数!$B$12/(I1998*10000*(1+SUM(税费参数!$B$6:$B$8)))</f>
        <v>0.0146489104116223</v>
      </c>
      <c r="L1998" s="7">
        <f>J1998*税费参数!$B$12/(I1998*10000)</f>
        <v>0.017</v>
      </c>
      <c r="M1998" s="6">
        <f>I1998*10000*SUM(税费参数!$B$9:$B$10)/税费参数!$B$11</f>
        <v>225</v>
      </c>
    </row>
    <row r="1999" ht="21" customHeight="1" spans="1:13">
      <c r="A1999" s="5" t="s">
        <v>16</v>
      </c>
      <c r="B1999" s="6" t="s">
        <v>122</v>
      </c>
      <c r="C1999" s="6" t="s">
        <v>152</v>
      </c>
      <c r="D1999" s="6" t="s">
        <v>153</v>
      </c>
      <c r="E1999" s="6" t="s">
        <v>1323</v>
      </c>
      <c r="F1999" s="6" t="s">
        <v>2020</v>
      </c>
      <c r="G1999" s="6">
        <v>48.47</v>
      </c>
      <c r="H1999" s="6">
        <v>47.53</v>
      </c>
      <c r="I1999" s="6">
        <v>120</v>
      </c>
      <c r="J1999" s="6">
        <v>2000</v>
      </c>
      <c r="K1999" s="7">
        <f>(J1999-M1999)*税费参数!$B$12/(I1999*10000*(1+SUM(税费参数!$B$6:$B$8)))</f>
        <v>0.0143260694108152</v>
      </c>
      <c r="L1999" s="7">
        <f>J1999*税费参数!$B$12/(I1999*10000)</f>
        <v>0.0166666666666667</v>
      </c>
      <c r="M1999" s="6">
        <f>I1999*10000*SUM(税费参数!$B$9:$B$10)/税费参数!$B$11</f>
        <v>225</v>
      </c>
    </row>
    <row r="2000" ht="21" customHeight="1" spans="1:13">
      <c r="A2000" s="5" t="s">
        <v>16</v>
      </c>
      <c r="B2000" s="6" t="s">
        <v>122</v>
      </c>
      <c r="C2000" s="6" t="s">
        <v>152</v>
      </c>
      <c r="D2000" s="6" t="s">
        <v>153</v>
      </c>
      <c r="E2000" s="6" t="s">
        <v>1317</v>
      </c>
      <c r="F2000" s="6" t="s">
        <v>2003</v>
      </c>
      <c r="G2000" s="6">
        <v>49.27</v>
      </c>
      <c r="H2000" s="6">
        <v>48.47</v>
      </c>
      <c r="I2000" s="6">
        <v>120</v>
      </c>
      <c r="J2000" s="6">
        <v>2200</v>
      </c>
      <c r="K2000" s="7">
        <f>(J2000-M2000)*税费参数!$B$12/(I2000*10000*(1+SUM(税费参数!$B$6:$B$8)))</f>
        <v>0.0159402744148507</v>
      </c>
      <c r="L2000" s="7">
        <f>J2000*税费参数!$B$12/(I2000*10000)</f>
        <v>0.0183333333333333</v>
      </c>
      <c r="M2000" s="6">
        <f>I2000*10000*SUM(税费参数!$B$9:$B$10)/税费参数!$B$11</f>
        <v>225</v>
      </c>
    </row>
    <row r="2001" ht="21" customHeight="1" spans="1:13">
      <c r="A2001" s="5" t="s">
        <v>16</v>
      </c>
      <c r="B2001" s="6" t="s">
        <v>122</v>
      </c>
      <c r="C2001" s="6" t="s">
        <v>152</v>
      </c>
      <c r="D2001" s="6" t="s">
        <v>153</v>
      </c>
      <c r="E2001" s="6" t="s">
        <v>1317</v>
      </c>
      <c r="F2001" s="6" t="s">
        <v>2004</v>
      </c>
      <c r="G2001" s="6">
        <v>49.27</v>
      </c>
      <c r="H2001" s="6">
        <v>48.95</v>
      </c>
      <c r="I2001" s="6">
        <v>120</v>
      </c>
      <c r="J2001" s="6">
        <v>1800</v>
      </c>
      <c r="K2001" s="7">
        <f>(J2001-M2001)*税费参数!$B$12/(I2001*10000*(1+SUM(税费参数!$B$6:$B$8)))</f>
        <v>0.0127118644067797</v>
      </c>
      <c r="L2001" s="7">
        <f>J2001*税费参数!$B$12/(I2001*10000)</f>
        <v>0.015</v>
      </c>
      <c r="M2001" s="6">
        <f>I2001*10000*SUM(税费参数!$B$9:$B$10)/税费参数!$B$11</f>
        <v>225</v>
      </c>
    </row>
    <row r="2002" ht="21" customHeight="1" spans="1:13">
      <c r="A2002" s="5" t="s">
        <v>16</v>
      </c>
      <c r="B2002" s="6" t="s">
        <v>122</v>
      </c>
      <c r="C2002" s="6" t="s">
        <v>152</v>
      </c>
      <c r="D2002" s="6" t="s">
        <v>153</v>
      </c>
      <c r="E2002" s="6" t="s">
        <v>1317</v>
      </c>
      <c r="F2002" s="6" t="s">
        <v>2005</v>
      </c>
      <c r="G2002" s="6">
        <v>49.27</v>
      </c>
      <c r="H2002" s="6">
        <v>50.29</v>
      </c>
      <c r="I2002" s="6">
        <v>120</v>
      </c>
      <c r="J2002" s="6">
        <v>1900</v>
      </c>
      <c r="K2002" s="7">
        <f>(J2002-M2002)*税费参数!$B$12/(I2002*10000*(1+SUM(税费参数!$B$6:$B$8)))</f>
        <v>0.0135189669087974</v>
      </c>
      <c r="L2002" s="7">
        <f>J2002*税费参数!$B$12/(I2002*10000)</f>
        <v>0.0158333333333333</v>
      </c>
      <c r="M2002" s="6">
        <f>I2002*10000*SUM(税费参数!$B$9:$B$10)/税费参数!$B$11</f>
        <v>225</v>
      </c>
    </row>
    <row r="2003" ht="21" customHeight="1" spans="1:13">
      <c r="A2003" s="5" t="s">
        <v>16</v>
      </c>
      <c r="B2003" s="6" t="s">
        <v>122</v>
      </c>
      <c r="C2003" s="6" t="s">
        <v>152</v>
      </c>
      <c r="D2003" s="6" t="s">
        <v>153</v>
      </c>
      <c r="E2003" s="6" t="s">
        <v>1317</v>
      </c>
      <c r="F2003" s="6" t="s">
        <v>2006</v>
      </c>
      <c r="G2003" s="6">
        <v>49.27</v>
      </c>
      <c r="H2003" s="6">
        <v>47.92</v>
      </c>
      <c r="I2003" s="6">
        <v>120</v>
      </c>
      <c r="J2003" s="6">
        <v>2000</v>
      </c>
      <c r="K2003" s="7">
        <f>(J2003-M2003)*税费参数!$B$12/(I2003*10000*(1+SUM(税费参数!$B$6:$B$8)))</f>
        <v>0.0143260694108152</v>
      </c>
      <c r="L2003" s="7">
        <f>J2003*税费参数!$B$12/(I2003*10000)</f>
        <v>0.0166666666666667</v>
      </c>
      <c r="M2003" s="6">
        <f>I2003*10000*SUM(税费参数!$B$9:$B$10)/税费参数!$B$11</f>
        <v>225</v>
      </c>
    </row>
    <row r="2004" ht="21" customHeight="1" spans="1:13">
      <c r="A2004" s="5" t="s">
        <v>16</v>
      </c>
      <c r="B2004" s="6" t="s">
        <v>122</v>
      </c>
      <c r="C2004" s="6" t="s">
        <v>152</v>
      </c>
      <c r="D2004" s="6" t="s">
        <v>153</v>
      </c>
      <c r="E2004" s="6" t="s">
        <v>1317</v>
      </c>
      <c r="F2004" s="6" t="s">
        <v>2007</v>
      </c>
      <c r="G2004" s="6">
        <v>49.27</v>
      </c>
      <c r="H2004" s="6">
        <v>47.53</v>
      </c>
      <c r="I2004" s="6">
        <v>120</v>
      </c>
      <c r="J2004" s="6">
        <v>1850</v>
      </c>
      <c r="K2004" s="7">
        <f>(J2004-M2004)*税费参数!$B$12/(I2004*10000*(1+SUM(税费参数!$B$6:$B$8)))</f>
        <v>0.0131154156577885</v>
      </c>
      <c r="L2004" s="7">
        <f>J2004*税费参数!$B$12/(I2004*10000)</f>
        <v>0.0154166666666667</v>
      </c>
      <c r="M2004" s="6">
        <f>I2004*10000*SUM(税费参数!$B$9:$B$10)/税费参数!$B$11</f>
        <v>225</v>
      </c>
    </row>
    <row r="2005" ht="21" customHeight="1" spans="1:13">
      <c r="A2005" s="5" t="s">
        <v>16</v>
      </c>
      <c r="B2005" s="6" t="s">
        <v>122</v>
      </c>
      <c r="C2005" s="6" t="s">
        <v>152</v>
      </c>
      <c r="D2005" s="6" t="s">
        <v>153</v>
      </c>
      <c r="E2005" s="6" t="s">
        <v>1317</v>
      </c>
      <c r="F2005" s="6" t="s">
        <v>2008</v>
      </c>
      <c r="G2005" s="6">
        <v>49.27</v>
      </c>
      <c r="H2005" s="6">
        <v>45.16</v>
      </c>
      <c r="I2005" s="6">
        <v>120</v>
      </c>
      <c r="J2005" s="6">
        <v>2000</v>
      </c>
      <c r="K2005" s="7">
        <f>(J2005-M2005)*税费参数!$B$12/(I2005*10000*(1+SUM(税费参数!$B$6:$B$8)))</f>
        <v>0.0143260694108152</v>
      </c>
      <c r="L2005" s="7">
        <f>J2005*税费参数!$B$12/(I2005*10000)</f>
        <v>0.0166666666666667</v>
      </c>
      <c r="M2005" s="6">
        <f>I2005*10000*SUM(税费参数!$B$9:$B$10)/税费参数!$B$11</f>
        <v>225</v>
      </c>
    </row>
    <row r="2006" ht="21" customHeight="1" spans="1:13">
      <c r="A2006" s="5" t="s">
        <v>16</v>
      </c>
      <c r="B2006" s="6" t="s">
        <v>122</v>
      </c>
      <c r="C2006" s="6" t="s">
        <v>152</v>
      </c>
      <c r="D2006" s="6" t="s">
        <v>153</v>
      </c>
      <c r="E2006" s="6" t="s">
        <v>1317</v>
      </c>
      <c r="F2006" s="6" t="s">
        <v>2009</v>
      </c>
      <c r="G2006" s="6">
        <v>49.27</v>
      </c>
      <c r="H2006" s="6">
        <v>51.15</v>
      </c>
      <c r="I2006" s="6">
        <v>120</v>
      </c>
      <c r="J2006" s="6">
        <v>1950</v>
      </c>
      <c r="K2006" s="7">
        <f>(J2006-M2006)*税费参数!$B$12/(I2006*10000*(1+SUM(税费参数!$B$6:$B$8)))</f>
        <v>0.0139225181598063</v>
      </c>
      <c r="L2006" s="7">
        <f>J2006*税费参数!$B$12/(I2006*10000)</f>
        <v>0.01625</v>
      </c>
      <c r="M2006" s="6">
        <f>I2006*10000*SUM(税费参数!$B$9:$B$10)/税费参数!$B$11</f>
        <v>225</v>
      </c>
    </row>
    <row r="2007" ht="21" customHeight="1" spans="1:13">
      <c r="A2007" s="5" t="s">
        <v>16</v>
      </c>
      <c r="B2007" s="6" t="s">
        <v>122</v>
      </c>
      <c r="C2007" s="6" t="s">
        <v>152</v>
      </c>
      <c r="D2007" s="6" t="s">
        <v>153</v>
      </c>
      <c r="E2007" s="6" t="s">
        <v>1317</v>
      </c>
      <c r="F2007" s="6" t="s">
        <v>2010</v>
      </c>
      <c r="G2007" s="6">
        <v>49.27</v>
      </c>
      <c r="H2007" s="6">
        <v>48.83</v>
      </c>
      <c r="I2007" s="6">
        <v>120</v>
      </c>
      <c r="J2007" s="6">
        <v>2400</v>
      </c>
      <c r="K2007" s="7">
        <f>(J2007-M2007)*税费参数!$B$12/(I2007*10000*(1+SUM(税费参数!$B$6:$B$8)))</f>
        <v>0.0175544794188862</v>
      </c>
      <c r="L2007" s="7">
        <f>J2007*税费参数!$B$12/(I2007*10000)</f>
        <v>0.02</v>
      </c>
      <c r="M2007" s="6">
        <f>I2007*10000*SUM(税费参数!$B$9:$B$10)/税费参数!$B$11</f>
        <v>225</v>
      </c>
    </row>
    <row r="2008" ht="21" customHeight="1" spans="1:13">
      <c r="A2008" s="5" t="s">
        <v>16</v>
      </c>
      <c r="B2008" s="6" t="s">
        <v>122</v>
      </c>
      <c r="C2008" s="6" t="s">
        <v>152</v>
      </c>
      <c r="D2008" s="6" t="s">
        <v>153</v>
      </c>
      <c r="E2008" s="6" t="s">
        <v>1317</v>
      </c>
      <c r="F2008" s="6" t="s">
        <v>2011</v>
      </c>
      <c r="G2008" s="6">
        <v>49.27</v>
      </c>
      <c r="H2008" s="6">
        <v>48.47</v>
      </c>
      <c r="I2008" s="6">
        <v>120</v>
      </c>
      <c r="J2008" s="6">
        <v>2100</v>
      </c>
      <c r="K2008" s="7">
        <f>(J2008-M2008)*税费参数!$B$12/(I2008*10000*(1+SUM(税费参数!$B$6:$B$8)))</f>
        <v>0.0151331719128329</v>
      </c>
      <c r="L2008" s="7">
        <f>J2008*税费参数!$B$12/(I2008*10000)</f>
        <v>0.0175</v>
      </c>
      <c r="M2008" s="6">
        <f>I2008*10000*SUM(税费参数!$B$9:$B$10)/税费参数!$B$11</f>
        <v>225</v>
      </c>
    </row>
    <row r="2009" ht="21" customHeight="1" spans="1:13">
      <c r="A2009" s="5" t="s">
        <v>16</v>
      </c>
      <c r="B2009" s="6" t="s">
        <v>122</v>
      </c>
      <c r="C2009" s="6" t="s">
        <v>152</v>
      </c>
      <c r="D2009" s="6" t="s">
        <v>153</v>
      </c>
      <c r="E2009" s="6" t="s">
        <v>1317</v>
      </c>
      <c r="F2009" s="6" t="s">
        <v>2012</v>
      </c>
      <c r="G2009" s="6">
        <v>49.27</v>
      </c>
      <c r="H2009" s="6">
        <v>48.86</v>
      </c>
      <c r="I2009" s="6">
        <v>120</v>
      </c>
      <c r="J2009" s="6">
        <v>3300</v>
      </c>
      <c r="K2009" s="7">
        <f>(J2009-M2009)*税费参数!$B$12/(I2009*10000*(1+SUM(税费参数!$B$6:$B$8)))</f>
        <v>0.024818401937046</v>
      </c>
      <c r="L2009" s="7">
        <f>J2009*税费参数!$B$12/(I2009*10000)</f>
        <v>0.0275</v>
      </c>
      <c r="M2009" s="6">
        <f>I2009*10000*SUM(税费参数!$B$9:$B$10)/税费参数!$B$11</f>
        <v>225</v>
      </c>
    </row>
    <row r="2010" ht="21" customHeight="1" spans="1:13">
      <c r="A2010" s="5" t="s">
        <v>16</v>
      </c>
      <c r="B2010" s="6" t="s">
        <v>122</v>
      </c>
      <c r="C2010" s="6" t="s">
        <v>152</v>
      </c>
      <c r="D2010" s="6" t="s">
        <v>153</v>
      </c>
      <c r="E2010" s="6" t="s">
        <v>1317</v>
      </c>
      <c r="F2010" s="6" t="s">
        <v>2013</v>
      </c>
      <c r="G2010" s="6">
        <v>49.27</v>
      </c>
      <c r="H2010" s="6">
        <v>49.96</v>
      </c>
      <c r="I2010" s="6">
        <v>120</v>
      </c>
      <c r="J2010" s="6">
        <v>2500</v>
      </c>
      <c r="K2010" s="7">
        <f>(J2010-M2010)*税费参数!$B$12/(I2010*10000*(1+SUM(税费参数!$B$6:$B$8)))</f>
        <v>0.018361581920904</v>
      </c>
      <c r="L2010" s="7">
        <f>J2010*税费参数!$B$12/(I2010*10000)</f>
        <v>0.0208333333333333</v>
      </c>
      <c r="M2010" s="6">
        <f>I2010*10000*SUM(税费参数!$B$9:$B$10)/税费参数!$B$11</f>
        <v>225</v>
      </c>
    </row>
    <row r="2011" ht="21" customHeight="1" spans="1:13">
      <c r="A2011" s="5" t="s">
        <v>16</v>
      </c>
      <c r="B2011" s="6" t="s">
        <v>122</v>
      </c>
      <c r="C2011" s="6" t="s">
        <v>152</v>
      </c>
      <c r="D2011" s="6" t="s">
        <v>153</v>
      </c>
      <c r="E2011" s="6" t="s">
        <v>1317</v>
      </c>
      <c r="F2011" s="6" t="s">
        <v>2014</v>
      </c>
      <c r="G2011" s="6">
        <v>49.27</v>
      </c>
      <c r="H2011" s="6">
        <v>50.02</v>
      </c>
      <c r="I2011" s="6">
        <v>120</v>
      </c>
      <c r="J2011" s="6">
        <v>2700</v>
      </c>
      <c r="K2011" s="7">
        <f>(J2011-M2011)*税费参数!$B$12/(I2011*10000*(1+SUM(税费参数!$B$6:$B$8)))</f>
        <v>0.0199757869249395</v>
      </c>
      <c r="L2011" s="7">
        <f>J2011*税费参数!$B$12/(I2011*10000)</f>
        <v>0.0225</v>
      </c>
      <c r="M2011" s="6">
        <f>I2011*10000*SUM(税费参数!$B$9:$B$10)/税费参数!$B$11</f>
        <v>225</v>
      </c>
    </row>
    <row r="2012" ht="21" customHeight="1" spans="1:13">
      <c r="A2012" s="5" t="s">
        <v>16</v>
      </c>
      <c r="B2012" s="6" t="s">
        <v>122</v>
      </c>
      <c r="C2012" s="6" t="s">
        <v>152</v>
      </c>
      <c r="D2012" s="6" t="s">
        <v>153</v>
      </c>
      <c r="E2012" s="6" t="s">
        <v>1317</v>
      </c>
      <c r="F2012" s="6" t="s">
        <v>2015</v>
      </c>
      <c r="G2012" s="6">
        <v>49.27</v>
      </c>
      <c r="H2012" s="6">
        <v>50.21</v>
      </c>
      <c r="I2012" s="6">
        <v>120</v>
      </c>
      <c r="J2012" s="6">
        <v>2200</v>
      </c>
      <c r="K2012" s="7">
        <f>(J2012-M2012)*税费参数!$B$12/(I2012*10000*(1+SUM(税费参数!$B$6:$B$8)))</f>
        <v>0.0159402744148507</v>
      </c>
      <c r="L2012" s="7">
        <f>J2012*税费参数!$B$12/(I2012*10000)</f>
        <v>0.0183333333333333</v>
      </c>
      <c r="M2012" s="6">
        <f>I2012*10000*SUM(税费参数!$B$9:$B$10)/税费参数!$B$11</f>
        <v>225</v>
      </c>
    </row>
    <row r="2013" ht="21" customHeight="1" spans="1:13">
      <c r="A2013" s="5" t="s">
        <v>16</v>
      </c>
      <c r="B2013" s="6" t="s">
        <v>122</v>
      </c>
      <c r="C2013" s="6" t="s">
        <v>152</v>
      </c>
      <c r="D2013" s="6" t="s">
        <v>153</v>
      </c>
      <c r="E2013" s="6" t="s">
        <v>1317</v>
      </c>
      <c r="F2013" s="6" t="s">
        <v>2016</v>
      </c>
      <c r="G2013" s="6">
        <v>49.27</v>
      </c>
      <c r="H2013" s="6">
        <v>47.84</v>
      </c>
      <c r="I2013" s="6">
        <v>120</v>
      </c>
      <c r="J2013" s="6">
        <v>2000</v>
      </c>
      <c r="K2013" s="7">
        <f>(J2013-M2013)*税费参数!$B$12/(I2013*10000*(1+SUM(税费参数!$B$6:$B$8)))</f>
        <v>0.0143260694108152</v>
      </c>
      <c r="L2013" s="7">
        <f>J2013*税费参数!$B$12/(I2013*10000)</f>
        <v>0.0166666666666667</v>
      </c>
      <c r="M2013" s="6">
        <f>I2013*10000*SUM(税费参数!$B$9:$B$10)/税费参数!$B$11</f>
        <v>225</v>
      </c>
    </row>
    <row r="2014" ht="21" customHeight="1" spans="1:13">
      <c r="A2014" s="5" t="s">
        <v>16</v>
      </c>
      <c r="B2014" s="6" t="s">
        <v>122</v>
      </c>
      <c r="C2014" s="6" t="s">
        <v>152</v>
      </c>
      <c r="D2014" s="6" t="s">
        <v>153</v>
      </c>
      <c r="E2014" s="6" t="s">
        <v>1317</v>
      </c>
      <c r="F2014" s="6" t="s">
        <v>2017</v>
      </c>
      <c r="G2014" s="6">
        <v>49.27</v>
      </c>
      <c r="H2014" s="6">
        <v>49.67</v>
      </c>
      <c r="I2014" s="6">
        <v>120</v>
      </c>
      <c r="J2014" s="6">
        <v>2100</v>
      </c>
      <c r="K2014" s="7">
        <f>(J2014-M2014)*税费参数!$B$12/(I2014*10000*(1+SUM(税费参数!$B$6:$B$8)))</f>
        <v>0.0151331719128329</v>
      </c>
      <c r="L2014" s="7">
        <f>J2014*税费参数!$B$12/(I2014*10000)</f>
        <v>0.0175</v>
      </c>
      <c r="M2014" s="6">
        <f>I2014*10000*SUM(税费参数!$B$9:$B$10)/税费参数!$B$11</f>
        <v>225</v>
      </c>
    </row>
    <row r="2015" ht="21" customHeight="1" spans="1:13">
      <c r="A2015" s="5" t="s">
        <v>16</v>
      </c>
      <c r="B2015" s="6" t="s">
        <v>122</v>
      </c>
      <c r="C2015" s="6" t="s">
        <v>152</v>
      </c>
      <c r="D2015" s="6" t="s">
        <v>153</v>
      </c>
      <c r="E2015" s="6" t="s">
        <v>1317</v>
      </c>
      <c r="F2015" s="6" t="s">
        <v>2018</v>
      </c>
      <c r="G2015" s="6">
        <v>49.27</v>
      </c>
      <c r="H2015" s="6">
        <v>49.24</v>
      </c>
      <c r="I2015" s="6">
        <v>120</v>
      </c>
      <c r="J2015" s="6">
        <v>2300</v>
      </c>
      <c r="K2015" s="7">
        <f>(J2015-M2015)*税费参数!$B$12/(I2015*10000*(1+SUM(税费参数!$B$6:$B$8)))</f>
        <v>0.0167473769168684</v>
      </c>
      <c r="L2015" s="7">
        <f>J2015*税费参数!$B$12/(I2015*10000)</f>
        <v>0.0191666666666667</v>
      </c>
      <c r="M2015" s="6">
        <f>I2015*10000*SUM(税费参数!$B$9:$B$10)/税费参数!$B$11</f>
        <v>225</v>
      </c>
    </row>
    <row r="2016" ht="21" customHeight="1" spans="1:13">
      <c r="A2016" s="5" t="s">
        <v>16</v>
      </c>
      <c r="B2016" s="6" t="s">
        <v>122</v>
      </c>
      <c r="C2016" s="6" t="s">
        <v>152</v>
      </c>
      <c r="D2016" s="6" t="s">
        <v>153</v>
      </c>
      <c r="E2016" s="6" t="s">
        <v>1317</v>
      </c>
      <c r="F2016" s="6" t="s">
        <v>2019</v>
      </c>
      <c r="G2016" s="6">
        <v>49.27</v>
      </c>
      <c r="H2016" s="6">
        <v>47.53</v>
      </c>
      <c r="I2016" s="6">
        <v>120</v>
      </c>
      <c r="J2016" s="6">
        <v>2040</v>
      </c>
      <c r="K2016" s="7">
        <f>(J2016-M2016)*税费参数!$B$12/(I2016*10000*(1+SUM(税费参数!$B$6:$B$8)))</f>
        <v>0.0146489104116223</v>
      </c>
      <c r="L2016" s="7">
        <f>J2016*税费参数!$B$12/(I2016*10000)</f>
        <v>0.017</v>
      </c>
      <c r="M2016" s="6">
        <f>I2016*10000*SUM(税费参数!$B$9:$B$10)/税费参数!$B$11</f>
        <v>225</v>
      </c>
    </row>
    <row r="2017" ht="21" customHeight="1" spans="1:13">
      <c r="A2017" s="5" t="s">
        <v>16</v>
      </c>
      <c r="B2017" s="6" t="s">
        <v>122</v>
      </c>
      <c r="C2017" s="6" t="s">
        <v>152</v>
      </c>
      <c r="D2017" s="6" t="s">
        <v>153</v>
      </c>
      <c r="E2017" s="6" t="s">
        <v>1317</v>
      </c>
      <c r="F2017" s="6" t="s">
        <v>2020</v>
      </c>
      <c r="G2017" s="6">
        <v>49.27</v>
      </c>
      <c r="H2017" s="6">
        <v>47.53</v>
      </c>
      <c r="I2017" s="6">
        <v>120</v>
      </c>
      <c r="J2017" s="6">
        <v>2000</v>
      </c>
      <c r="K2017" s="7">
        <f>(J2017-M2017)*税费参数!$B$12/(I2017*10000*(1+SUM(税费参数!$B$6:$B$8)))</f>
        <v>0.0143260694108152</v>
      </c>
      <c r="L2017" s="7">
        <f>J2017*税费参数!$B$12/(I2017*10000)</f>
        <v>0.0166666666666667</v>
      </c>
      <c r="M2017" s="6">
        <f>I2017*10000*SUM(税费参数!$B$9:$B$10)/税费参数!$B$11</f>
        <v>225</v>
      </c>
    </row>
    <row r="2018" ht="21" customHeight="1" spans="1:13">
      <c r="A2018" s="5" t="s">
        <v>16</v>
      </c>
      <c r="B2018" s="6" t="s">
        <v>122</v>
      </c>
      <c r="C2018" s="6" t="s">
        <v>152</v>
      </c>
      <c r="D2018" s="6" t="s">
        <v>153</v>
      </c>
      <c r="E2018" s="6" t="s">
        <v>1313</v>
      </c>
      <c r="F2018" s="6" t="s">
        <v>2003</v>
      </c>
      <c r="G2018" s="6">
        <v>48.95</v>
      </c>
      <c r="H2018" s="6">
        <v>48.47</v>
      </c>
      <c r="I2018" s="6">
        <v>115</v>
      </c>
      <c r="J2018" s="6">
        <v>2200</v>
      </c>
      <c r="K2018" s="7">
        <f>(J2018-M2018)*税费参数!$B$12/(I2018*10000*(1+SUM(税费参数!$B$6:$B$8)))</f>
        <v>0.0167122855037372</v>
      </c>
      <c r="L2018" s="7">
        <f>J2018*税费参数!$B$12/(I2018*10000)</f>
        <v>0.0191304347826087</v>
      </c>
      <c r="M2018" s="6">
        <f>I2018*10000*SUM(税费参数!$B$9:$B$10)/税费参数!$B$11</f>
        <v>215.625</v>
      </c>
    </row>
    <row r="2019" ht="21" customHeight="1" spans="1:13">
      <c r="A2019" s="5" t="s">
        <v>16</v>
      </c>
      <c r="B2019" s="6" t="s">
        <v>122</v>
      </c>
      <c r="C2019" s="6" t="s">
        <v>152</v>
      </c>
      <c r="D2019" s="6" t="s">
        <v>153</v>
      </c>
      <c r="E2019" s="6" t="s">
        <v>1313</v>
      </c>
      <c r="F2019" s="6" t="s">
        <v>2004</v>
      </c>
      <c r="G2019" s="6">
        <v>48.95</v>
      </c>
      <c r="H2019" s="6">
        <v>48.95</v>
      </c>
      <c r="I2019" s="6">
        <v>115</v>
      </c>
      <c r="J2019" s="6">
        <v>1800</v>
      </c>
      <c r="K2019" s="7">
        <f>(J2019-M2019)*税费参数!$B$12/(I2019*10000*(1+SUM(税费参数!$B$6:$B$8)))</f>
        <v>0.0133435098431414</v>
      </c>
      <c r="L2019" s="7">
        <f>J2019*税费参数!$B$12/(I2019*10000)</f>
        <v>0.0156521739130435</v>
      </c>
      <c r="M2019" s="6">
        <f>I2019*10000*SUM(税费参数!$B$9:$B$10)/税费参数!$B$11</f>
        <v>215.625</v>
      </c>
    </row>
    <row r="2020" ht="21" customHeight="1" spans="1:13">
      <c r="A2020" s="5" t="s">
        <v>16</v>
      </c>
      <c r="B2020" s="6" t="s">
        <v>122</v>
      </c>
      <c r="C2020" s="6" t="s">
        <v>152</v>
      </c>
      <c r="D2020" s="6" t="s">
        <v>153</v>
      </c>
      <c r="E2020" s="6" t="s">
        <v>1313</v>
      </c>
      <c r="F2020" s="6" t="s">
        <v>2005</v>
      </c>
      <c r="G2020" s="6">
        <v>48.95</v>
      </c>
      <c r="H2020" s="6">
        <v>50.29</v>
      </c>
      <c r="I2020" s="6">
        <v>115</v>
      </c>
      <c r="J2020" s="6">
        <v>1900</v>
      </c>
      <c r="K2020" s="7">
        <f>(J2020-M2020)*税费参数!$B$12/(I2020*10000*(1+SUM(税费参数!$B$6:$B$8)))</f>
        <v>0.0141857037582903</v>
      </c>
      <c r="L2020" s="7">
        <f>J2020*税费参数!$B$12/(I2020*10000)</f>
        <v>0.0165217391304348</v>
      </c>
      <c r="M2020" s="6">
        <f>I2020*10000*SUM(税费参数!$B$9:$B$10)/税费参数!$B$11</f>
        <v>215.625</v>
      </c>
    </row>
    <row r="2021" ht="21" customHeight="1" spans="1:13">
      <c r="A2021" s="5" t="s">
        <v>16</v>
      </c>
      <c r="B2021" s="6" t="s">
        <v>122</v>
      </c>
      <c r="C2021" s="6" t="s">
        <v>152</v>
      </c>
      <c r="D2021" s="6" t="s">
        <v>153</v>
      </c>
      <c r="E2021" s="6" t="s">
        <v>1313</v>
      </c>
      <c r="F2021" s="6" t="s">
        <v>2006</v>
      </c>
      <c r="G2021" s="6">
        <v>48.95</v>
      </c>
      <c r="H2021" s="6">
        <v>47.92</v>
      </c>
      <c r="I2021" s="6">
        <v>115</v>
      </c>
      <c r="J2021" s="6">
        <v>2000</v>
      </c>
      <c r="K2021" s="7">
        <f>(J2021-M2021)*税费参数!$B$12/(I2021*10000*(1+SUM(税费参数!$B$6:$B$8)))</f>
        <v>0.0150278976734393</v>
      </c>
      <c r="L2021" s="7">
        <f>J2021*税费参数!$B$12/(I2021*10000)</f>
        <v>0.0173913043478261</v>
      </c>
      <c r="M2021" s="6">
        <f>I2021*10000*SUM(税费参数!$B$9:$B$10)/税费参数!$B$11</f>
        <v>215.625</v>
      </c>
    </row>
    <row r="2022" ht="21" customHeight="1" spans="1:13">
      <c r="A2022" s="5" t="s">
        <v>16</v>
      </c>
      <c r="B2022" s="6" t="s">
        <v>122</v>
      </c>
      <c r="C2022" s="6" t="s">
        <v>152</v>
      </c>
      <c r="D2022" s="6" t="s">
        <v>153</v>
      </c>
      <c r="E2022" s="6" t="s">
        <v>1313</v>
      </c>
      <c r="F2022" s="6" t="s">
        <v>2007</v>
      </c>
      <c r="G2022" s="6">
        <v>48.95</v>
      </c>
      <c r="H2022" s="6">
        <v>47.53</v>
      </c>
      <c r="I2022" s="6">
        <v>115</v>
      </c>
      <c r="J2022" s="6">
        <v>1850</v>
      </c>
      <c r="K2022" s="7">
        <f>(J2022-M2022)*税费参数!$B$12/(I2022*10000*(1+SUM(税费参数!$B$6:$B$8)))</f>
        <v>0.0137646068007159</v>
      </c>
      <c r="L2022" s="7">
        <f>J2022*税费参数!$B$12/(I2022*10000)</f>
        <v>0.0160869565217391</v>
      </c>
      <c r="M2022" s="6">
        <f>I2022*10000*SUM(税费参数!$B$9:$B$10)/税费参数!$B$11</f>
        <v>215.625</v>
      </c>
    </row>
    <row r="2023" ht="21" customHeight="1" spans="1:13">
      <c r="A2023" s="5" t="s">
        <v>16</v>
      </c>
      <c r="B2023" s="6" t="s">
        <v>122</v>
      </c>
      <c r="C2023" s="6" t="s">
        <v>152</v>
      </c>
      <c r="D2023" s="6" t="s">
        <v>153</v>
      </c>
      <c r="E2023" s="6" t="s">
        <v>1313</v>
      </c>
      <c r="F2023" s="6" t="s">
        <v>2008</v>
      </c>
      <c r="G2023" s="6">
        <v>48.95</v>
      </c>
      <c r="H2023" s="6">
        <v>45.16</v>
      </c>
      <c r="I2023" s="6">
        <v>115</v>
      </c>
      <c r="J2023" s="6">
        <v>2000</v>
      </c>
      <c r="K2023" s="7">
        <f>(J2023-M2023)*税费参数!$B$12/(I2023*10000*(1+SUM(税费参数!$B$6:$B$8)))</f>
        <v>0.0150278976734393</v>
      </c>
      <c r="L2023" s="7">
        <f>J2023*税费参数!$B$12/(I2023*10000)</f>
        <v>0.0173913043478261</v>
      </c>
      <c r="M2023" s="6">
        <f>I2023*10000*SUM(税费参数!$B$9:$B$10)/税费参数!$B$11</f>
        <v>215.625</v>
      </c>
    </row>
    <row r="2024" ht="21" customHeight="1" spans="1:13">
      <c r="A2024" s="5" t="s">
        <v>16</v>
      </c>
      <c r="B2024" s="6" t="s">
        <v>122</v>
      </c>
      <c r="C2024" s="6" t="s">
        <v>152</v>
      </c>
      <c r="D2024" s="6" t="s">
        <v>153</v>
      </c>
      <c r="E2024" s="6" t="s">
        <v>1313</v>
      </c>
      <c r="F2024" s="6" t="s">
        <v>2009</v>
      </c>
      <c r="G2024" s="6">
        <v>48.95</v>
      </c>
      <c r="H2024" s="6">
        <v>51.15</v>
      </c>
      <c r="I2024" s="6">
        <v>115</v>
      </c>
      <c r="J2024" s="6">
        <v>1950</v>
      </c>
      <c r="K2024" s="7">
        <f>(J2024-M2024)*税费参数!$B$12/(I2024*10000*(1+SUM(税费参数!$B$6:$B$8)))</f>
        <v>0.0146068007158648</v>
      </c>
      <c r="L2024" s="7">
        <f>J2024*税费参数!$B$12/(I2024*10000)</f>
        <v>0.0169565217391304</v>
      </c>
      <c r="M2024" s="6">
        <f>I2024*10000*SUM(税费参数!$B$9:$B$10)/税费参数!$B$11</f>
        <v>215.625</v>
      </c>
    </row>
    <row r="2025" ht="21" customHeight="1" spans="1:13">
      <c r="A2025" s="5" t="s">
        <v>16</v>
      </c>
      <c r="B2025" s="6" t="s">
        <v>122</v>
      </c>
      <c r="C2025" s="6" t="s">
        <v>152</v>
      </c>
      <c r="D2025" s="6" t="s">
        <v>153</v>
      </c>
      <c r="E2025" s="6" t="s">
        <v>1313</v>
      </c>
      <c r="F2025" s="6" t="s">
        <v>2010</v>
      </c>
      <c r="G2025" s="6">
        <v>48.95</v>
      </c>
      <c r="H2025" s="6">
        <v>48.83</v>
      </c>
      <c r="I2025" s="6">
        <v>115</v>
      </c>
      <c r="J2025" s="6">
        <v>2400</v>
      </c>
      <c r="K2025" s="7">
        <f>(J2025-M2025)*税费参数!$B$12/(I2025*10000*(1+SUM(税费参数!$B$6:$B$8)))</f>
        <v>0.0183966733340352</v>
      </c>
      <c r="L2025" s="7">
        <f>J2025*税费参数!$B$12/(I2025*10000)</f>
        <v>0.0208695652173913</v>
      </c>
      <c r="M2025" s="6">
        <f>I2025*10000*SUM(税费参数!$B$9:$B$10)/税费参数!$B$11</f>
        <v>215.625</v>
      </c>
    </row>
    <row r="2026" ht="21" customHeight="1" spans="1:13">
      <c r="A2026" s="5" t="s">
        <v>16</v>
      </c>
      <c r="B2026" s="6" t="s">
        <v>122</v>
      </c>
      <c r="C2026" s="6" t="s">
        <v>152</v>
      </c>
      <c r="D2026" s="6" t="s">
        <v>153</v>
      </c>
      <c r="E2026" s="6" t="s">
        <v>1313</v>
      </c>
      <c r="F2026" s="6" t="s">
        <v>2011</v>
      </c>
      <c r="G2026" s="6">
        <v>48.95</v>
      </c>
      <c r="H2026" s="6">
        <v>48.47</v>
      </c>
      <c r="I2026" s="6">
        <v>115</v>
      </c>
      <c r="J2026" s="6">
        <v>2100</v>
      </c>
      <c r="K2026" s="7">
        <f>(J2026-M2026)*税费参数!$B$12/(I2026*10000*(1+SUM(税费参数!$B$6:$B$8)))</f>
        <v>0.0158700915885883</v>
      </c>
      <c r="L2026" s="7">
        <f>J2026*税费参数!$B$12/(I2026*10000)</f>
        <v>0.0182608695652174</v>
      </c>
      <c r="M2026" s="6">
        <f>I2026*10000*SUM(税费参数!$B$9:$B$10)/税费参数!$B$11</f>
        <v>215.625</v>
      </c>
    </row>
    <row r="2027" ht="21" customHeight="1" spans="1:13">
      <c r="A2027" s="5" t="s">
        <v>16</v>
      </c>
      <c r="B2027" s="6" t="s">
        <v>122</v>
      </c>
      <c r="C2027" s="6" t="s">
        <v>152</v>
      </c>
      <c r="D2027" s="6" t="s">
        <v>153</v>
      </c>
      <c r="E2027" s="6" t="s">
        <v>1313</v>
      </c>
      <c r="F2027" s="6" t="s">
        <v>2012</v>
      </c>
      <c r="G2027" s="6">
        <v>48.95</v>
      </c>
      <c r="H2027" s="6">
        <v>48.86</v>
      </c>
      <c r="I2027" s="6">
        <v>115</v>
      </c>
      <c r="J2027" s="6">
        <v>3300</v>
      </c>
      <c r="K2027" s="7">
        <f>(J2027-M2027)*税费参数!$B$12/(I2027*10000*(1+SUM(税费参数!$B$6:$B$8)))</f>
        <v>0.0259764185703758</v>
      </c>
      <c r="L2027" s="7">
        <f>J2027*税费参数!$B$12/(I2027*10000)</f>
        <v>0.028695652173913</v>
      </c>
      <c r="M2027" s="6">
        <f>I2027*10000*SUM(税费参数!$B$9:$B$10)/税费参数!$B$11</f>
        <v>215.625</v>
      </c>
    </row>
    <row r="2028" ht="21" customHeight="1" spans="1:13">
      <c r="A2028" s="5" t="s">
        <v>16</v>
      </c>
      <c r="B2028" s="6" t="s">
        <v>122</v>
      </c>
      <c r="C2028" s="6" t="s">
        <v>152</v>
      </c>
      <c r="D2028" s="6" t="s">
        <v>153</v>
      </c>
      <c r="E2028" s="6" t="s">
        <v>1313</v>
      </c>
      <c r="F2028" s="6" t="s">
        <v>2013</v>
      </c>
      <c r="G2028" s="6">
        <v>48.95</v>
      </c>
      <c r="H2028" s="6">
        <v>49.96</v>
      </c>
      <c r="I2028" s="6">
        <v>115</v>
      </c>
      <c r="J2028" s="6">
        <v>2500</v>
      </c>
      <c r="K2028" s="7">
        <f>(J2028-M2028)*税费参数!$B$12/(I2028*10000*(1+SUM(税费参数!$B$6:$B$8)))</f>
        <v>0.0192388672491841</v>
      </c>
      <c r="L2028" s="7">
        <f>J2028*税费参数!$B$12/(I2028*10000)</f>
        <v>0.0217391304347826</v>
      </c>
      <c r="M2028" s="6">
        <f>I2028*10000*SUM(税费参数!$B$9:$B$10)/税费参数!$B$11</f>
        <v>215.625</v>
      </c>
    </row>
    <row r="2029" ht="21" customHeight="1" spans="1:13">
      <c r="A2029" s="5" t="s">
        <v>16</v>
      </c>
      <c r="B2029" s="6" t="s">
        <v>122</v>
      </c>
      <c r="C2029" s="6" t="s">
        <v>152</v>
      </c>
      <c r="D2029" s="6" t="s">
        <v>153</v>
      </c>
      <c r="E2029" s="6" t="s">
        <v>1313</v>
      </c>
      <c r="F2029" s="6" t="s">
        <v>2014</v>
      </c>
      <c r="G2029" s="6">
        <v>48.95</v>
      </c>
      <c r="H2029" s="6">
        <v>50.02</v>
      </c>
      <c r="I2029" s="6">
        <v>115</v>
      </c>
      <c r="J2029" s="6">
        <v>2700</v>
      </c>
      <c r="K2029" s="7">
        <f>(J2029-M2029)*税费参数!$B$12/(I2029*10000*(1+SUM(税费参数!$B$6:$B$8)))</f>
        <v>0.0209232550794821</v>
      </c>
      <c r="L2029" s="7">
        <f>J2029*税费参数!$B$12/(I2029*10000)</f>
        <v>0.0234782608695652</v>
      </c>
      <c r="M2029" s="6">
        <f>I2029*10000*SUM(税费参数!$B$9:$B$10)/税费参数!$B$11</f>
        <v>215.625</v>
      </c>
    </row>
    <row r="2030" ht="21" customHeight="1" spans="1:13">
      <c r="A2030" s="5" t="s">
        <v>16</v>
      </c>
      <c r="B2030" s="6" t="s">
        <v>122</v>
      </c>
      <c r="C2030" s="6" t="s">
        <v>152</v>
      </c>
      <c r="D2030" s="6" t="s">
        <v>153</v>
      </c>
      <c r="E2030" s="6" t="s">
        <v>1313</v>
      </c>
      <c r="F2030" s="6" t="s">
        <v>2015</v>
      </c>
      <c r="G2030" s="6">
        <v>48.95</v>
      </c>
      <c r="H2030" s="6">
        <v>50.21</v>
      </c>
      <c r="I2030" s="6">
        <v>115</v>
      </c>
      <c r="J2030" s="6">
        <v>2200</v>
      </c>
      <c r="K2030" s="7">
        <f>(J2030-M2030)*税费参数!$B$12/(I2030*10000*(1+SUM(税费参数!$B$6:$B$8)))</f>
        <v>0.0167122855037372</v>
      </c>
      <c r="L2030" s="7">
        <f>J2030*税费参数!$B$12/(I2030*10000)</f>
        <v>0.0191304347826087</v>
      </c>
      <c r="M2030" s="6">
        <f>I2030*10000*SUM(税费参数!$B$9:$B$10)/税费参数!$B$11</f>
        <v>215.625</v>
      </c>
    </row>
    <row r="2031" ht="21" customHeight="1" spans="1:13">
      <c r="A2031" s="5" t="s">
        <v>16</v>
      </c>
      <c r="B2031" s="6" t="s">
        <v>122</v>
      </c>
      <c r="C2031" s="6" t="s">
        <v>152</v>
      </c>
      <c r="D2031" s="6" t="s">
        <v>153</v>
      </c>
      <c r="E2031" s="6" t="s">
        <v>1313</v>
      </c>
      <c r="F2031" s="6" t="s">
        <v>2016</v>
      </c>
      <c r="G2031" s="6">
        <v>48.95</v>
      </c>
      <c r="H2031" s="6">
        <v>47.84</v>
      </c>
      <c r="I2031" s="6">
        <v>115</v>
      </c>
      <c r="J2031" s="6">
        <v>2000</v>
      </c>
      <c r="K2031" s="7">
        <f>(J2031-M2031)*税费参数!$B$12/(I2031*10000*(1+SUM(税费参数!$B$6:$B$8)))</f>
        <v>0.0150278976734393</v>
      </c>
      <c r="L2031" s="7">
        <f>J2031*税费参数!$B$12/(I2031*10000)</f>
        <v>0.0173913043478261</v>
      </c>
      <c r="M2031" s="6">
        <f>I2031*10000*SUM(税费参数!$B$9:$B$10)/税费参数!$B$11</f>
        <v>215.625</v>
      </c>
    </row>
    <row r="2032" ht="21" customHeight="1" spans="1:13">
      <c r="A2032" s="5" t="s">
        <v>16</v>
      </c>
      <c r="B2032" s="6" t="s">
        <v>122</v>
      </c>
      <c r="C2032" s="6" t="s">
        <v>152</v>
      </c>
      <c r="D2032" s="6" t="s">
        <v>153</v>
      </c>
      <c r="E2032" s="6" t="s">
        <v>1313</v>
      </c>
      <c r="F2032" s="6" t="s">
        <v>2017</v>
      </c>
      <c r="G2032" s="6">
        <v>48.95</v>
      </c>
      <c r="H2032" s="6">
        <v>49.67</v>
      </c>
      <c r="I2032" s="6">
        <v>115</v>
      </c>
      <c r="J2032" s="6">
        <v>2100</v>
      </c>
      <c r="K2032" s="7">
        <f>(J2032-M2032)*税费参数!$B$12/(I2032*10000*(1+SUM(税费参数!$B$6:$B$8)))</f>
        <v>0.0158700915885883</v>
      </c>
      <c r="L2032" s="7">
        <f>J2032*税费参数!$B$12/(I2032*10000)</f>
        <v>0.0182608695652174</v>
      </c>
      <c r="M2032" s="6">
        <f>I2032*10000*SUM(税费参数!$B$9:$B$10)/税费参数!$B$11</f>
        <v>215.625</v>
      </c>
    </row>
    <row r="2033" ht="21" customHeight="1" spans="1:13">
      <c r="A2033" s="5" t="s">
        <v>16</v>
      </c>
      <c r="B2033" s="6" t="s">
        <v>122</v>
      </c>
      <c r="C2033" s="6" t="s">
        <v>152</v>
      </c>
      <c r="D2033" s="6" t="s">
        <v>153</v>
      </c>
      <c r="E2033" s="6" t="s">
        <v>1313</v>
      </c>
      <c r="F2033" s="6" t="s">
        <v>2018</v>
      </c>
      <c r="G2033" s="6">
        <v>48.95</v>
      </c>
      <c r="H2033" s="6">
        <v>49.24</v>
      </c>
      <c r="I2033" s="6">
        <v>115</v>
      </c>
      <c r="J2033" s="6">
        <v>2300</v>
      </c>
      <c r="K2033" s="7">
        <f>(J2033-M2033)*税费参数!$B$12/(I2033*10000*(1+SUM(税费参数!$B$6:$B$8)))</f>
        <v>0.0175544794188862</v>
      </c>
      <c r="L2033" s="7">
        <f>J2033*税费参数!$B$12/(I2033*10000)</f>
        <v>0.02</v>
      </c>
      <c r="M2033" s="6">
        <f>I2033*10000*SUM(税费参数!$B$9:$B$10)/税费参数!$B$11</f>
        <v>215.625</v>
      </c>
    </row>
    <row r="2034" ht="21" customHeight="1" spans="1:13">
      <c r="A2034" s="5" t="s">
        <v>16</v>
      </c>
      <c r="B2034" s="6" t="s">
        <v>122</v>
      </c>
      <c r="C2034" s="6" t="s">
        <v>152</v>
      </c>
      <c r="D2034" s="6" t="s">
        <v>153</v>
      </c>
      <c r="E2034" s="6" t="s">
        <v>1313</v>
      </c>
      <c r="F2034" s="6" t="s">
        <v>2019</v>
      </c>
      <c r="G2034" s="6">
        <v>48.95</v>
      </c>
      <c r="H2034" s="6">
        <v>47.53</v>
      </c>
      <c r="I2034" s="6">
        <v>115</v>
      </c>
      <c r="J2034" s="6">
        <v>2040</v>
      </c>
      <c r="K2034" s="7">
        <f>(J2034-M2034)*税费参数!$B$12/(I2034*10000*(1+SUM(税费参数!$B$6:$B$8)))</f>
        <v>0.0153647752394989</v>
      </c>
      <c r="L2034" s="7">
        <f>J2034*税费参数!$B$12/(I2034*10000)</f>
        <v>0.0177391304347826</v>
      </c>
      <c r="M2034" s="6">
        <f>I2034*10000*SUM(税费参数!$B$9:$B$10)/税费参数!$B$11</f>
        <v>215.625</v>
      </c>
    </row>
    <row r="2035" ht="21" customHeight="1" spans="1:13">
      <c r="A2035" s="5" t="s">
        <v>16</v>
      </c>
      <c r="B2035" s="6" t="s">
        <v>122</v>
      </c>
      <c r="C2035" s="6" t="s">
        <v>152</v>
      </c>
      <c r="D2035" s="6" t="s">
        <v>153</v>
      </c>
      <c r="E2035" s="6" t="s">
        <v>1313</v>
      </c>
      <c r="F2035" s="6" t="s">
        <v>2020</v>
      </c>
      <c r="G2035" s="6">
        <v>48.95</v>
      </c>
      <c r="H2035" s="6">
        <v>47.53</v>
      </c>
      <c r="I2035" s="6">
        <v>115</v>
      </c>
      <c r="J2035" s="6">
        <v>2000</v>
      </c>
      <c r="K2035" s="7">
        <f>(J2035-M2035)*税费参数!$B$12/(I2035*10000*(1+SUM(税费参数!$B$6:$B$8)))</f>
        <v>0.0150278976734393</v>
      </c>
      <c r="L2035" s="7">
        <f>J2035*税费参数!$B$12/(I2035*10000)</f>
        <v>0.0173913043478261</v>
      </c>
      <c r="M2035" s="6">
        <f>I2035*10000*SUM(税费参数!$B$9:$B$10)/税费参数!$B$11</f>
        <v>215.625</v>
      </c>
    </row>
    <row r="2036" ht="21" customHeight="1" spans="1:13">
      <c r="A2036" s="5" t="s">
        <v>16</v>
      </c>
      <c r="B2036" s="6" t="s">
        <v>122</v>
      </c>
      <c r="C2036" s="6" t="s">
        <v>152</v>
      </c>
      <c r="D2036" s="6" t="s">
        <v>153</v>
      </c>
      <c r="E2036" s="6" t="s">
        <v>1309</v>
      </c>
      <c r="F2036" s="6" t="s">
        <v>2003</v>
      </c>
      <c r="G2036" s="6">
        <v>49.97</v>
      </c>
      <c r="H2036" s="6">
        <v>48.47</v>
      </c>
      <c r="I2036" s="6">
        <v>110</v>
      </c>
      <c r="J2036" s="6">
        <v>2200</v>
      </c>
      <c r="K2036" s="7">
        <f>(J2036-M2036)*税费参数!$B$12/(I2036*10000*(1+SUM(税费参数!$B$6:$B$8)))</f>
        <v>0.0175544794188862</v>
      </c>
      <c r="L2036" s="7">
        <f>J2036*税费参数!$B$12/(I2036*10000)</f>
        <v>0.02</v>
      </c>
      <c r="M2036" s="6">
        <f>I2036*10000*SUM(税费参数!$B$9:$B$10)/税费参数!$B$11</f>
        <v>206.25</v>
      </c>
    </row>
    <row r="2037" ht="21" customHeight="1" spans="1:13">
      <c r="A2037" s="5" t="s">
        <v>16</v>
      </c>
      <c r="B2037" s="6" t="s">
        <v>122</v>
      </c>
      <c r="C2037" s="6" t="s">
        <v>152</v>
      </c>
      <c r="D2037" s="6" t="s">
        <v>153</v>
      </c>
      <c r="E2037" s="6" t="s">
        <v>1309</v>
      </c>
      <c r="F2037" s="6" t="s">
        <v>2004</v>
      </c>
      <c r="G2037" s="6">
        <v>49.97</v>
      </c>
      <c r="H2037" s="6">
        <v>48.95</v>
      </c>
      <c r="I2037" s="6">
        <v>110</v>
      </c>
      <c r="J2037" s="6">
        <v>1800</v>
      </c>
      <c r="K2037" s="7">
        <f>(J2037-M2037)*税费参数!$B$12/(I2037*10000*(1+SUM(税费参数!$B$6:$B$8)))</f>
        <v>0.0140325775918996</v>
      </c>
      <c r="L2037" s="7">
        <f>J2037*税费参数!$B$12/(I2037*10000)</f>
        <v>0.0163636363636364</v>
      </c>
      <c r="M2037" s="6">
        <f>I2037*10000*SUM(税费参数!$B$9:$B$10)/税费参数!$B$11</f>
        <v>206.25</v>
      </c>
    </row>
    <row r="2038" ht="21" customHeight="1" spans="1:13">
      <c r="A2038" s="5" t="s">
        <v>16</v>
      </c>
      <c r="B2038" s="6" t="s">
        <v>122</v>
      </c>
      <c r="C2038" s="6" t="s">
        <v>152</v>
      </c>
      <c r="D2038" s="6" t="s">
        <v>153</v>
      </c>
      <c r="E2038" s="6" t="s">
        <v>1309</v>
      </c>
      <c r="F2038" s="6" t="s">
        <v>2005</v>
      </c>
      <c r="G2038" s="6">
        <v>49.97</v>
      </c>
      <c r="H2038" s="6">
        <v>50.29</v>
      </c>
      <c r="I2038" s="6">
        <v>110</v>
      </c>
      <c r="J2038" s="6">
        <v>1900</v>
      </c>
      <c r="K2038" s="7">
        <f>(J2038-M2038)*税费参数!$B$12/(I2038*10000*(1+SUM(税费参数!$B$6:$B$8)))</f>
        <v>0.0149130530486463</v>
      </c>
      <c r="L2038" s="7">
        <f>J2038*税费参数!$B$12/(I2038*10000)</f>
        <v>0.0172727272727273</v>
      </c>
      <c r="M2038" s="6">
        <f>I2038*10000*SUM(税费参数!$B$9:$B$10)/税费参数!$B$11</f>
        <v>206.25</v>
      </c>
    </row>
    <row r="2039" ht="21" customHeight="1" spans="1:13">
      <c r="A2039" s="5" t="s">
        <v>16</v>
      </c>
      <c r="B2039" s="6" t="s">
        <v>122</v>
      </c>
      <c r="C2039" s="6" t="s">
        <v>152</v>
      </c>
      <c r="D2039" s="6" t="s">
        <v>153</v>
      </c>
      <c r="E2039" s="6" t="s">
        <v>1309</v>
      </c>
      <c r="F2039" s="6" t="s">
        <v>2006</v>
      </c>
      <c r="G2039" s="6">
        <v>49.97</v>
      </c>
      <c r="H2039" s="6">
        <v>47.92</v>
      </c>
      <c r="I2039" s="6">
        <v>110</v>
      </c>
      <c r="J2039" s="6">
        <v>2000</v>
      </c>
      <c r="K2039" s="7">
        <f>(J2039-M2039)*税费参数!$B$12/(I2039*10000*(1+SUM(税费参数!$B$6:$B$8)))</f>
        <v>0.0157935285053929</v>
      </c>
      <c r="L2039" s="7">
        <f>J2039*税费参数!$B$12/(I2039*10000)</f>
        <v>0.0181818181818182</v>
      </c>
      <c r="M2039" s="6">
        <f>I2039*10000*SUM(税费参数!$B$9:$B$10)/税费参数!$B$11</f>
        <v>206.25</v>
      </c>
    </row>
    <row r="2040" ht="21" customHeight="1" spans="1:13">
      <c r="A2040" s="5" t="s">
        <v>16</v>
      </c>
      <c r="B2040" s="6" t="s">
        <v>122</v>
      </c>
      <c r="C2040" s="6" t="s">
        <v>152</v>
      </c>
      <c r="D2040" s="6" t="s">
        <v>153</v>
      </c>
      <c r="E2040" s="6" t="s">
        <v>1309</v>
      </c>
      <c r="F2040" s="6" t="s">
        <v>2007</v>
      </c>
      <c r="G2040" s="6">
        <v>49.97</v>
      </c>
      <c r="H2040" s="6">
        <v>47.53</v>
      </c>
      <c r="I2040" s="6">
        <v>110</v>
      </c>
      <c r="J2040" s="6">
        <v>1850</v>
      </c>
      <c r="K2040" s="7">
        <f>(J2040-M2040)*税费参数!$B$12/(I2040*10000*(1+SUM(税费参数!$B$6:$B$8)))</f>
        <v>0.0144728153202729</v>
      </c>
      <c r="L2040" s="7">
        <f>J2040*税费参数!$B$12/(I2040*10000)</f>
        <v>0.0168181818181818</v>
      </c>
      <c r="M2040" s="6">
        <f>I2040*10000*SUM(税费参数!$B$9:$B$10)/税费参数!$B$11</f>
        <v>206.25</v>
      </c>
    </row>
    <row r="2041" ht="21" customHeight="1" spans="1:13">
      <c r="A2041" s="5" t="s">
        <v>16</v>
      </c>
      <c r="B2041" s="6" t="s">
        <v>122</v>
      </c>
      <c r="C2041" s="6" t="s">
        <v>152</v>
      </c>
      <c r="D2041" s="6" t="s">
        <v>153</v>
      </c>
      <c r="E2041" s="6" t="s">
        <v>1309</v>
      </c>
      <c r="F2041" s="6" t="s">
        <v>2008</v>
      </c>
      <c r="G2041" s="6">
        <v>49.97</v>
      </c>
      <c r="H2041" s="6">
        <v>45.16</v>
      </c>
      <c r="I2041" s="6">
        <v>110</v>
      </c>
      <c r="J2041" s="6">
        <v>2000</v>
      </c>
      <c r="K2041" s="7">
        <f>(J2041-M2041)*税费参数!$B$12/(I2041*10000*(1+SUM(税费参数!$B$6:$B$8)))</f>
        <v>0.0157935285053929</v>
      </c>
      <c r="L2041" s="7">
        <f>J2041*税费参数!$B$12/(I2041*10000)</f>
        <v>0.0181818181818182</v>
      </c>
      <c r="M2041" s="6">
        <f>I2041*10000*SUM(税费参数!$B$9:$B$10)/税费参数!$B$11</f>
        <v>206.25</v>
      </c>
    </row>
    <row r="2042" ht="21" customHeight="1" spans="1:13">
      <c r="A2042" s="5" t="s">
        <v>16</v>
      </c>
      <c r="B2042" s="6" t="s">
        <v>122</v>
      </c>
      <c r="C2042" s="6" t="s">
        <v>152</v>
      </c>
      <c r="D2042" s="6" t="s">
        <v>153</v>
      </c>
      <c r="E2042" s="6" t="s">
        <v>1309</v>
      </c>
      <c r="F2042" s="6" t="s">
        <v>2009</v>
      </c>
      <c r="G2042" s="6">
        <v>49.97</v>
      </c>
      <c r="H2042" s="6">
        <v>51.15</v>
      </c>
      <c r="I2042" s="6">
        <v>110</v>
      </c>
      <c r="J2042" s="6">
        <v>1950</v>
      </c>
      <c r="K2042" s="7">
        <f>(J2042-M2042)*税费参数!$B$12/(I2042*10000*(1+SUM(税费参数!$B$6:$B$8)))</f>
        <v>0.0153532907770196</v>
      </c>
      <c r="L2042" s="7">
        <f>J2042*税费参数!$B$12/(I2042*10000)</f>
        <v>0.0177272727272727</v>
      </c>
      <c r="M2042" s="6">
        <f>I2042*10000*SUM(税费参数!$B$9:$B$10)/税费参数!$B$11</f>
        <v>206.25</v>
      </c>
    </row>
    <row r="2043" ht="21" customHeight="1" spans="1:13">
      <c r="A2043" s="5" t="s">
        <v>16</v>
      </c>
      <c r="B2043" s="6" t="s">
        <v>122</v>
      </c>
      <c r="C2043" s="6" t="s">
        <v>152</v>
      </c>
      <c r="D2043" s="6" t="s">
        <v>153</v>
      </c>
      <c r="E2043" s="6" t="s">
        <v>1309</v>
      </c>
      <c r="F2043" s="6" t="s">
        <v>2010</v>
      </c>
      <c r="G2043" s="6">
        <v>49.97</v>
      </c>
      <c r="H2043" s="6">
        <v>48.83</v>
      </c>
      <c r="I2043" s="6">
        <v>110</v>
      </c>
      <c r="J2043" s="6">
        <v>2400</v>
      </c>
      <c r="K2043" s="7">
        <f>(J2043-M2043)*税费参数!$B$12/(I2043*10000*(1+SUM(税费参数!$B$6:$B$8)))</f>
        <v>0.0193154303323795</v>
      </c>
      <c r="L2043" s="7">
        <f>J2043*税费参数!$B$12/(I2043*10000)</f>
        <v>0.0218181818181818</v>
      </c>
      <c r="M2043" s="6">
        <f>I2043*10000*SUM(税费参数!$B$9:$B$10)/税费参数!$B$11</f>
        <v>206.25</v>
      </c>
    </row>
    <row r="2044" ht="21" customHeight="1" spans="1:13">
      <c r="A2044" s="5" t="s">
        <v>16</v>
      </c>
      <c r="B2044" s="6" t="s">
        <v>122</v>
      </c>
      <c r="C2044" s="6" t="s">
        <v>152</v>
      </c>
      <c r="D2044" s="6" t="s">
        <v>153</v>
      </c>
      <c r="E2044" s="6" t="s">
        <v>1309</v>
      </c>
      <c r="F2044" s="6" t="s">
        <v>2011</v>
      </c>
      <c r="G2044" s="6">
        <v>49.97</v>
      </c>
      <c r="H2044" s="6">
        <v>48.47</v>
      </c>
      <c r="I2044" s="6">
        <v>110</v>
      </c>
      <c r="J2044" s="6">
        <v>2100</v>
      </c>
      <c r="K2044" s="7">
        <f>(J2044-M2044)*税费参数!$B$12/(I2044*10000*(1+SUM(税费参数!$B$6:$B$8)))</f>
        <v>0.0166740039621396</v>
      </c>
      <c r="L2044" s="7">
        <f>J2044*税费参数!$B$12/(I2044*10000)</f>
        <v>0.0190909090909091</v>
      </c>
      <c r="M2044" s="6">
        <f>I2044*10000*SUM(税费参数!$B$9:$B$10)/税费参数!$B$11</f>
        <v>206.25</v>
      </c>
    </row>
    <row r="2045" ht="21" customHeight="1" spans="1:13">
      <c r="A2045" s="5" t="s">
        <v>16</v>
      </c>
      <c r="B2045" s="6" t="s">
        <v>122</v>
      </c>
      <c r="C2045" s="6" t="s">
        <v>152</v>
      </c>
      <c r="D2045" s="6" t="s">
        <v>153</v>
      </c>
      <c r="E2045" s="6" t="s">
        <v>1309</v>
      </c>
      <c r="F2045" s="6" t="s">
        <v>2012</v>
      </c>
      <c r="G2045" s="6">
        <v>49.97</v>
      </c>
      <c r="H2045" s="6">
        <v>48.86</v>
      </c>
      <c r="I2045" s="6">
        <v>110</v>
      </c>
      <c r="J2045" s="6">
        <v>3300</v>
      </c>
      <c r="K2045" s="7">
        <f>(J2045-M2045)*税费参数!$B$12/(I2045*10000*(1+SUM(税费参数!$B$6:$B$8)))</f>
        <v>0.0272397094430993</v>
      </c>
      <c r="L2045" s="7">
        <f>J2045*税费参数!$B$12/(I2045*10000)</f>
        <v>0.03</v>
      </c>
      <c r="M2045" s="6">
        <f>I2045*10000*SUM(税费参数!$B$9:$B$10)/税费参数!$B$11</f>
        <v>206.25</v>
      </c>
    </row>
    <row r="2046" ht="21" customHeight="1" spans="1:13">
      <c r="A2046" s="5" t="s">
        <v>16</v>
      </c>
      <c r="B2046" s="6" t="s">
        <v>122</v>
      </c>
      <c r="C2046" s="6" t="s">
        <v>152</v>
      </c>
      <c r="D2046" s="6" t="s">
        <v>153</v>
      </c>
      <c r="E2046" s="6" t="s">
        <v>1309</v>
      </c>
      <c r="F2046" s="6" t="s">
        <v>2013</v>
      </c>
      <c r="G2046" s="6">
        <v>49.97</v>
      </c>
      <c r="H2046" s="6">
        <v>49.96</v>
      </c>
      <c r="I2046" s="6">
        <v>110</v>
      </c>
      <c r="J2046" s="6">
        <v>2500</v>
      </c>
      <c r="K2046" s="7">
        <f>(J2046-M2046)*税费参数!$B$12/(I2046*10000*(1+SUM(税费参数!$B$6:$B$8)))</f>
        <v>0.0201959057891261</v>
      </c>
      <c r="L2046" s="7">
        <f>J2046*税费参数!$B$12/(I2046*10000)</f>
        <v>0.0227272727272727</v>
      </c>
      <c r="M2046" s="6">
        <f>I2046*10000*SUM(税费参数!$B$9:$B$10)/税费参数!$B$11</f>
        <v>206.25</v>
      </c>
    </row>
    <row r="2047" ht="21" customHeight="1" spans="1:13">
      <c r="A2047" s="5" t="s">
        <v>16</v>
      </c>
      <c r="B2047" s="6" t="s">
        <v>122</v>
      </c>
      <c r="C2047" s="6" t="s">
        <v>152</v>
      </c>
      <c r="D2047" s="6" t="s">
        <v>153</v>
      </c>
      <c r="E2047" s="6" t="s">
        <v>1309</v>
      </c>
      <c r="F2047" s="6" t="s">
        <v>2014</v>
      </c>
      <c r="G2047" s="6">
        <v>49.97</v>
      </c>
      <c r="H2047" s="6">
        <v>50.02</v>
      </c>
      <c r="I2047" s="6">
        <v>110</v>
      </c>
      <c r="J2047" s="6">
        <v>2700</v>
      </c>
      <c r="K2047" s="7">
        <f>(J2047-M2047)*税费参数!$B$12/(I2047*10000*(1+SUM(税费参数!$B$6:$B$8)))</f>
        <v>0.0219568567026194</v>
      </c>
      <c r="L2047" s="7">
        <f>J2047*税费参数!$B$12/(I2047*10000)</f>
        <v>0.0245454545454545</v>
      </c>
      <c r="M2047" s="6">
        <f>I2047*10000*SUM(税费参数!$B$9:$B$10)/税费参数!$B$11</f>
        <v>206.25</v>
      </c>
    </row>
    <row r="2048" ht="21" customHeight="1" spans="1:13">
      <c r="A2048" s="5" t="s">
        <v>16</v>
      </c>
      <c r="B2048" s="6" t="s">
        <v>122</v>
      </c>
      <c r="C2048" s="6" t="s">
        <v>152</v>
      </c>
      <c r="D2048" s="6" t="s">
        <v>153</v>
      </c>
      <c r="E2048" s="6" t="s">
        <v>1309</v>
      </c>
      <c r="F2048" s="6" t="s">
        <v>2015</v>
      </c>
      <c r="G2048" s="6">
        <v>49.97</v>
      </c>
      <c r="H2048" s="6">
        <v>50.21</v>
      </c>
      <c r="I2048" s="6">
        <v>110</v>
      </c>
      <c r="J2048" s="6">
        <v>2200</v>
      </c>
      <c r="K2048" s="7">
        <f>(J2048-M2048)*税费参数!$B$12/(I2048*10000*(1+SUM(税费参数!$B$6:$B$8)))</f>
        <v>0.0175544794188862</v>
      </c>
      <c r="L2048" s="7">
        <f>J2048*税费参数!$B$12/(I2048*10000)</f>
        <v>0.02</v>
      </c>
      <c r="M2048" s="6">
        <f>I2048*10000*SUM(税费参数!$B$9:$B$10)/税费参数!$B$11</f>
        <v>206.25</v>
      </c>
    </row>
    <row r="2049" ht="21" customHeight="1" spans="1:13">
      <c r="A2049" s="5" t="s">
        <v>16</v>
      </c>
      <c r="B2049" s="6" t="s">
        <v>122</v>
      </c>
      <c r="C2049" s="6" t="s">
        <v>152</v>
      </c>
      <c r="D2049" s="6" t="s">
        <v>153</v>
      </c>
      <c r="E2049" s="6" t="s">
        <v>1309</v>
      </c>
      <c r="F2049" s="6" t="s">
        <v>2016</v>
      </c>
      <c r="G2049" s="6">
        <v>49.97</v>
      </c>
      <c r="H2049" s="6">
        <v>47.84</v>
      </c>
      <c r="I2049" s="6">
        <v>110</v>
      </c>
      <c r="J2049" s="6">
        <v>2000</v>
      </c>
      <c r="K2049" s="7">
        <f>(J2049-M2049)*税费参数!$B$12/(I2049*10000*(1+SUM(税费参数!$B$6:$B$8)))</f>
        <v>0.0157935285053929</v>
      </c>
      <c r="L2049" s="7">
        <f>J2049*税费参数!$B$12/(I2049*10000)</f>
        <v>0.0181818181818182</v>
      </c>
      <c r="M2049" s="6">
        <f>I2049*10000*SUM(税费参数!$B$9:$B$10)/税费参数!$B$11</f>
        <v>206.25</v>
      </c>
    </row>
    <row r="2050" ht="21" customHeight="1" spans="1:13">
      <c r="A2050" s="5" t="s">
        <v>16</v>
      </c>
      <c r="B2050" s="6" t="s">
        <v>122</v>
      </c>
      <c r="C2050" s="6" t="s">
        <v>152</v>
      </c>
      <c r="D2050" s="6" t="s">
        <v>153</v>
      </c>
      <c r="E2050" s="6" t="s">
        <v>1309</v>
      </c>
      <c r="F2050" s="6" t="s">
        <v>2017</v>
      </c>
      <c r="G2050" s="6">
        <v>49.97</v>
      </c>
      <c r="H2050" s="6">
        <v>49.67</v>
      </c>
      <c r="I2050" s="6">
        <v>110</v>
      </c>
      <c r="J2050" s="6">
        <v>2100</v>
      </c>
      <c r="K2050" s="7">
        <f>(J2050-M2050)*税费参数!$B$12/(I2050*10000*(1+SUM(税费参数!$B$6:$B$8)))</f>
        <v>0.0166740039621396</v>
      </c>
      <c r="L2050" s="7">
        <f>J2050*税费参数!$B$12/(I2050*10000)</f>
        <v>0.0190909090909091</v>
      </c>
      <c r="M2050" s="6">
        <f>I2050*10000*SUM(税费参数!$B$9:$B$10)/税费参数!$B$11</f>
        <v>206.25</v>
      </c>
    </row>
    <row r="2051" ht="21" customHeight="1" spans="1:13">
      <c r="A2051" s="5" t="s">
        <v>16</v>
      </c>
      <c r="B2051" s="6" t="s">
        <v>122</v>
      </c>
      <c r="C2051" s="6" t="s">
        <v>152</v>
      </c>
      <c r="D2051" s="6" t="s">
        <v>153</v>
      </c>
      <c r="E2051" s="6" t="s">
        <v>1309</v>
      </c>
      <c r="F2051" s="6" t="s">
        <v>2018</v>
      </c>
      <c r="G2051" s="6">
        <v>49.97</v>
      </c>
      <c r="H2051" s="6">
        <v>49.24</v>
      </c>
      <c r="I2051" s="6">
        <v>110</v>
      </c>
      <c r="J2051" s="6">
        <v>2300</v>
      </c>
      <c r="K2051" s="7">
        <f>(J2051-M2051)*税费参数!$B$12/(I2051*10000*(1+SUM(税费参数!$B$6:$B$8)))</f>
        <v>0.0184349548756328</v>
      </c>
      <c r="L2051" s="7">
        <f>J2051*税费参数!$B$12/(I2051*10000)</f>
        <v>0.0209090909090909</v>
      </c>
      <c r="M2051" s="6">
        <f>I2051*10000*SUM(税费参数!$B$9:$B$10)/税费参数!$B$11</f>
        <v>206.25</v>
      </c>
    </row>
    <row r="2052" ht="21" customHeight="1" spans="1:13">
      <c r="A2052" s="5" t="s">
        <v>16</v>
      </c>
      <c r="B2052" s="6" t="s">
        <v>122</v>
      </c>
      <c r="C2052" s="6" t="s">
        <v>152</v>
      </c>
      <c r="D2052" s="6" t="s">
        <v>153</v>
      </c>
      <c r="E2052" s="6" t="s">
        <v>1309</v>
      </c>
      <c r="F2052" s="6" t="s">
        <v>2019</v>
      </c>
      <c r="G2052" s="6">
        <v>49.97</v>
      </c>
      <c r="H2052" s="6">
        <v>47.53</v>
      </c>
      <c r="I2052" s="6">
        <v>110</v>
      </c>
      <c r="J2052" s="6">
        <v>2040</v>
      </c>
      <c r="K2052" s="7">
        <f>(J2052-M2052)*税费参数!$B$12/(I2052*10000*(1+SUM(税费参数!$B$6:$B$8)))</f>
        <v>0.0161457186880916</v>
      </c>
      <c r="L2052" s="7">
        <f>J2052*税费参数!$B$12/(I2052*10000)</f>
        <v>0.0185454545454545</v>
      </c>
      <c r="M2052" s="6">
        <f>I2052*10000*SUM(税费参数!$B$9:$B$10)/税费参数!$B$11</f>
        <v>206.25</v>
      </c>
    </row>
    <row r="2053" ht="21" customHeight="1" spans="1:13">
      <c r="A2053" s="5" t="s">
        <v>16</v>
      </c>
      <c r="B2053" s="6" t="s">
        <v>122</v>
      </c>
      <c r="C2053" s="6" t="s">
        <v>152</v>
      </c>
      <c r="D2053" s="6" t="s">
        <v>153</v>
      </c>
      <c r="E2053" s="6" t="s">
        <v>1309</v>
      </c>
      <c r="F2053" s="6" t="s">
        <v>2020</v>
      </c>
      <c r="G2053" s="6">
        <v>49.97</v>
      </c>
      <c r="H2053" s="6">
        <v>47.53</v>
      </c>
      <c r="I2053" s="6">
        <v>110</v>
      </c>
      <c r="J2053" s="6">
        <v>2000</v>
      </c>
      <c r="K2053" s="7">
        <f>(J2053-M2053)*税费参数!$B$12/(I2053*10000*(1+SUM(税费参数!$B$6:$B$8)))</f>
        <v>0.0157935285053929</v>
      </c>
      <c r="L2053" s="7">
        <f>J2053*税费参数!$B$12/(I2053*10000)</f>
        <v>0.0181818181818182</v>
      </c>
      <c r="M2053" s="6">
        <f>I2053*10000*SUM(税费参数!$B$9:$B$10)/税费参数!$B$11</f>
        <v>206.25</v>
      </c>
    </row>
    <row r="2054" ht="21" customHeight="1" spans="1:13">
      <c r="A2054" s="5" t="s">
        <v>16</v>
      </c>
      <c r="B2054" s="6" t="s">
        <v>122</v>
      </c>
      <c r="C2054" s="6" t="s">
        <v>152</v>
      </c>
      <c r="D2054" s="6" t="s">
        <v>153</v>
      </c>
      <c r="E2054" s="6" t="s">
        <v>1319</v>
      </c>
      <c r="F2054" s="6" t="s">
        <v>2003</v>
      </c>
      <c r="G2054" s="6">
        <v>47.92</v>
      </c>
      <c r="H2054" s="6">
        <v>48.47</v>
      </c>
      <c r="I2054" s="6">
        <v>118</v>
      </c>
      <c r="J2054" s="6">
        <v>2200</v>
      </c>
      <c r="K2054" s="7">
        <f>(J2054-M2054)*税费参数!$B$12/(I2054*10000*(1+SUM(税费参数!$B$6:$B$8)))</f>
        <v>0.0162412278901793</v>
      </c>
      <c r="L2054" s="7">
        <f>J2054*税费参数!$B$12/(I2054*10000)</f>
        <v>0.0186440677966102</v>
      </c>
      <c r="M2054" s="6">
        <f>I2054*10000*SUM(税费参数!$B$9:$B$10)/税费参数!$B$11</f>
        <v>221.25</v>
      </c>
    </row>
    <row r="2055" ht="21" customHeight="1" spans="1:13">
      <c r="A2055" s="5" t="s">
        <v>16</v>
      </c>
      <c r="B2055" s="6" t="s">
        <v>122</v>
      </c>
      <c r="C2055" s="6" t="s">
        <v>152</v>
      </c>
      <c r="D2055" s="6" t="s">
        <v>153</v>
      </c>
      <c r="E2055" s="6" t="s">
        <v>1319</v>
      </c>
      <c r="F2055" s="6" t="s">
        <v>2004</v>
      </c>
      <c r="G2055" s="6">
        <v>47.92</v>
      </c>
      <c r="H2055" s="6">
        <v>48.95</v>
      </c>
      <c r="I2055" s="6">
        <v>118</v>
      </c>
      <c r="J2055" s="6">
        <v>1800</v>
      </c>
      <c r="K2055" s="7">
        <f>(J2055-M2055)*税费参数!$B$12/(I2055*10000*(1+SUM(税费参数!$B$6:$B$8)))</f>
        <v>0.0129580990684122</v>
      </c>
      <c r="L2055" s="7">
        <f>J2055*税费参数!$B$12/(I2055*10000)</f>
        <v>0.0152542372881356</v>
      </c>
      <c r="M2055" s="6">
        <f>I2055*10000*SUM(税费参数!$B$9:$B$10)/税费参数!$B$11</f>
        <v>221.25</v>
      </c>
    </row>
    <row r="2056" ht="21" customHeight="1" spans="1:13">
      <c r="A2056" s="5" t="s">
        <v>16</v>
      </c>
      <c r="B2056" s="6" t="s">
        <v>122</v>
      </c>
      <c r="C2056" s="6" t="s">
        <v>152</v>
      </c>
      <c r="D2056" s="6" t="s">
        <v>153</v>
      </c>
      <c r="E2056" s="6" t="s">
        <v>1319</v>
      </c>
      <c r="F2056" s="6" t="s">
        <v>2005</v>
      </c>
      <c r="G2056" s="6">
        <v>47.92</v>
      </c>
      <c r="H2056" s="6">
        <v>50.29</v>
      </c>
      <c r="I2056" s="6">
        <v>118</v>
      </c>
      <c r="J2056" s="6">
        <v>1900</v>
      </c>
      <c r="K2056" s="7">
        <f>(J2056-M2056)*税费参数!$B$12/(I2056*10000*(1+SUM(税费参数!$B$6:$B$8)))</f>
        <v>0.013778881273854</v>
      </c>
      <c r="L2056" s="7">
        <f>J2056*税费参数!$B$12/(I2056*10000)</f>
        <v>0.0161016949152542</v>
      </c>
      <c r="M2056" s="6">
        <f>I2056*10000*SUM(税费参数!$B$9:$B$10)/税费参数!$B$11</f>
        <v>221.25</v>
      </c>
    </row>
    <row r="2057" ht="21" customHeight="1" spans="1:13">
      <c r="A2057" s="5" t="s">
        <v>16</v>
      </c>
      <c r="B2057" s="6" t="s">
        <v>122</v>
      </c>
      <c r="C2057" s="6" t="s">
        <v>152</v>
      </c>
      <c r="D2057" s="6" t="s">
        <v>153</v>
      </c>
      <c r="E2057" s="6" t="s">
        <v>1319</v>
      </c>
      <c r="F2057" s="6" t="s">
        <v>2006</v>
      </c>
      <c r="G2057" s="6">
        <v>47.92</v>
      </c>
      <c r="H2057" s="6">
        <v>47.92</v>
      </c>
      <c r="I2057" s="6">
        <v>118</v>
      </c>
      <c r="J2057" s="6">
        <v>2000</v>
      </c>
      <c r="K2057" s="7">
        <f>(J2057-M2057)*税费参数!$B$12/(I2057*10000*(1+SUM(税费参数!$B$6:$B$8)))</f>
        <v>0.0145996634792958</v>
      </c>
      <c r="L2057" s="7">
        <f>J2057*税费参数!$B$12/(I2057*10000)</f>
        <v>0.0169491525423729</v>
      </c>
      <c r="M2057" s="6">
        <f>I2057*10000*SUM(税费参数!$B$9:$B$10)/税费参数!$B$11</f>
        <v>221.25</v>
      </c>
    </row>
    <row r="2058" ht="21" customHeight="1" spans="1:13">
      <c r="A2058" s="5" t="s">
        <v>16</v>
      </c>
      <c r="B2058" s="6" t="s">
        <v>122</v>
      </c>
      <c r="C2058" s="6" t="s">
        <v>152</v>
      </c>
      <c r="D2058" s="6" t="s">
        <v>153</v>
      </c>
      <c r="E2058" s="6" t="s">
        <v>1319</v>
      </c>
      <c r="F2058" s="6" t="s">
        <v>2007</v>
      </c>
      <c r="G2058" s="6">
        <v>47.92</v>
      </c>
      <c r="H2058" s="6">
        <v>47.53</v>
      </c>
      <c r="I2058" s="6">
        <v>118</v>
      </c>
      <c r="J2058" s="6">
        <v>1850</v>
      </c>
      <c r="K2058" s="7">
        <f>(J2058-M2058)*税费参数!$B$12/(I2058*10000*(1+SUM(税费参数!$B$6:$B$8)))</f>
        <v>0.0133684901711331</v>
      </c>
      <c r="L2058" s="7">
        <f>J2058*税费参数!$B$12/(I2058*10000)</f>
        <v>0.0156779661016949</v>
      </c>
      <c r="M2058" s="6">
        <f>I2058*10000*SUM(税费参数!$B$9:$B$10)/税费参数!$B$11</f>
        <v>221.25</v>
      </c>
    </row>
    <row r="2059" ht="21" customHeight="1" spans="1:13">
      <c r="A2059" s="5" t="s">
        <v>16</v>
      </c>
      <c r="B2059" s="6" t="s">
        <v>122</v>
      </c>
      <c r="C2059" s="6" t="s">
        <v>152</v>
      </c>
      <c r="D2059" s="6" t="s">
        <v>153</v>
      </c>
      <c r="E2059" s="6" t="s">
        <v>1319</v>
      </c>
      <c r="F2059" s="6" t="s">
        <v>2008</v>
      </c>
      <c r="G2059" s="6">
        <v>47.92</v>
      </c>
      <c r="H2059" s="6">
        <v>45.16</v>
      </c>
      <c r="I2059" s="6">
        <v>118</v>
      </c>
      <c r="J2059" s="6">
        <v>2000</v>
      </c>
      <c r="K2059" s="7">
        <f>(J2059-M2059)*税费参数!$B$12/(I2059*10000*(1+SUM(税费参数!$B$6:$B$8)))</f>
        <v>0.0145996634792958</v>
      </c>
      <c r="L2059" s="7">
        <f>J2059*税费参数!$B$12/(I2059*10000)</f>
        <v>0.0169491525423729</v>
      </c>
      <c r="M2059" s="6">
        <f>I2059*10000*SUM(税费参数!$B$9:$B$10)/税费参数!$B$11</f>
        <v>221.25</v>
      </c>
    </row>
    <row r="2060" ht="21" customHeight="1" spans="1:13">
      <c r="A2060" s="5" t="s">
        <v>16</v>
      </c>
      <c r="B2060" s="6" t="s">
        <v>122</v>
      </c>
      <c r="C2060" s="6" t="s">
        <v>152</v>
      </c>
      <c r="D2060" s="6" t="s">
        <v>153</v>
      </c>
      <c r="E2060" s="6" t="s">
        <v>1319</v>
      </c>
      <c r="F2060" s="6" t="s">
        <v>2009</v>
      </c>
      <c r="G2060" s="6">
        <v>47.92</v>
      </c>
      <c r="H2060" s="6">
        <v>51.15</v>
      </c>
      <c r="I2060" s="6">
        <v>118</v>
      </c>
      <c r="J2060" s="6">
        <v>1950</v>
      </c>
      <c r="K2060" s="7">
        <f>(J2060-M2060)*税费参数!$B$12/(I2060*10000*(1+SUM(税费参数!$B$6:$B$8)))</f>
        <v>0.0141892723765749</v>
      </c>
      <c r="L2060" s="7">
        <f>J2060*税费参数!$B$12/(I2060*10000)</f>
        <v>0.0165254237288136</v>
      </c>
      <c r="M2060" s="6">
        <f>I2060*10000*SUM(税费参数!$B$9:$B$10)/税费参数!$B$11</f>
        <v>221.25</v>
      </c>
    </row>
    <row r="2061" ht="21" customHeight="1" spans="1:13">
      <c r="A2061" s="5" t="s">
        <v>16</v>
      </c>
      <c r="B2061" s="6" t="s">
        <v>122</v>
      </c>
      <c r="C2061" s="6" t="s">
        <v>152</v>
      </c>
      <c r="D2061" s="6" t="s">
        <v>153</v>
      </c>
      <c r="E2061" s="6" t="s">
        <v>1319</v>
      </c>
      <c r="F2061" s="6" t="s">
        <v>2010</v>
      </c>
      <c r="G2061" s="6">
        <v>47.92</v>
      </c>
      <c r="H2061" s="6">
        <v>48.83</v>
      </c>
      <c r="I2061" s="6">
        <v>118</v>
      </c>
      <c r="J2061" s="6">
        <v>2400</v>
      </c>
      <c r="K2061" s="7">
        <f>(J2061-M2061)*税费参数!$B$12/(I2061*10000*(1+SUM(税费参数!$B$6:$B$8)))</f>
        <v>0.0178827923010629</v>
      </c>
      <c r="L2061" s="7">
        <f>J2061*税费参数!$B$12/(I2061*10000)</f>
        <v>0.0203389830508475</v>
      </c>
      <c r="M2061" s="6">
        <f>I2061*10000*SUM(税费参数!$B$9:$B$10)/税费参数!$B$11</f>
        <v>221.25</v>
      </c>
    </row>
    <row r="2062" ht="21" customHeight="1" spans="1:13">
      <c r="A2062" s="5" t="s">
        <v>16</v>
      </c>
      <c r="B2062" s="6" t="s">
        <v>122</v>
      </c>
      <c r="C2062" s="6" t="s">
        <v>152</v>
      </c>
      <c r="D2062" s="6" t="s">
        <v>153</v>
      </c>
      <c r="E2062" s="6" t="s">
        <v>1319</v>
      </c>
      <c r="F2062" s="6" t="s">
        <v>2011</v>
      </c>
      <c r="G2062" s="6">
        <v>47.92</v>
      </c>
      <c r="H2062" s="6">
        <v>48.47</v>
      </c>
      <c r="I2062" s="6">
        <v>118</v>
      </c>
      <c r="J2062" s="6">
        <v>2100</v>
      </c>
      <c r="K2062" s="7">
        <f>(J2062-M2062)*税费参数!$B$12/(I2062*10000*(1+SUM(税费参数!$B$6:$B$8)))</f>
        <v>0.0154204456847376</v>
      </c>
      <c r="L2062" s="7">
        <f>J2062*税费参数!$B$12/(I2062*10000)</f>
        <v>0.0177966101694915</v>
      </c>
      <c r="M2062" s="6">
        <f>I2062*10000*SUM(税费参数!$B$9:$B$10)/税费参数!$B$11</f>
        <v>221.25</v>
      </c>
    </row>
    <row r="2063" ht="21" customHeight="1" spans="1:13">
      <c r="A2063" s="5" t="s">
        <v>16</v>
      </c>
      <c r="B2063" s="6" t="s">
        <v>122</v>
      </c>
      <c r="C2063" s="6" t="s">
        <v>152</v>
      </c>
      <c r="D2063" s="6" t="s">
        <v>153</v>
      </c>
      <c r="E2063" s="6" t="s">
        <v>1319</v>
      </c>
      <c r="F2063" s="6" t="s">
        <v>2012</v>
      </c>
      <c r="G2063" s="6">
        <v>47.92</v>
      </c>
      <c r="H2063" s="6">
        <v>48.86</v>
      </c>
      <c r="I2063" s="6">
        <v>118</v>
      </c>
      <c r="J2063" s="6">
        <v>3300</v>
      </c>
      <c r="K2063" s="7">
        <f>(J2063-M2063)*税费参数!$B$12/(I2063*10000*(1+SUM(税费参数!$B$6:$B$8)))</f>
        <v>0.025269832150039</v>
      </c>
      <c r="L2063" s="7">
        <f>J2063*税费参数!$B$12/(I2063*10000)</f>
        <v>0.0279661016949153</v>
      </c>
      <c r="M2063" s="6">
        <f>I2063*10000*SUM(税费参数!$B$9:$B$10)/税费参数!$B$11</f>
        <v>221.25</v>
      </c>
    </row>
    <row r="2064" ht="21" customHeight="1" spans="1:13">
      <c r="A2064" s="5" t="s">
        <v>16</v>
      </c>
      <c r="B2064" s="6" t="s">
        <v>122</v>
      </c>
      <c r="C2064" s="6" t="s">
        <v>152</v>
      </c>
      <c r="D2064" s="6" t="s">
        <v>153</v>
      </c>
      <c r="E2064" s="6" t="s">
        <v>1319</v>
      </c>
      <c r="F2064" s="6" t="s">
        <v>2013</v>
      </c>
      <c r="G2064" s="6">
        <v>47.92</v>
      </c>
      <c r="H2064" s="6">
        <v>49.96</v>
      </c>
      <c r="I2064" s="6">
        <v>118</v>
      </c>
      <c r="J2064" s="6">
        <v>2500</v>
      </c>
      <c r="K2064" s="7">
        <f>(J2064-M2064)*税费参数!$B$12/(I2064*10000*(1+SUM(税费参数!$B$6:$B$8)))</f>
        <v>0.0187035745065047</v>
      </c>
      <c r="L2064" s="7">
        <f>J2064*税费参数!$B$12/(I2064*10000)</f>
        <v>0.0211864406779661</v>
      </c>
      <c r="M2064" s="6">
        <f>I2064*10000*SUM(税费参数!$B$9:$B$10)/税费参数!$B$11</f>
        <v>221.25</v>
      </c>
    </row>
    <row r="2065" ht="21" customHeight="1" spans="1:13">
      <c r="A2065" s="5" t="s">
        <v>16</v>
      </c>
      <c r="B2065" s="6" t="s">
        <v>122</v>
      </c>
      <c r="C2065" s="6" t="s">
        <v>152</v>
      </c>
      <c r="D2065" s="6" t="s">
        <v>153</v>
      </c>
      <c r="E2065" s="6" t="s">
        <v>1319</v>
      </c>
      <c r="F2065" s="6" t="s">
        <v>2014</v>
      </c>
      <c r="G2065" s="6">
        <v>47.92</v>
      </c>
      <c r="H2065" s="6">
        <v>50.02</v>
      </c>
      <c r="I2065" s="6">
        <v>118</v>
      </c>
      <c r="J2065" s="6">
        <v>2700</v>
      </c>
      <c r="K2065" s="7">
        <f>(J2065-M2065)*税费参数!$B$12/(I2065*10000*(1+SUM(税费参数!$B$6:$B$8)))</f>
        <v>0.0203451389173883</v>
      </c>
      <c r="L2065" s="7">
        <f>J2065*税费参数!$B$12/(I2065*10000)</f>
        <v>0.0228813559322034</v>
      </c>
      <c r="M2065" s="6">
        <f>I2065*10000*SUM(税费参数!$B$9:$B$10)/税费参数!$B$11</f>
        <v>221.25</v>
      </c>
    </row>
    <row r="2066" ht="21" customHeight="1" spans="1:13">
      <c r="A2066" s="5" t="s">
        <v>16</v>
      </c>
      <c r="B2066" s="6" t="s">
        <v>122</v>
      </c>
      <c r="C2066" s="6" t="s">
        <v>152</v>
      </c>
      <c r="D2066" s="6" t="s">
        <v>153</v>
      </c>
      <c r="E2066" s="6" t="s">
        <v>1319</v>
      </c>
      <c r="F2066" s="6" t="s">
        <v>2015</v>
      </c>
      <c r="G2066" s="6">
        <v>47.92</v>
      </c>
      <c r="H2066" s="6">
        <v>50.21</v>
      </c>
      <c r="I2066" s="6">
        <v>118</v>
      </c>
      <c r="J2066" s="6">
        <v>2200</v>
      </c>
      <c r="K2066" s="7">
        <f>(J2066-M2066)*税费参数!$B$12/(I2066*10000*(1+SUM(税费参数!$B$6:$B$8)))</f>
        <v>0.0162412278901793</v>
      </c>
      <c r="L2066" s="7">
        <f>J2066*税费参数!$B$12/(I2066*10000)</f>
        <v>0.0186440677966102</v>
      </c>
      <c r="M2066" s="6">
        <f>I2066*10000*SUM(税费参数!$B$9:$B$10)/税费参数!$B$11</f>
        <v>221.25</v>
      </c>
    </row>
    <row r="2067" ht="21" customHeight="1" spans="1:13">
      <c r="A2067" s="5" t="s">
        <v>16</v>
      </c>
      <c r="B2067" s="6" t="s">
        <v>122</v>
      </c>
      <c r="C2067" s="6" t="s">
        <v>152</v>
      </c>
      <c r="D2067" s="6" t="s">
        <v>153</v>
      </c>
      <c r="E2067" s="6" t="s">
        <v>1319</v>
      </c>
      <c r="F2067" s="6" t="s">
        <v>2016</v>
      </c>
      <c r="G2067" s="6">
        <v>47.92</v>
      </c>
      <c r="H2067" s="6">
        <v>47.84</v>
      </c>
      <c r="I2067" s="6">
        <v>118</v>
      </c>
      <c r="J2067" s="6">
        <v>2000</v>
      </c>
      <c r="K2067" s="7">
        <f>(J2067-M2067)*税费参数!$B$12/(I2067*10000*(1+SUM(税费参数!$B$6:$B$8)))</f>
        <v>0.0145996634792958</v>
      </c>
      <c r="L2067" s="7">
        <f>J2067*税费参数!$B$12/(I2067*10000)</f>
        <v>0.0169491525423729</v>
      </c>
      <c r="M2067" s="6">
        <f>I2067*10000*SUM(税费参数!$B$9:$B$10)/税费参数!$B$11</f>
        <v>221.25</v>
      </c>
    </row>
    <row r="2068" ht="21" customHeight="1" spans="1:13">
      <c r="A2068" s="5" t="s">
        <v>16</v>
      </c>
      <c r="B2068" s="6" t="s">
        <v>122</v>
      </c>
      <c r="C2068" s="6" t="s">
        <v>152</v>
      </c>
      <c r="D2068" s="6" t="s">
        <v>153</v>
      </c>
      <c r="E2068" s="6" t="s">
        <v>1319</v>
      </c>
      <c r="F2068" s="6" t="s">
        <v>2017</v>
      </c>
      <c r="G2068" s="6">
        <v>47.92</v>
      </c>
      <c r="H2068" s="6">
        <v>49.67</v>
      </c>
      <c r="I2068" s="6">
        <v>118</v>
      </c>
      <c r="J2068" s="6">
        <v>2100</v>
      </c>
      <c r="K2068" s="7">
        <f>(J2068-M2068)*税费参数!$B$12/(I2068*10000*(1+SUM(税费参数!$B$6:$B$8)))</f>
        <v>0.0154204456847376</v>
      </c>
      <c r="L2068" s="7">
        <f>J2068*税费参数!$B$12/(I2068*10000)</f>
        <v>0.0177966101694915</v>
      </c>
      <c r="M2068" s="6">
        <f>I2068*10000*SUM(税费参数!$B$9:$B$10)/税费参数!$B$11</f>
        <v>221.25</v>
      </c>
    </row>
    <row r="2069" ht="21" customHeight="1" spans="1:13">
      <c r="A2069" s="5" t="s">
        <v>16</v>
      </c>
      <c r="B2069" s="6" t="s">
        <v>122</v>
      </c>
      <c r="C2069" s="6" t="s">
        <v>152</v>
      </c>
      <c r="D2069" s="6" t="s">
        <v>153</v>
      </c>
      <c r="E2069" s="6" t="s">
        <v>1319</v>
      </c>
      <c r="F2069" s="6" t="s">
        <v>2018</v>
      </c>
      <c r="G2069" s="6">
        <v>47.92</v>
      </c>
      <c r="H2069" s="6">
        <v>49.24</v>
      </c>
      <c r="I2069" s="6">
        <v>118</v>
      </c>
      <c r="J2069" s="6">
        <v>2300</v>
      </c>
      <c r="K2069" s="7">
        <f>(J2069-M2069)*税费参数!$B$12/(I2069*10000*(1+SUM(税费参数!$B$6:$B$8)))</f>
        <v>0.0170620100956211</v>
      </c>
      <c r="L2069" s="7">
        <f>J2069*税费参数!$B$12/(I2069*10000)</f>
        <v>0.0194915254237288</v>
      </c>
      <c r="M2069" s="6">
        <f>I2069*10000*SUM(税费参数!$B$9:$B$10)/税费参数!$B$11</f>
        <v>221.25</v>
      </c>
    </row>
    <row r="2070" ht="21" customHeight="1" spans="1:13">
      <c r="A2070" s="5" t="s">
        <v>16</v>
      </c>
      <c r="B2070" s="6" t="s">
        <v>122</v>
      </c>
      <c r="C2070" s="6" t="s">
        <v>152</v>
      </c>
      <c r="D2070" s="6" t="s">
        <v>153</v>
      </c>
      <c r="E2070" s="6" t="s">
        <v>1319</v>
      </c>
      <c r="F2070" s="6" t="s">
        <v>2019</v>
      </c>
      <c r="G2070" s="6">
        <v>47.92</v>
      </c>
      <c r="H2070" s="6">
        <v>47.53</v>
      </c>
      <c r="I2070" s="6">
        <v>118</v>
      </c>
      <c r="J2070" s="6">
        <v>2040</v>
      </c>
      <c r="K2070" s="7">
        <f>(J2070-M2070)*税费参数!$B$12/(I2070*10000*(1+SUM(税费参数!$B$6:$B$8)))</f>
        <v>0.0149279763614725</v>
      </c>
      <c r="L2070" s="7">
        <f>J2070*税费参数!$B$12/(I2070*10000)</f>
        <v>0.0172881355932203</v>
      </c>
      <c r="M2070" s="6">
        <f>I2070*10000*SUM(税费参数!$B$9:$B$10)/税费参数!$B$11</f>
        <v>221.25</v>
      </c>
    </row>
    <row r="2071" ht="21" customHeight="1" spans="1:13">
      <c r="A2071" s="5" t="s">
        <v>16</v>
      </c>
      <c r="B2071" s="6" t="s">
        <v>122</v>
      </c>
      <c r="C2071" s="6" t="s">
        <v>152</v>
      </c>
      <c r="D2071" s="6" t="s">
        <v>153</v>
      </c>
      <c r="E2071" s="6" t="s">
        <v>1319</v>
      </c>
      <c r="F2071" s="6" t="s">
        <v>2020</v>
      </c>
      <c r="G2071" s="6">
        <v>47.92</v>
      </c>
      <c r="H2071" s="6">
        <v>47.53</v>
      </c>
      <c r="I2071" s="6">
        <v>118</v>
      </c>
      <c r="J2071" s="6">
        <v>2000</v>
      </c>
      <c r="K2071" s="7">
        <f>(J2071-M2071)*税费参数!$B$12/(I2071*10000*(1+SUM(税费参数!$B$6:$B$8)))</f>
        <v>0.0145996634792958</v>
      </c>
      <c r="L2071" s="7">
        <f>J2071*税费参数!$B$12/(I2071*10000)</f>
        <v>0.0169491525423729</v>
      </c>
      <c r="M2071" s="6">
        <f>I2071*10000*SUM(税费参数!$B$9:$B$10)/税费参数!$B$11</f>
        <v>221.25</v>
      </c>
    </row>
    <row r="2072" ht="21" customHeight="1" spans="1:13">
      <c r="A2072" s="5" t="s">
        <v>16</v>
      </c>
      <c r="B2072" s="6" t="s">
        <v>122</v>
      </c>
      <c r="C2072" s="6" t="s">
        <v>152</v>
      </c>
      <c r="D2072" s="6" t="s">
        <v>153</v>
      </c>
      <c r="E2072" s="6" t="s">
        <v>1315</v>
      </c>
      <c r="F2072" s="6" t="s">
        <v>2003</v>
      </c>
      <c r="G2072" s="6">
        <v>47.53</v>
      </c>
      <c r="H2072" s="6">
        <v>48.47</v>
      </c>
      <c r="I2072" s="6">
        <v>112</v>
      </c>
      <c r="J2072" s="6">
        <v>2200</v>
      </c>
      <c r="K2072" s="7">
        <f>(J2072-M2072)*税费参数!$B$12/(I2072*10000*(1+SUM(税费参数!$B$6:$B$8)))</f>
        <v>0.0172085783465929</v>
      </c>
      <c r="L2072" s="7">
        <f>J2072*税费参数!$B$12/(I2072*10000)</f>
        <v>0.0196428571428571</v>
      </c>
      <c r="M2072" s="6">
        <f>I2072*10000*SUM(税费参数!$B$9:$B$10)/税费参数!$B$11</f>
        <v>210</v>
      </c>
    </row>
    <row r="2073" ht="21" customHeight="1" spans="1:13">
      <c r="A2073" s="5" t="s">
        <v>16</v>
      </c>
      <c r="B2073" s="6" t="s">
        <v>122</v>
      </c>
      <c r="C2073" s="6" t="s">
        <v>152</v>
      </c>
      <c r="D2073" s="6" t="s">
        <v>153</v>
      </c>
      <c r="E2073" s="6" t="s">
        <v>1315</v>
      </c>
      <c r="F2073" s="6" t="s">
        <v>2004</v>
      </c>
      <c r="G2073" s="6">
        <v>47.53</v>
      </c>
      <c r="H2073" s="6">
        <v>48.95</v>
      </c>
      <c r="I2073" s="6">
        <v>112</v>
      </c>
      <c r="J2073" s="6">
        <v>1800</v>
      </c>
      <c r="K2073" s="7">
        <f>(J2073-M2073)*税费参数!$B$12/(I2073*10000*(1+SUM(税费参数!$B$6:$B$8)))</f>
        <v>0.0137495676236596</v>
      </c>
      <c r="L2073" s="7">
        <f>J2073*税费参数!$B$12/(I2073*10000)</f>
        <v>0.0160714285714286</v>
      </c>
      <c r="M2073" s="6">
        <f>I2073*10000*SUM(税费参数!$B$9:$B$10)/税费参数!$B$11</f>
        <v>210</v>
      </c>
    </row>
    <row r="2074" ht="21" customHeight="1" spans="1:13">
      <c r="A2074" s="5" t="s">
        <v>16</v>
      </c>
      <c r="B2074" s="6" t="s">
        <v>122</v>
      </c>
      <c r="C2074" s="6" t="s">
        <v>152</v>
      </c>
      <c r="D2074" s="6" t="s">
        <v>153</v>
      </c>
      <c r="E2074" s="6" t="s">
        <v>1315</v>
      </c>
      <c r="F2074" s="6" t="s">
        <v>2005</v>
      </c>
      <c r="G2074" s="6">
        <v>47.53</v>
      </c>
      <c r="H2074" s="6">
        <v>50.29</v>
      </c>
      <c r="I2074" s="6">
        <v>112</v>
      </c>
      <c r="J2074" s="6">
        <v>1900</v>
      </c>
      <c r="K2074" s="7">
        <f>(J2074-M2074)*税费参数!$B$12/(I2074*10000*(1+SUM(税费参数!$B$6:$B$8)))</f>
        <v>0.0146143203043929</v>
      </c>
      <c r="L2074" s="7">
        <f>J2074*税费参数!$B$12/(I2074*10000)</f>
        <v>0.0169642857142857</v>
      </c>
      <c r="M2074" s="6">
        <f>I2074*10000*SUM(税费参数!$B$9:$B$10)/税费参数!$B$11</f>
        <v>210</v>
      </c>
    </row>
    <row r="2075" ht="21" customHeight="1" spans="1:13">
      <c r="A2075" s="5" t="s">
        <v>16</v>
      </c>
      <c r="B2075" s="6" t="s">
        <v>122</v>
      </c>
      <c r="C2075" s="6" t="s">
        <v>152</v>
      </c>
      <c r="D2075" s="6" t="s">
        <v>153</v>
      </c>
      <c r="E2075" s="6" t="s">
        <v>1315</v>
      </c>
      <c r="F2075" s="6" t="s">
        <v>2006</v>
      </c>
      <c r="G2075" s="6">
        <v>47.53</v>
      </c>
      <c r="H2075" s="6">
        <v>47.92</v>
      </c>
      <c r="I2075" s="6">
        <v>112</v>
      </c>
      <c r="J2075" s="6">
        <v>2000</v>
      </c>
      <c r="K2075" s="7">
        <f>(J2075-M2075)*税费参数!$B$12/(I2075*10000*(1+SUM(税费参数!$B$6:$B$8)))</f>
        <v>0.0154790729851263</v>
      </c>
      <c r="L2075" s="7">
        <f>J2075*税费参数!$B$12/(I2075*10000)</f>
        <v>0.0178571428571429</v>
      </c>
      <c r="M2075" s="6">
        <f>I2075*10000*SUM(税费参数!$B$9:$B$10)/税费参数!$B$11</f>
        <v>210</v>
      </c>
    </row>
    <row r="2076" ht="21" customHeight="1" spans="1:13">
      <c r="A2076" s="5" t="s">
        <v>16</v>
      </c>
      <c r="B2076" s="6" t="s">
        <v>122</v>
      </c>
      <c r="C2076" s="6" t="s">
        <v>152</v>
      </c>
      <c r="D2076" s="6" t="s">
        <v>153</v>
      </c>
      <c r="E2076" s="6" t="s">
        <v>1315</v>
      </c>
      <c r="F2076" s="6" t="s">
        <v>2007</v>
      </c>
      <c r="G2076" s="6">
        <v>47.53</v>
      </c>
      <c r="H2076" s="6">
        <v>47.53</v>
      </c>
      <c r="I2076" s="6">
        <v>112</v>
      </c>
      <c r="J2076" s="6">
        <v>1850</v>
      </c>
      <c r="K2076" s="7">
        <f>(J2076-M2076)*税费参数!$B$12/(I2076*10000*(1+SUM(税费参数!$B$6:$B$8)))</f>
        <v>0.0141819439640263</v>
      </c>
      <c r="L2076" s="7">
        <f>J2076*税费参数!$B$12/(I2076*10000)</f>
        <v>0.0165178571428571</v>
      </c>
      <c r="M2076" s="6">
        <f>I2076*10000*SUM(税费参数!$B$9:$B$10)/税费参数!$B$11</f>
        <v>210</v>
      </c>
    </row>
    <row r="2077" ht="21" customHeight="1" spans="1:13">
      <c r="A2077" s="5" t="s">
        <v>16</v>
      </c>
      <c r="B2077" s="6" t="s">
        <v>122</v>
      </c>
      <c r="C2077" s="6" t="s">
        <v>152</v>
      </c>
      <c r="D2077" s="6" t="s">
        <v>153</v>
      </c>
      <c r="E2077" s="6" t="s">
        <v>1315</v>
      </c>
      <c r="F2077" s="6" t="s">
        <v>2008</v>
      </c>
      <c r="G2077" s="6">
        <v>47.53</v>
      </c>
      <c r="H2077" s="6">
        <v>45.16</v>
      </c>
      <c r="I2077" s="6">
        <v>112</v>
      </c>
      <c r="J2077" s="6">
        <v>2000</v>
      </c>
      <c r="K2077" s="7">
        <f>(J2077-M2077)*税费参数!$B$12/(I2077*10000*(1+SUM(税费参数!$B$6:$B$8)))</f>
        <v>0.0154790729851263</v>
      </c>
      <c r="L2077" s="7">
        <f>J2077*税费参数!$B$12/(I2077*10000)</f>
        <v>0.0178571428571429</v>
      </c>
      <c r="M2077" s="6">
        <f>I2077*10000*SUM(税费参数!$B$9:$B$10)/税费参数!$B$11</f>
        <v>210</v>
      </c>
    </row>
    <row r="2078" ht="21" customHeight="1" spans="1:13">
      <c r="A2078" s="5" t="s">
        <v>16</v>
      </c>
      <c r="B2078" s="6" t="s">
        <v>122</v>
      </c>
      <c r="C2078" s="6" t="s">
        <v>152</v>
      </c>
      <c r="D2078" s="6" t="s">
        <v>153</v>
      </c>
      <c r="E2078" s="6" t="s">
        <v>1315</v>
      </c>
      <c r="F2078" s="6" t="s">
        <v>2009</v>
      </c>
      <c r="G2078" s="6">
        <v>47.53</v>
      </c>
      <c r="H2078" s="6">
        <v>51.15</v>
      </c>
      <c r="I2078" s="6">
        <v>112</v>
      </c>
      <c r="J2078" s="6">
        <v>1950</v>
      </c>
      <c r="K2078" s="7">
        <f>(J2078-M2078)*税费参数!$B$12/(I2078*10000*(1+SUM(税费参数!$B$6:$B$8)))</f>
        <v>0.0150466966447596</v>
      </c>
      <c r="L2078" s="7">
        <f>J2078*税费参数!$B$12/(I2078*10000)</f>
        <v>0.0174107142857143</v>
      </c>
      <c r="M2078" s="6">
        <f>I2078*10000*SUM(税费参数!$B$9:$B$10)/税费参数!$B$11</f>
        <v>210</v>
      </c>
    </row>
    <row r="2079" ht="21" customHeight="1" spans="1:13">
      <c r="A2079" s="5" t="s">
        <v>16</v>
      </c>
      <c r="B2079" s="6" t="s">
        <v>122</v>
      </c>
      <c r="C2079" s="6" t="s">
        <v>152</v>
      </c>
      <c r="D2079" s="6" t="s">
        <v>153</v>
      </c>
      <c r="E2079" s="6" t="s">
        <v>1315</v>
      </c>
      <c r="F2079" s="6" t="s">
        <v>2010</v>
      </c>
      <c r="G2079" s="6">
        <v>47.53</v>
      </c>
      <c r="H2079" s="6">
        <v>48.83</v>
      </c>
      <c r="I2079" s="6">
        <v>112</v>
      </c>
      <c r="J2079" s="6">
        <v>2400</v>
      </c>
      <c r="K2079" s="7">
        <f>(J2079-M2079)*税费参数!$B$12/(I2079*10000*(1+SUM(税费参数!$B$6:$B$8)))</f>
        <v>0.0189380837080595</v>
      </c>
      <c r="L2079" s="7">
        <f>J2079*税费参数!$B$12/(I2079*10000)</f>
        <v>0.0214285714285714</v>
      </c>
      <c r="M2079" s="6">
        <f>I2079*10000*SUM(税费参数!$B$9:$B$10)/税费参数!$B$11</f>
        <v>210</v>
      </c>
    </row>
    <row r="2080" ht="21" customHeight="1" spans="1:13">
      <c r="A2080" s="5" t="s">
        <v>16</v>
      </c>
      <c r="B2080" s="6" t="s">
        <v>122</v>
      </c>
      <c r="C2080" s="6" t="s">
        <v>152</v>
      </c>
      <c r="D2080" s="6" t="s">
        <v>153</v>
      </c>
      <c r="E2080" s="6" t="s">
        <v>1315</v>
      </c>
      <c r="F2080" s="6" t="s">
        <v>2011</v>
      </c>
      <c r="G2080" s="6">
        <v>47.53</v>
      </c>
      <c r="H2080" s="6">
        <v>48.47</v>
      </c>
      <c r="I2080" s="6">
        <v>112</v>
      </c>
      <c r="J2080" s="6">
        <v>2100</v>
      </c>
      <c r="K2080" s="7">
        <f>(J2080-M2080)*税费参数!$B$12/(I2080*10000*(1+SUM(税费参数!$B$6:$B$8)))</f>
        <v>0.0163438256658596</v>
      </c>
      <c r="L2080" s="7">
        <f>J2080*税费参数!$B$12/(I2080*10000)</f>
        <v>0.01875</v>
      </c>
      <c r="M2080" s="6">
        <f>I2080*10000*SUM(税费参数!$B$9:$B$10)/税费参数!$B$11</f>
        <v>210</v>
      </c>
    </row>
    <row r="2081" ht="21" customHeight="1" spans="1:13">
      <c r="A2081" s="5" t="s">
        <v>16</v>
      </c>
      <c r="B2081" s="6" t="s">
        <v>122</v>
      </c>
      <c r="C2081" s="6" t="s">
        <v>152</v>
      </c>
      <c r="D2081" s="6" t="s">
        <v>153</v>
      </c>
      <c r="E2081" s="6" t="s">
        <v>1315</v>
      </c>
      <c r="F2081" s="6" t="s">
        <v>2012</v>
      </c>
      <c r="G2081" s="6">
        <v>47.53</v>
      </c>
      <c r="H2081" s="6">
        <v>48.86</v>
      </c>
      <c r="I2081" s="6">
        <v>112</v>
      </c>
      <c r="J2081" s="6">
        <v>3300</v>
      </c>
      <c r="K2081" s="7">
        <f>(J2081-M2081)*税费参数!$B$12/(I2081*10000*(1+SUM(税费参数!$B$6:$B$8)))</f>
        <v>0.0267208578346593</v>
      </c>
      <c r="L2081" s="7">
        <f>J2081*税费参数!$B$12/(I2081*10000)</f>
        <v>0.0294642857142857</v>
      </c>
      <c r="M2081" s="6">
        <f>I2081*10000*SUM(税费参数!$B$9:$B$10)/税费参数!$B$11</f>
        <v>210</v>
      </c>
    </row>
    <row r="2082" ht="21" customHeight="1" spans="1:13">
      <c r="A2082" s="5" t="s">
        <v>16</v>
      </c>
      <c r="B2082" s="6" t="s">
        <v>122</v>
      </c>
      <c r="C2082" s="6" t="s">
        <v>152</v>
      </c>
      <c r="D2082" s="6" t="s">
        <v>153</v>
      </c>
      <c r="E2082" s="6" t="s">
        <v>1315</v>
      </c>
      <c r="F2082" s="6" t="s">
        <v>2013</v>
      </c>
      <c r="G2082" s="6">
        <v>47.53</v>
      </c>
      <c r="H2082" s="6">
        <v>49.96</v>
      </c>
      <c r="I2082" s="6">
        <v>112</v>
      </c>
      <c r="J2082" s="6">
        <v>2500</v>
      </c>
      <c r="K2082" s="7">
        <f>(J2082-M2082)*税费参数!$B$12/(I2082*10000*(1+SUM(税费参数!$B$6:$B$8)))</f>
        <v>0.0198028363887928</v>
      </c>
      <c r="L2082" s="7">
        <f>J2082*税费参数!$B$12/(I2082*10000)</f>
        <v>0.0223214285714286</v>
      </c>
      <c r="M2082" s="6">
        <f>I2082*10000*SUM(税费参数!$B$9:$B$10)/税费参数!$B$11</f>
        <v>210</v>
      </c>
    </row>
    <row r="2083" ht="21" customHeight="1" spans="1:13">
      <c r="A2083" s="5" t="s">
        <v>16</v>
      </c>
      <c r="B2083" s="6" t="s">
        <v>122</v>
      </c>
      <c r="C2083" s="6" t="s">
        <v>152</v>
      </c>
      <c r="D2083" s="6" t="s">
        <v>153</v>
      </c>
      <c r="E2083" s="6" t="s">
        <v>1315</v>
      </c>
      <c r="F2083" s="6" t="s">
        <v>2014</v>
      </c>
      <c r="G2083" s="6">
        <v>47.53</v>
      </c>
      <c r="H2083" s="6">
        <v>50.02</v>
      </c>
      <c r="I2083" s="6">
        <v>112</v>
      </c>
      <c r="J2083" s="6">
        <v>2700</v>
      </c>
      <c r="K2083" s="7">
        <f>(J2083-M2083)*税费参数!$B$12/(I2083*10000*(1+SUM(税费参数!$B$6:$B$8)))</f>
        <v>0.0215323417502594</v>
      </c>
      <c r="L2083" s="7">
        <f>J2083*税费参数!$B$12/(I2083*10000)</f>
        <v>0.0241071428571429</v>
      </c>
      <c r="M2083" s="6">
        <f>I2083*10000*SUM(税费参数!$B$9:$B$10)/税费参数!$B$11</f>
        <v>210</v>
      </c>
    </row>
    <row r="2084" ht="21" customHeight="1" spans="1:13">
      <c r="A2084" s="5" t="s">
        <v>16</v>
      </c>
      <c r="B2084" s="6" t="s">
        <v>122</v>
      </c>
      <c r="C2084" s="6" t="s">
        <v>152</v>
      </c>
      <c r="D2084" s="6" t="s">
        <v>153</v>
      </c>
      <c r="E2084" s="6" t="s">
        <v>1315</v>
      </c>
      <c r="F2084" s="6" t="s">
        <v>2015</v>
      </c>
      <c r="G2084" s="6">
        <v>47.53</v>
      </c>
      <c r="H2084" s="6">
        <v>50.21</v>
      </c>
      <c r="I2084" s="6">
        <v>112</v>
      </c>
      <c r="J2084" s="6">
        <v>2200</v>
      </c>
      <c r="K2084" s="7">
        <f>(J2084-M2084)*税费参数!$B$12/(I2084*10000*(1+SUM(税费参数!$B$6:$B$8)))</f>
        <v>0.0172085783465929</v>
      </c>
      <c r="L2084" s="7">
        <f>J2084*税费参数!$B$12/(I2084*10000)</f>
        <v>0.0196428571428571</v>
      </c>
      <c r="M2084" s="6">
        <f>I2084*10000*SUM(税费参数!$B$9:$B$10)/税费参数!$B$11</f>
        <v>210</v>
      </c>
    </row>
    <row r="2085" ht="21" customHeight="1" spans="1:13">
      <c r="A2085" s="5" t="s">
        <v>16</v>
      </c>
      <c r="B2085" s="6" t="s">
        <v>122</v>
      </c>
      <c r="C2085" s="6" t="s">
        <v>152</v>
      </c>
      <c r="D2085" s="6" t="s">
        <v>153</v>
      </c>
      <c r="E2085" s="6" t="s">
        <v>1315</v>
      </c>
      <c r="F2085" s="6" t="s">
        <v>2016</v>
      </c>
      <c r="G2085" s="6">
        <v>47.53</v>
      </c>
      <c r="H2085" s="6">
        <v>47.84</v>
      </c>
      <c r="I2085" s="6">
        <v>112</v>
      </c>
      <c r="J2085" s="6">
        <v>2000</v>
      </c>
      <c r="K2085" s="7">
        <f>(J2085-M2085)*税费参数!$B$12/(I2085*10000*(1+SUM(税费参数!$B$6:$B$8)))</f>
        <v>0.0154790729851263</v>
      </c>
      <c r="L2085" s="7">
        <f>J2085*税费参数!$B$12/(I2085*10000)</f>
        <v>0.0178571428571429</v>
      </c>
      <c r="M2085" s="6">
        <f>I2085*10000*SUM(税费参数!$B$9:$B$10)/税费参数!$B$11</f>
        <v>210</v>
      </c>
    </row>
    <row r="2086" ht="21" customHeight="1" spans="1:13">
      <c r="A2086" s="5" t="s">
        <v>16</v>
      </c>
      <c r="B2086" s="6" t="s">
        <v>122</v>
      </c>
      <c r="C2086" s="6" t="s">
        <v>152</v>
      </c>
      <c r="D2086" s="6" t="s">
        <v>153</v>
      </c>
      <c r="E2086" s="6" t="s">
        <v>1315</v>
      </c>
      <c r="F2086" s="6" t="s">
        <v>2017</v>
      </c>
      <c r="G2086" s="6">
        <v>47.53</v>
      </c>
      <c r="H2086" s="6">
        <v>49.67</v>
      </c>
      <c r="I2086" s="6">
        <v>112</v>
      </c>
      <c r="J2086" s="6">
        <v>2100</v>
      </c>
      <c r="K2086" s="7">
        <f>(J2086-M2086)*税费参数!$B$12/(I2086*10000*(1+SUM(税费参数!$B$6:$B$8)))</f>
        <v>0.0163438256658596</v>
      </c>
      <c r="L2086" s="7">
        <f>J2086*税费参数!$B$12/(I2086*10000)</f>
        <v>0.01875</v>
      </c>
      <c r="M2086" s="6">
        <f>I2086*10000*SUM(税费参数!$B$9:$B$10)/税费参数!$B$11</f>
        <v>210</v>
      </c>
    </row>
    <row r="2087" ht="21" customHeight="1" spans="1:13">
      <c r="A2087" s="5" t="s">
        <v>16</v>
      </c>
      <c r="B2087" s="6" t="s">
        <v>122</v>
      </c>
      <c r="C2087" s="6" t="s">
        <v>152</v>
      </c>
      <c r="D2087" s="6" t="s">
        <v>153</v>
      </c>
      <c r="E2087" s="6" t="s">
        <v>1315</v>
      </c>
      <c r="F2087" s="6" t="s">
        <v>2018</v>
      </c>
      <c r="G2087" s="6">
        <v>47.53</v>
      </c>
      <c r="H2087" s="6">
        <v>49.24</v>
      </c>
      <c r="I2087" s="6">
        <v>112</v>
      </c>
      <c r="J2087" s="6">
        <v>2300</v>
      </c>
      <c r="K2087" s="7">
        <f>(J2087-M2087)*税费参数!$B$12/(I2087*10000*(1+SUM(税费参数!$B$6:$B$8)))</f>
        <v>0.0180733310273262</v>
      </c>
      <c r="L2087" s="7">
        <f>J2087*税费参数!$B$12/(I2087*10000)</f>
        <v>0.0205357142857143</v>
      </c>
      <c r="M2087" s="6">
        <f>I2087*10000*SUM(税费参数!$B$9:$B$10)/税费参数!$B$11</f>
        <v>210</v>
      </c>
    </row>
    <row r="2088" ht="21" customHeight="1" spans="1:13">
      <c r="A2088" s="5" t="s">
        <v>16</v>
      </c>
      <c r="B2088" s="6" t="s">
        <v>122</v>
      </c>
      <c r="C2088" s="6" t="s">
        <v>152</v>
      </c>
      <c r="D2088" s="6" t="s">
        <v>153</v>
      </c>
      <c r="E2088" s="6" t="s">
        <v>1315</v>
      </c>
      <c r="F2088" s="6" t="s">
        <v>2019</v>
      </c>
      <c r="G2088" s="6">
        <v>47.53</v>
      </c>
      <c r="H2088" s="6">
        <v>47.53</v>
      </c>
      <c r="I2088" s="6">
        <v>112</v>
      </c>
      <c r="J2088" s="6">
        <v>2040</v>
      </c>
      <c r="K2088" s="7">
        <f>(J2088-M2088)*税费参数!$B$12/(I2088*10000*(1+SUM(税费参数!$B$6:$B$8)))</f>
        <v>0.0158249740574196</v>
      </c>
      <c r="L2088" s="7">
        <f>J2088*税费参数!$B$12/(I2088*10000)</f>
        <v>0.0182142857142857</v>
      </c>
      <c r="M2088" s="6">
        <f>I2088*10000*SUM(税费参数!$B$9:$B$10)/税费参数!$B$11</f>
        <v>210</v>
      </c>
    </row>
    <row r="2089" ht="21" customHeight="1" spans="1:13">
      <c r="A2089" s="5" t="s">
        <v>16</v>
      </c>
      <c r="B2089" s="6" t="s">
        <v>122</v>
      </c>
      <c r="C2089" s="6" t="s">
        <v>152</v>
      </c>
      <c r="D2089" s="6" t="s">
        <v>153</v>
      </c>
      <c r="E2089" s="6" t="s">
        <v>1315</v>
      </c>
      <c r="F2089" s="6" t="s">
        <v>2020</v>
      </c>
      <c r="G2089" s="6">
        <v>47.53</v>
      </c>
      <c r="H2089" s="6">
        <v>47.53</v>
      </c>
      <c r="I2089" s="6">
        <v>112</v>
      </c>
      <c r="J2089" s="6">
        <v>2000</v>
      </c>
      <c r="K2089" s="7">
        <f>(J2089-M2089)*税费参数!$B$12/(I2089*10000*(1+SUM(税费参数!$B$6:$B$8)))</f>
        <v>0.0154790729851263</v>
      </c>
      <c r="L2089" s="7">
        <f>J2089*税费参数!$B$12/(I2089*10000)</f>
        <v>0.0178571428571429</v>
      </c>
      <c r="M2089" s="6">
        <f>I2089*10000*SUM(税费参数!$B$9:$B$10)/税费参数!$B$11</f>
        <v>210</v>
      </c>
    </row>
    <row r="2090" ht="21" customHeight="1" spans="1:13">
      <c r="A2090" s="5" t="s">
        <v>16</v>
      </c>
      <c r="B2090" s="6" t="s">
        <v>122</v>
      </c>
      <c r="C2090" s="6" t="s">
        <v>152</v>
      </c>
      <c r="D2090" s="6" t="s">
        <v>153</v>
      </c>
      <c r="E2090" s="6" t="s">
        <v>1329</v>
      </c>
      <c r="F2090" s="6" t="s">
        <v>2003</v>
      </c>
      <c r="G2090" s="6">
        <v>47.92</v>
      </c>
      <c r="H2090" s="6">
        <v>48.47</v>
      </c>
      <c r="I2090" s="6">
        <v>112</v>
      </c>
      <c r="J2090" s="6">
        <v>2200</v>
      </c>
      <c r="K2090" s="7">
        <f>(J2090-M2090)*税费参数!$B$12/(I2090*10000*(1+SUM(税费参数!$B$6:$B$8)))</f>
        <v>0.0172085783465929</v>
      </c>
      <c r="L2090" s="7">
        <f>J2090*税费参数!$B$12/(I2090*10000)</f>
        <v>0.0196428571428571</v>
      </c>
      <c r="M2090" s="6">
        <f>I2090*10000*SUM(税费参数!$B$9:$B$10)/税费参数!$B$11</f>
        <v>210</v>
      </c>
    </row>
    <row r="2091" ht="21" customHeight="1" spans="1:13">
      <c r="A2091" s="5" t="s">
        <v>16</v>
      </c>
      <c r="B2091" s="6" t="s">
        <v>122</v>
      </c>
      <c r="C2091" s="6" t="s">
        <v>152</v>
      </c>
      <c r="D2091" s="6" t="s">
        <v>153</v>
      </c>
      <c r="E2091" s="6" t="s">
        <v>1329</v>
      </c>
      <c r="F2091" s="6" t="s">
        <v>2004</v>
      </c>
      <c r="G2091" s="6">
        <v>47.92</v>
      </c>
      <c r="H2091" s="6">
        <v>48.95</v>
      </c>
      <c r="I2091" s="6">
        <v>112</v>
      </c>
      <c r="J2091" s="6">
        <v>1800</v>
      </c>
      <c r="K2091" s="7">
        <f>(J2091-M2091)*税费参数!$B$12/(I2091*10000*(1+SUM(税费参数!$B$6:$B$8)))</f>
        <v>0.0137495676236596</v>
      </c>
      <c r="L2091" s="7">
        <f>J2091*税费参数!$B$12/(I2091*10000)</f>
        <v>0.0160714285714286</v>
      </c>
      <c r="M2091" s="6">
        <f>I2091*10000*SUM(税费参数!$B$9:$B$10)/税费参数!$B$11</f>
        <v>210</v>
      </c>
    </row>
    <row r="2092" ht="21" customHeight="1" spans="1:13">
      <c r="A2092" s="5" t="s">
        <v>16</v>
      </c>
      <c r="B2092" s="6" t="s">
        <v>122</v>
      </c>
      <c r="C2092" s="6" t="s">
        <v>152</v>
      </c>
      <c r="D2092" s="6" t="s">
        <v>153</v>
      </c>
      <c r="E2092" s="6" t="s">
        <v>1329</v>
      </c>
      <c r="F2092" s="6" t="s">
        <v>2005</v>
      </c>
      <c r="G2092" s="6">
        <v>47.92</v>
      </c>
      <c r="H2092" s="6">
        <v>50.29</v>
      </c>
      <c r="I2092" s="6">
        <v>112</v>
      </c>
      <c r="J2092" s="6">
        <v>1900</v>
      </c>
      <c r="K2092" s="7">
        <f>(J2092-M2092)*税费参数!$B$12/(I2092*10000*(1+SUM(税费参数!$B$6:$B$8)))</f>
        <v>0.0146143203043929</v>
      </c>
      <c r="L2092" s="7">
        <f>J2092*税费参数!$B$12/(I2092*10000)</f>
        <v>0.0169642857142857</v>
      </c>
      <c r="M2092" s="6">
        <f>I2092*10000*SUM(税费参数!$B$9:$B$10)/税费参数!$B$11</f>
        <v>210</v>
      </c>
    </row>
    <row r="2093" ht="21" customHeight="1" spans="1:13">
      <c r="A2093" s="5" t="s">
        <v>16</v>
      </c>
      <c r="B2093" s="6" t="s">
        <v>122</v>
      </c>
      <c r="C2093" s="6" t="s">
        <v>152</v>
      </c>
      <c r="D2093" s="6" t="s">
        <v>153</v>
      </c>
      <c r="E2093" s="6" t="s">
        <v>1329</v>
      </c>
      <c r="F2093" s="6" t="s">
        <v>2006</v>
      </c>
      <c r="G2093" s="6">
        <v>47.92</v>
      </c>
      <c r="H2093" s="6">
        <v>47.92</v>
      </c>
      <c r="I2093" s="6">
        <v>112</v>
      </c>
      <c r="J2093" s="6">
        <v>2000</v>
      </c>
      <c r="K2093" s="7">
        <f>(J2093-M2093)*税费参数!$B$12/(I2093*10000*(1+SUM(税费参数!$B$6:$B$8)))</f>
        <v>0.0154790729851263</v>
      </c>
      <c r="L2093" s="7">
        <f>J2093*税费参数!$B$12/(I2093*10000)</f>
        <v>0.0178571428571429</v>
      </c>
      <c r="M2093" s="6">
        <f>I2093*10000*SUM(税费参数!$B$9:$B$10)/税费参数!$B$11</f>
        <v>210</v>
      </c>
    </row>
    <row r="2094" ht="21" customHeight="1" spans="1:13">
      <c r="A2094" s="5" t="s">
        <v>16</v>
      </c>
      <c r="B2094" s="6" t="s">
        <v>122</v>
      </c>
      <c r="C2094" s="6" t="s">
        <v>152</v>
      </c>
      <c r="D2094" s="6" t="s">
        <v>153</v>
      </c>
      <c r="E2094" s="6" t="s">
        <v>1329</v>
      </c>
      <c r="F2094" s="6" t="s">
        <v>2007</v>
      </c>
      <c r="G2094" s="6">
        <v>47.92</v>
      </c>
      <c r="H2094" s="6">
        <v>47.53</v>
      </c>
      <c r="I2094" s="6">
        <v>112</v>
      </c>
      <c r="J2094" s="6">
        <v>1850</v>
      </c>
      <c r="K2094" s="7">
        <f>(J2094-M2094)*税费参数!$B$12/(I2094*10000*(1+SUM(税费参数!$B$6:$B$8)))</f>
        <v>0.0141819439640263</v>
      </c>
      <c r="L2094" s="7">
        <f>J2094*税费参数!$B$12/(I2094*10000)</f>
        <v>0.0165178571428571</v>
      </c>
      <c r="M2094" s="6">
        <f>I2094*10000*SUM(税费参数!$B$9:$B$10)/税费参数!$B$11</f>
        <v>210</v>
      </c>
    </row>
    <row r="2095" ht="21" customHeight="1" spans="1:13">
      <c r="A2095" s="5" t="s">
        <v>16</v>
      </c>
      <c r="B2095" s="6" t="s">
        <v>122</v>
      </c>
      <c r="C2095" s="6" t="s">
        <v>152</v>
      </c>
      <c r="D2095" s="6" t="s">
        <v>153</v>
      </c>
      <c r="E2095" s="6" t="s">
        <v>1329</v>
      </c>
      <c r="F2095" s="6" t="s">
        <v>2008</v>
      </c>
      <c r="G2095" s="6">
        <v>47.92</v>
      </c>
      <c r="H2095" s="6">
        <v>45.16</v>
      </c>
      <c r="I2095" s="6">
        <v>112</v>
      </c>
      <c r="J2095" s="6">
        <v>2000</v>
      </c>
      <c r="K2095" s="7">
        <f>(J2095-M2095)*税费参数!$B$12/(I2095*10000*(1+SUM(税费参数!$B$6:$B$8)))</f>
        <v>0.0154790729851263</v>
      </c>
      <c r="L2095" s="7">
        <f>J2095*税费参数!$B$12/(I2095*10000)</f>
        <v>0.0178571428571429</v>
      </c>
      <c r="M2095" s="6">
        <f>I2095*10000*SUM(税费参数!$B$9:$B$10)/税费参数!$B$11</f>
        <v>210</v>
      </c>
    </row>
    <row r="2096" ht="21" customHeight="1" spans="1:13">
      <c r="A2096" s="5" t="s">
        <v>16</v>
      </c>
      <c r="B2096" s="6" t="s">
        <v>122</v>
      </c>
      <c r="C2096" s="6" t="s">
        <v>152</v>
      </c>
      <c r="D2096" s="6" t="s">
        <v>153</v>
      </c>
      <c r="E2096" s="6" t="s">
        <v>1329</v>
      </c>
      <c r="F2096" s="6" t="s">
        <v>2009</v>
      </c>
      <c r="G2096" s="6">
        <v>47.92</v>
      </c>
      <c r="H2096" s="6">
        <v>51.15</v>
      </c>
      <c r="I2096" s="6">
        <v>112</v>
      </c>
      <c r="J2096" s="6">
        <v>1950</v>
      </c>
      <c r="K2096" s="7">
        <f>(J2096-M2096)*税费参数!$B$12/(I2096*10000*(1+SUM(税费参数!$B$6:$B$8)))</f>
        <v>0.0150466966447596</v>
      </c>
      <c r="L2096" s="7">
        <f>J2096*税费参数!$B$12/(I2096*10000)</f>
        <v>0.0174107142857143</v>
      </c>
      <c r="M2096" s="6">
        <f>I2096*10000*SUM(税费参数!$B$9:$B$10)/税费参数!$B$11</f>
        <v>210</v>
      </c>
    </row>
    <row r="2097" ht="21" customHeight="1" spans="1:13">
      <c r="A2097" s="5" t="s">
        <v>16</v>
      </c>
      <c r="B2097" s="6" t="s">
        <v>122</v>
      </c>
      <c r="C2097" s="6" t="s">
        <v>152</v>
      </c>
      <c r="D2097" s="6" t="s">
        <v>153</v>
      </c>
      <c r="E2097" s="6" t="s">
        <v>1329</v>
      </c>
      <c r="F2097" s="6" t="s">
        <v>2010</v>
      </c>
      <c r="G2097" s="6">
        <v>47.92</v>
      </c>
      <c r="H2097" s="6">
        <v>48.83</v>
      </c>
      <c r="I2097" s="6">
        <v>112</v>
      </c>
      <c r="J2097" s="6">
        <v>2400</v>
      </c>
      <c r="K2097" s="7">
        <f>(J2097-M2097)*税费参数!$B$12/(I2097*10000*(1+SUM(税费参数!$B$6:$B$8)))</f>
        <v>0.0189380837080595</v>
      </c>
      <c r="L2097" s="7">
        <f>J2097*税费参数!$B$12/(I2097*10000)</f>
        <v>0.0214285714285714</v>
      </c>
      <c r="M2097" s="6">
        <f>I2097*10000*SUM(税费参数!$B$9:$B$10)/税费参数!$B$11</f>
        <v>210</v>
      </c>
    </row>
    <row r="2098" ht="21" customHeight="1" spans="1:13">
      <c r="A2098" s="5" t="s">
        <v>16</v>
      </c>
      <c r="B2098" s="6" t="s">
        <v>122</v>
      </c>
      <c r="C2098" s="6" t="s">
        <v>152</v>
      </c>
      <c r="D2098" s="6" t="s">
        <v>153</v>
      </c>
      <c r="E2098" s="6" t="s">
        <v>1329</v>
      </c>
      <c r="F2098" s="6" t="s">
        <v>2011</v>
      </c>
      <c r="G2098" s="6">
        <v>47.92</v>
      </c>
      <c r="H2098" s="6">
        <v>48.47</v>
      </c>
      <c r="I2098" s="6">
        <v>112</v>
      </c>
      <c r="J2098" s="6">
        <v>2100</v>
      </c>
      <c r="K2098" s="7">
        <f>(J2098-M2098)*税费参数!$B$12/(I2098*10000*(1+SUM(税费参数!$B$6:$B$8)))</f>
        <v>0.0163438256658596</v>
      </c>
      <c r="L2098" s="7">
        <f>J2098*税费参数!$B$12/(I2098*10000)</f>
        <v>0.01875</v>
      </c>
      <c r="M2098" s="6">
        <f>I2098*10000*SUM(税费参数!$B$9:$B$10)/税费参数!$B$11</f>
        <v>210</v>
      </c>
    </row>
    <row r="2099" ht="21" customHeight="1" spans="1:13">
      <c r="A2099" s="5" t="s">
        <v>16</v>
      </c>
      <c r="B2099" s="6" t="s">
        <v>122</v>
      </c>
      <c r="C2099" s="6" t="s">
        <v>152</v>
      </c>
      <c r="D2099" s="6" t="s">
        <v>153</v>
      </c>
      <c r="E2099" s="6" t="s">
        <v>1329</v>
      </c>
      <c r="F2099" s="6" t="s">
        <v>2012</v>
      </c>
      <c r="G2099" s="6">
        <v>47.92</v>
      </c>
      <c r="H2099" s="6">
        <v>48.86</v>
      </c>
      <c r="I2099" s="6">
        <v>112</v>
      </c>
      <c r="J2099" s="6">
        <v>3300</v>
      </c>
      <c r="K2099" s="7">
        <f>(J2099-M2099)*税费参数!$B$12/(I2099*10000*(1+SUM(税费参数!$B$6:$B$8)))</f>
        <v>0.0267208578346593</v>
      </c>
      <c r="L2099" s="7">
        <f>J2099*税费参数!$B$12/(I2099*10000)</f>
        <v>0.0294642857142857</v>
      </c>
      <c r="M2099" s="6">
        <f>I2099*10000*SUM(税费参数!$B$9:$B$10)/税费参数!$B$11</f>
        <v>210</v>
      </c>
    </row>
    <row r="2100" ht="21" customHeight="1" spans="1:13">
      <c r="A2100" s="5" t="s">
        <v>16</v>
      </c>
      <c r="B2100" s="6" t="s">
        <v>122</v>
      </c>
      <c r="C2100" s="6" t="s">
        <v>152</v>
      </c>
      <c r="D2100" s="6" t="s">
        <v>153</v>
      </c>
      <c r="E2100" s="6" t="s">
        <v>1329</v>
      </c>
      <c r="F2100" s="6" t="s">
        <v>2013</v>
      </c>
      <c r="G2100" s="6">
        <v>47.92</v>
      </c>
      <c r="H2100" s="6">
        <v>49.96</v>
      </c>
      <c r="I2100" s="6">
        <v>112</v>
      </c>
      <c r="J2100" s="6">
        <v>2500</v>
      </c>
      <c r="K2100" s="7">
        <f>(J2100-M2100)*税费参数!$B$12/(I2100*10000*(1+SUM(税费参数!$B$6:$B$8)))</f>
        <v>0.0198028363887928</v>
      </c>
      <c r="L2100" s="7">
        <f>J2100*税费参数!$B$12/(I2100*10000)</f>
        <v>0.0223214285714286</v>
      </c>
      <c r="M2100" s="6">
        <f>I2100*10000*SUM(税费参数!$B$9:$B$10)/税费参数!$B$11</f>
        <v>210</v>
      </c>
    </row>
    <row r="2101" ht="21" customHeight="1" spans="1:13">
      <c r="A2101" s="5" t="s">
        <v>16</v>
      </c>
      <c r="B2101" s="6" t="s">
        <v>122</v>
      </c>
      <c r="C2101" s="6" t="s">
        <v>152</v>
      </c>
      <c r="D2101" s="6" t="s">
        <v>153</v>
      </c>
      <c r="E2101" s="6" t="s">
        <v>1329</v>
      </c>
      <c r="F2101" s="6" t="s">
        <v>2014</v>
      </c>
      <c r="G2101" s="6">
        <v>47.92</v>
      </c>
      <c r="H2101" s="6">
        <v>50.02</v>
      </c>
      <c r="I2101" s="6">
        <v>112</v>
      </c>
      <c r="J2101" s="6">
        <v>2700</v>
      </c>
      <c r="K2101" s="7">
        <f>(J2101-M2101)*税费参数!$B$12/(I2101*10000*(1+SUM(税费参数!$B$6:$B$8)))</f>
        <v>0.0215323417502594</v>
      </c>
      <c r="L2101" s="7">
        <f>J2101*税费参数!$B$12/(I2101*10000)</f>
        <v>0.0241071428571429</v>
      </c>
      <c r="M2101" s="6">
        <f>I2101*10000*SUM(税费参数!$B$9:$B$10)/税费参数!$B$11</f>
        <v>210</v>
      </c>
    </row>
    <row r="2102" ht="21" customHeight="1" spans="1:13">
      <c r="A2102" s="5" t="s">
        <v>16</v>
      </c>
      <c r="B2102" s="6" t="s">
        <v>122</v>
      </c>
      <c r="C2102" s="6" t="s">
        <v>152</v>
      </c>
      <c r="D2102" s="6" t="s">
        <v>153</v>
      </c>
      <c r="E2102" s="6" t="s">
        <v>1329</v>
      </c>
      <c r="F2102" s="6" t="s">
        <v>2015</v>
      </c>
      <c r="G2102" s="6">
        <v>47.92</v>
      </c>
      <c r="H2102" s="6">
        <v>50.21</v>
      </c>
      <c r="I2102" s="6">
        <v>112</v>
      </c>
      <c r="J2102" s="6">
        <v>2200</v>
      </c>
      <c r="K2102" s="7">
        <f>(J2102-M2102)*税费参数!$B$12/(I2102*10000*(1+SUM(税费参数!$B$6:$B$8)))</f>
        <v>0.0172085783465929</v>
      </c>
      <c r="L2102" s="7">
        <f>J2102*税费参数!$B$12/(I2102*10000)</f>
        <v>0.0196428571428571</v>
      </c>
      <c r="M2102" s="6">
        <f>I2102*10000*SUM(税费参数!$B$9:$B$10)/税费参数!$B$11</f>
        <v>210</v>
      </c>
    </row>
    <row r="2103" ht="21" customHeight="1" spans="1:13">
      <c r="A2103" s="5" t="s">
        <v>16</v>
      </c>
      <c r="B2103" s="6" t="s">
        <v>122</v>
      </c>
      <c r="C2103" s="6" t="s">
        <v>152</v>
      </c>
      <c r="D2103" s="6" t="s">
        <v>153</v>
      </c>
      <c r="E2103" s="6" t="s">
        <v>1329</v>
      </c>
      <c r="F2103" s="6" t="s">
        <v>2016</v>
      </c>
      <c r="G2103" s="6">
        <v>47.92</v>
      </c>
      <c r="H2103" s="6">
        <v>47.84</v>
      </c>
      <c r="I2103" s="6">
        <v>112</v>
      </c>
      <c r="J2103" s="6">
        <v>2000</v>
      </c>
      <c r="K2103" s="7">
        <f>(J2103-M2103)*税费参数!$B$12/(I2103*10000*(1+SUM(税费参数!$B$6:$B$8)))</f>
        <v>0.0154790729851263</v>
      </c>
      <c r="L2103" s="7">
        <f>J2103*税费参数!$B$12/(I2103*10000)</f>
        <v>0.0178571428571429</v>
      </c>
      <c r="M2103" s="6">
        <f>I2103*10000*SUM(税费参数!$B$9:$B$10)/税费参数!$B$11</f>
        <v>210</v>
      </c>
    </row>
    <row r="2104" ht="21" customHeight="1" spans="1:13">
      <c r="A2104" s="5" t="s">
        <v>16</v>
      </c>
      <c r="B2104" s="6" t="s">
        <v>122</v>
      </c>
      <c r="C2104" s="6" t="s">
        <v>152</v>
      </c>
      <c r="D2104" s="6" t="s">
        <v>153</v>
      </c>
      <c r="E2104" s="6" t="s">
        <v>1329</v>
      </c>
      <c r="F2104" s="6" t="s">
        <v>2017</v>
      </c>
      <c r="G2104" s="6">
        <v>47.92</v>
      </c>
      <c r="H2104" s="6">
        <v>49.67</v>
      </c>
      <c r="I2104" s="6">
        <v>112</v>
      </c>
      <c r="J2104" s="6">
        <v>2100</v>
      </c>
      <c r="K2104" s="7">
        <f>(J2104-M2104)*税费参数!$B$12/(I2104*10000*(1+SUM(税费参数!$B$6:$B$8)))</f>
        <v>0.0163438256658596</v>
      </c>
      <c r="L2104" s="7">
        <f>J2104*税费参数!$B$12/(I2104*10000)</f>
        <v>0.01875</v>
      </c>
      <c r="M2104" s="6">
        <f>I2104*10000*SUM(税费参数!$B$9:$B$10)/税费参数!$B$11</f>
        <v>210</v>
      </c>
    </row>
    <row r="2105" ht="21" customHeight="1" spans="1:13">
      <c r="A2105" s="5" t="s">
        <v>16</v>
      </c>
      <c r="B2105" s="6" t="s">
        <v>122</v>
      </c>
      <c r="C2105" s="6" t="s">
        <v>152</v>
      </c>
      <c r="D2105" s="6" t="s">
        <v>153</v>
      </c>
      <c r="E2105" s="6" t="s">
        <v>1329</v>
      </c>
      <c r="F2105" s="6" t="s">
        <v>2018</v>
      </c>
      <c r="G2105" s="6">
        <v>47.92</v>
      </c>
      <c r="H2105" s="6">
        <v>49.24</v>
      </c>
      <c r="I2105" s="6">
        <v>112</v>
      </c>
      <c r="J2105" s="6">
        <v>2300</v>
      </c>
      <c r="K2105" s="7">
        <f>(J2105-M2105)*税费参数!$B$12/(I2105*10000*(1+SUM(税费参数!$B$6:$B$8)))</f>
        <v>0.0180733310273262</v>
      </c>
      <c r="L2105" s="7">
        <f>J2105*税费参数!$B$12/(I2105*10000)</f>
        <v>0.0205357142857143</v>
      </c>
      <c r="M2105" s="6">
        <f>I2105*10000*SUM(税费参数!$B$9:$B$10)/税费参数!$B$11</f>
        <v>210</v>
      </c>
    </row>
    <row r="2106" ht="21" customHeight="1" spans="1:13">
      <c r="A2106" s="5" t="s">
        <v>16</v>
      </c>
      <c r="B2106" s="6" t="s">
        <v>122</v>
      </c>
      <c r="C2106" s="6" t="s">
        <v>152</v>
      </c>
      <c r="D2106" s="6" t="s">
        <v>153</v>
      </c>
      <c r="E2106" s="6" t="s">
        <v>1329</v>
      </c>
      <c r="F2106" s="6" t="s">
        <v>2019</v>
      </c>
      <c r="G2106" s="6">
        <v>47.92</v>
      </c>
      <c r="H2106" s="6">
        <v>47.53</v>
      </c>
      <c r="I2106" s="6">
        <v>112</v>
      </c>
      <c r="J2106" s="6">
        <v>2040</v>
      </c>
      <c r="K2106" s="7">
        <f>(J2106-M2106)*税费参数!$B$12/(I2106*10000*(1+SUM(税费参数!$B$6:$B$8)))</f>
        <v>0.0158249740574196</v>
      </c>
      <c r="L2106" s="7">
        <f>J2106*税费参数!$B$12/(I2106*10000)</f>
        <v>0.0182142857142857</v>
      </c>
      <c r="M2106" s="6">
        <f>I2106*10000*SUM(税费参数!$B$9:$B$10)/税费参数!$B$11</f>
        <v>210</v>
      </c>
    </row>
    <row r="2107" ht="21" customHeight="1" spans="1:13">
      <c r="A2107" s="5" t="s">
        <v>16</v>
      </c>
      <c r="B2107" s="6" t="s">
        <v>122</v>
      </c>
      <c r="C2107" s="6" t="s">
        <v>152</v>
      </c>
      <c r="D2107" s="6" t="s">
        <v>153</v>
      </c>
      <c r="E2107" s="6" t="s">
        <v>1329</v>
      </c>
      <c r="F2107" s="6" t="s">
        <v>2020</v>
      </c>
      <c r="G2107" s="6">
        <v>47.92</v>
      </c>
      <c r="H2107" s="6">
        <v>47.53</v>
      </c>
      <c r="I2107" s="6">
        <v>112</v>
      </c>
      <c r="J2107" s="6">
        <v>2000</v>
      </c>
      <c r="K2107" s="7">
        <f>(J2107-M2107)*税费参数!$B$12/(I2107*10000*(1+SUM(税费参数!$B$6:$B$8)))</f>
        <v>0.0154790729851263</v>
      </c>
      <c r="L2107" s="7">
        <f>J2107*税费参数!$B$12/(I2107*10000)</f>
        <v>0.0178571428571429</v>
      </c>
      <c r="M2107" s="6">
        <f>I2107*10000*SUM(税费参数!$B$9:$B$10)/税费参数!$B$11</f>
        <v>210</v>
      </c>
    </row>
    <row r="2108" ht="21" customHeight="1" spans="1:13">
      <c r="A2108" s="5" t="s">
        <v>16</v>
      </c>
      <c r="B2108" s="6" t="s">
        <v>122</v>
      </c>
      <c r="C2108" s="6" t="s">
        <v>152</v>
      </c>
      <c r="D2108" s="6" t="s">
        <v>153</v>
      </c>
      <c r="E2108" s="6" t="s">
        <v>1299</v>
      </c>
      <c r="F2108" s="6" t="s">
        <v>2003</v>
      </c>
      <c r="G2108" s="6">
        <v>48.47</v>
      </c>
      <c r="H2108" s="6">
        <v>48.47</v>
      </c>
      <c r="I2108" s="6">
        <v>115</v>
      </c>
      <c r="J2108" s="6">
        <v>2200</v>
      </c>
      <c r="K2108" s="7">
        <f>(J2108-M2108)*税费参数!$B$12/(I2108*10000*(1+SUM(税费参数!$B$6:$B$8)))</f>
        <v>0.0167122855037372</v>
      </c>
      <c r="L2108" s="7">
        <f>J2108*税费参数!$B$12/(I2108*10000)</f>
        <v>0.0191304347826087</v>
      </c>
      <c r="M2108" s="6">
        <f>I2108*10000*SUM(税费参数!$B$9:$B$10)/税费参数!$B$11</f>
        <v>215.625</v>
      </c>
    </row>
    <row r="2109" ht="21" customHeight="1" spans="1:13">
      <c r="A2109" s="5" t="s">
        <v>16</v>
      </c>
      <c r="B2109" s="6" t="s">
        <v>122</v>
      </c>
      <c r="C2109" s="6" t="s">
        <v>152</v>
      </c>
      <c r="D2109" s="6" t="s">
        <v>153</v>
      </c>
      <c r="E2109" s="6" t="s">
        <v>1299</v>
      </c>
      <c r="F2109" s="6" t="s">
        <v>2004</v>
      </c>
      <c r="G2109" s="6">
        <v>48.47</v>
      </c>
      <c r="H2109" s="6">
        <v>48.95</v>
      </c>
      <c r="I2109" s="6">
        <v>115</v>
      </c>
      <c r="J2109" s="6">
        <v>1800</v>
      </c>
      <c r="K2109" s="7">
        <f>(J2109-M2109)*税费参数!$B$12/(I2109*10000*(1+SUM(税费参数!$B$6:$B$8)))</f>
        <v>0.0133435098431414</v>
      </c>
      <c r="L2109" s="7">
        <f>J2109*税费参数!$B$12/(I2109*10000)</f>
        <v>0.0156521739130435</v>
      </c>
      <c r="M2109" s="6">
        <f>I2109*10000*SUM(税费参数!$B$9:$B$10)/税费参数!$B$11</f>
        <v>215.625</v>
      </c>
    </row>
    <row r="2110" ht="21" customHeight="1" spans="1:13">
      <c r="A2110" s="5" t="s">
        <v>16</v>
      </c>
      <c r="B2110" s="6" t="s">
        <v>122</v>
      </c>
      <c r="C2110" s="6" t="s">
        <v>152</v>
      </c>
      <c r="D2110" s="6" t="s">
        <v>153</v>
      </c>
      <c r="E2110" s="6" t="s">
        <v>1299</v>
      </c>
      <c r="F2110" s="6" t="s">
        <v>2005</v>
      </c>
      <c r="G2110" s="6">
        <v>48.47</v>
      </c>
      <c r="H2110" s="6">
        <v>50.29</v>
      </c>
      <c r="I2110" s="6">
        <v>115</v>
      </c>
      <c r="J2110" s="6">
        <v>1900</v>
      </c>
      <c r="K2110" s="7">
        <f>(J2110-M2110)*税费参数!$B$12/(I2110*10000*(1+SUM(税费参数!$B$6:$B$8)))</f>
        <v>0.0141857037582903</v>
      </c>
      <c r="L2110" s="7">
        <f>J2110*税费参数!$B$12/(I2110*10000)</f>
        <v>0.0165217391304348</v>
      </c>
      <c r="M2110" s="6">
        <f>I2110*10000*SUM(税费参数!$B$9:$B$10)/税费参数!$B$11</f>
        <v>215.625</v>
      </c>
    </row>
    <row r="2111" ht="21" customHeight="1" spans="1:13">
      <c r="A2111" s="5" t="s">
        <v>16</v>
      </c>
      <c r="B2111" s="6" t="s">
        <v>122</v>
      </c>
      <c r="C2111" s="6" t="s">
        <v>152</v>
      </c>
      <c r="D2111" s="6" t="s">
        <v>153</v>
      </c>
      <c r="E2111" s="6" t="s">
        <v>1299</v>
      </c>
      <c r="F2111" s="6" t="s">
        <v>2006</v>
      </c>
      <c r="G2111" s="6">
        <v>48.47</v>
      </c>
      <c r="H2111" s="6">
        <v>47.92</v>
      </c>
      <c r="I2111" s="6">
        <v>115</v>
      </c>
      <c r="J2111" s="6">
        <v>2000</v>
      </c>
      <c r="K2111" s="7">
        <f>(J2111-M2111)*税费参数!$B$12/(I2111*10000*(1+SUM(税费参数!$B$6:$B$8)))</f>
        <v>0.0150278976734393</v>
      </c>
      <c r="L2111" s="7">
        <f>J2111*税费参数!$B$12/(I2111*10000)</f>
        <v>0.0173913043478261</v>
      </c>
      <c r="M2111" s="6">
        <f>I2111*10000*SUM(税费参数!$B$9:$B$10)/税费参数!$B$11</f>
        <v>215.625</v>
      </c>
    </row>
    <row r="2112" ht="21" customHeight="1" spans="1:13">
      <c r="A2112" s="5" t="s">
        <v>16</v>
      </c>
      <c r="B2112" s="6" t="s">
        <v>122</v>
      </c>
      <c r="C2112" s="6" t="s">
        <v>152</v>
      </c>
      <c r="D2112" s="6" t="s">
        <v>153</v>
      </c>
      <c r="E2112" s="6" t="s">
        <v>1299</v>
      </c>
      <c r="F2112" s="6" t="s">
        <v>2007</v>
      </c>
      <c r="G2112" s="6">
        <v>48.47</v>
      </c>
      <c r="H2112" s="6">
        <v>47.53</v>
      </c>
      <c r="I2112" s="6">
        <v>115</v>
      </c>
      <c r="J2112" s="6">
        <v>1850</v>
      </c>
      <c r="K2112" s="7">
        <f>(J2112-M2112)*税费参数!$B$12/(I2112*10000*(1+SUM(税费参数!$B$6:$B$8)))</f>
        <v>0.0137646068007159</v>
      </c>
      <c r="L2112" s="7">
        <f>J2112*税费参数!$B$12/(I2112*10000)</f>
        <v>0.0160869565217391</v>
      </c>
      <c r="M2112" s="6">
        <f>I2112*10000*SUM(税费参数!$B$9:$B$10)/税费参数!$B$11</f>
        <v>215.625</v>
      </c>
    </row>
    <row r="2113" ht="21" customHeight="1" spans="1:13">
      <c r="A2113" s="5" t="s">
        <v>16</v>
      </c>
      <c r="B2113" s="6" t="s">
        <v>122</v>
      </c>
      <c r="C2113" s="6" t="s">
        <v>152</v>
      </c>
      <c r="D2113" s="6" t="s">
        <v>153</v>
      </c>
      <c r="E2113" s="6" t="s">
        <v>1299</v>
      </c>
      <c r="F2113" s="6" t="s">
        <v>2008</v>
      </c>
      <c r="G2113" s="6">
        <v>48.47</v>
      </c>
      <c r="H2113" s="6">
        <v>45.16</v>
      </c>
      <c r="I2113" s="6">
        <v>115</v>
      </c>
      <c r="J2113" s="6">
        <v>2000</v>
      </c>
      <c r="K2113" s="7">
        <f>(J2113-M2113)*税费参数!$B$12/(I2113*10000*(1+SUM(税费参数!$B$6:$B$8)))</f>
        <v>0.0150278976734393</v>
      </c>
      <c r="L2113" s="7">
        <f>J2113*税费参数!$B$12/(I2113*10000)</f>
        <v>0.0173913043478261</v>
      </c>
      <c r="M2113" s="6">
        <f>I2113*10000*SUM(税费参数!$B$9:$B$10)/税费参数!$B$11</f>
        <v>215.625</v>
      </c>
    </row>
    <row r="2114" ht="21" customHeight="1" spans="1:13">
      <c r="A2114" s="5" t="s">
        <v>16</v>
      </c>
      <c r="B2114" s="6" t="s">
        <v>122</v>
      </c>
      <c r="C2114" s="6" t="s">
        <v>152</v>
      </c>
      <c r="D2114" s="6" t="s">
        <v>153</v>
      </c>
      <c r="E2114" s="6" t="s">
        <v>1299</v>
      </c>
      <c r="F2114" s="6" t="s">
        <v>2009</v>
      </c>
      <c r="G2114" s="6">
        <v>48.47</v>
      </c>
      <c r="H2114" s="6">
        <v>51.15</v>
      </c>
      <c r="I2114" s="6">
        <v>115</v>
      </c>
      <c r="J2114" s="6">
        <v>1950</v>
      </c>
      <c r="K2114" s="7">
        <f>(J2114-M2114)*税费参数!$B$12/(I2114*10000*(1+SUM(税费参数!$B$6:$B$8)))</f>
        <v>0.0146068007158648</v>
      </c>
      <c r="L2114" s="7">
        <f>J2114*税费参数!$B$12/(I2114*10000)</f>
        <v>0.0169565217391304</v>
      </c>
      <c r="M2114" s="6">
        <f>I2114*10000*SUM(税费参数!$B$9:$B$10)/税费参数!$B$11</f>
        <v>215.625</v>
      </c>
    </row>
    <row r="2115" ht="21" customHeight="1" spans="1:13">
      <c r="A2115" s="5" t="s">
        <v>16</v>
      </c>
      <c r="B2115" s="6" t="s">
        <v>122</v>
      </c>
      <c r="C2115" s="6" t="s">
        <v>152</v>
      </c>
      <c r="D2115" s="6" t="s">
        <v>153</v>
      </c>
      <c r="E2115" s="6" t="s">
        <v>1299</v>
      </c>
      <c r="F2115" s="6" t="s">
        <v>2010</v>
      </c>
      <c r="G2115" s="6">
        <v>48.47</v>
      </c>
      <c r="H2115" s="6">
        <v>48.83</v>
      </c>
      <c r="I2115" s="6">
        <v>115</v>
      </c>
      <c r="J2115" s="6">
        <v>2400</v>
      </c>
      <c r="K2115" s="7">
        <f>(J2115-M2115)*税费参数!$B$12/(I2115*10000*(1+SUM(税费参数!$B$6:$B$8)))</f>
        <v>0.0183966733340352</v>
      </c>
      <c r="L2115" s="7">
        <f>J2115*税费参数!$B$12/(I2115*10000)</f>
        <v>0.0208695652173913</v>
      </c>
      <c r="M2115" s="6">
        <f>I2115*10000*SUM(税费参数!$B$9:$B$10)/税费参数!$B$11</f>
        <v>215.625</v>
      </c>
    </row>
    <row r="2116" ht="21" customHeight="1" spans="1:13">
      <c r="A2116" s="5" t="s">
        <v>16</v>
      </c>
      <c r="B2116" s="6" t="s">
        <v>122</v>
      </c>
      <c r="C2116" s="6" t="s">
        <v>152</v>
      </c>
      <c r="D2116" s="6" t="s">
        <v>153</v>
      </c>
      <c r="E2116" s="6" t="s">
        <v>1299</v>
      </c>
      <c r="F2116" s="6" t="s">
        <v>2011</v>
      </c>
      <c r="G2116" s="6">
        <v>48.47</v>
      </c>
      <c r="H2116" s="6">
        <v>48.47</v>
      </c>
      <c r="I2116" s="6">
        <v>115</v>
      </c>
      <c r="J2116" s="6">
        <v>2100</v>
      </c>
      <c r="K2116" s="7">
        <f>(J2116-M2116)*税费参数!$B$12/(I2116*10000*(1+SUM(税费参数!$B$6:$B$8)))</f>
        <v>0.0158700915885883</v>
      </c>
      <c r="L2116" s="7">
        <f>J2116*税费参数!$B$12/(I2116*10000)</f>
        <v>0.0182608695652174</v>
      </c>
      <c r="M2116" s="6">
        <f>I2116*10000*SUM(税费参数!$B$9:$B$10)/税费参数!$B$11</f>
        <v>215.625</v>
      </c>
    </row>
    <row r="2117" ht="21" customHeight="1" spans="1:13">
      <c r="A2117" s="5" t="s">
        <v>16</v>
      </c>
      <c r="B2117" s="6" t="s">
        <v>122</v>
      </c>
      <c r="C2117" s="6" t="s">
        <v>152</v>
      </c>
      <c r="D2117" s="6" t="s">
        <v>153</v>
      </c>
      <c r="E2117" s="6" t="s">
        <v>1299</v>
      </c>
      <c r="F2117" s="6" t="s">
        <v>2012</v>
      </c>
      <c r="G2117" s="6">
        <v>48.47</v>
      </c>
      <c r="H2117" s="6">
        <v>48.86</v>
      </c>
      <c r="I2117" s="6">
        <v>115</v>
      </c>
      <c r="J2117" s="6">
        <v>3300</v>
      </c>
      <c r="K2117" s="7">
        <f>(J2117-M2117)*税费参数!$B$12/(I2117*10000*(1+SUM(税费参数!$B$6:$B$8)))</f>
        <v>0.0259764185703758</v>
      </c>
      <c r="L2117" s="7">
        <f>J2117*税费参数!$B$12/(I2117*10000)</f>
        <v>0.028695652173913</v>
      </c>
      <c r="M2117" s="6">
        <f>I2117*10000*SUM(税费参数!$B$9:$B$10)/税费参数!$B$11</f>
        <v>215.625</v>
      </c>
    </row>
    <row r="2118" ht="21" customHeight="1" spans="1:13">
      <c r="A2118" s="5" t="s">
        <v>16</v>
      </c>
      <c r="B2118" s="6" t="s">
        <v>122</v>
      </c>
      <c r="C2118" s="6" t="s">
        <v>152</v>
      </c>
      <c r="D2118" s="6" t="s">
        <v>153</v>
      </c>
      <c r="E2118" s="6" t="s">
        <v>1299</v>
      </c>
      <c r="F2118" s="6" t="s">
        <v>2013</v>
      </c>
      <c r="G2118" s="6">
        <v>48.47</v>
      </c>
      <c r="H2118" s="6">
        <v>49.96</v>
      </c>
      <c r="I2118" s="6">
        <v>115</v>
      </c>
      <c r="J2118" s="6">
        <v>2500</v>
      </c>
      <c r="K2118" s="7">
        <f>(J2118-M2118)*税费参数!$B$12/(I2118*10000*(1+SUM(税费参数!$B$6:$B$8)))</f>
        <v>0.0192388672491841</v>
      </c>
      <c r="L2118" s="7">
        <f>J2118*税费参数!$B$12/(I2118*10000)</f>
        <v>0.0217391304347826</v>
      </c>
      <c r="M2118" s="6">
        <f>I2118*10000*SUM(税费参数!$B$9:$B$10)/税费参数!$B$11</f>
        <v>215.625</v>
      </c>
    </row>
    <row r="2119" ht="21" customHeight="1" spans="1:13">
      <c r="A2119" s="5" t="s">
        <v>16</v>
      </c>
      <c r="B2119" s="6" t="s">
        <v>122</v>
      </c>
      <c r="C2119" s="6" t="s">
        <v>152</v>
      </c>
      <c r="D2119" s="6" t="s">
        <v>153</v>
      </c>
      <c r="E2119" s="6" t="s">
        <v>1299</v>
      </c>
      <c r="F2119" s="6" t="s">
        <v>2014</v>
      </c>
      <c r="G2119" s="6">
        <v>48.47</v>
      </c>
      <c r="H2119" s="6">
        <v>50.02</v>
      </c>
      <c r="I2119" s="6">
        <v>115</v>
      </c>
      <c r="J2119" s="6">
        <v>2700</v>
      </c>
      <c r="K2119" s="7">
        <f>(J2119-M2119)*税费参数!$B$12/(I2119*10000*(1+SUM(税费参数!$B$6:$B$8)))</f>
        <v>0.0209232550794821</v>
      </c>
      <c r="L2119" s="7">
        <f>J2119*税费参数!$B$12/(I2119*10000)</f>
        <v>0.0234782608695652</v>
      </c>
      <c r="M2119" s="6">
        <f>I2119*10000*SUM(税费参数!$B$9:$B$10)/税费参数!$B$11</f>
        <v>215.625</v>
      </c>
    </row>
    <row r="2120" ht="21" customHeight="1" spans="1:13">
      <c r="A2120" s="5" t="s">
        <v>16</v>
      </c>
      <c r="B2120" s="6" t="s">
        <v>122</v>
      </c>
      <c r="C2120" s="6" t="s">
        <v>152</v>
      </c>
      <c r="D2120" s="6" t="s">
        <v>153</v>
      </c>
      <c r="E2120" s="6" t="s">
        <v>1299</v>
      </c>
      <c r="F2120" s="6" t="s">
        <v>2015</v>
      </c>
      <c r="G2120" s="6">
        <v>48.47</v>
      </c>
      <c r="H2120" s="6">
        <v>50.21</v>
      </c>
      <c r="I2120" s="6">
        <v>115</v>
      </c>
      <c r="J2120" s="6">
        <v>2200</v>
      </c>
      <c r="K2120" s="7">
        <f>(J2120-M2120)*税费参数!$B$12/(I2120*10000*(1+SUM(税费参数!$B$6:$B$8)))</f>
        <v>0.0167122855037372</v>
      </c>
      <c r="L2120" s="7">
        <f>J2120*税费参数!$B$12/(I2120*10000)</f>
        <v>0.0191304347826087</v>
      </c>
      <c r="M2120" s="6">
        <f>I2120*10000*SUM(税费参数!$B$9:$B$10)/税费参数!$B$11</f>
        <v>215.625</v>
      </c>
    </row>
    <row r="2121" ht="21" customHeight="1" spans="1:13">
      <c r="A2121" s="5" t="s">
        <v>16</v>
      </c>
      <c r="B2121" s="6" t="s">
        <v>122</v>
      </c>
      <c r="C2121" s="6" t="s">
        <v>152</v>
      </c>
      <c r="D2121" s="6" t="s">
        <v>153</v>
      </c>
      <c r="E2121" s="6" t="s">
        <v>1299</v>
      </c>
      <c r="F2121" s="6" t="s">
        <v>2016</v>
      </c>
      <c r="G2121" s="6">
        <v>48.47</v>
      </c>
      <c r="H2121" s="6">
        <v>47.84</v>
      </c>
      <c r="I2121" s="6">
        <v>115</v>
      </c>
      <c r="J2121" s="6">
        <v>2000</v>
      </c>
      <c r="K2121" s="7">
        <f>(J2121-M2121)*税费参数!$B$12/(I2121*10000*(1+SUM(税费参数!$B$6:$B$8)))</f>
        <v>0.0150278976734393</v>
      </c>
      <c r="L2121" s="7">
        <f>J2121*税费参数!$B$12/(I2121*10000)</f>
        <v>0.0173913043478261</v>
      </c>
      <c r="M2121" s="6">
        <f>I2121*10000*SUM(税费参数!$B$9:$B$10)/税费参数!$B$11</f>
        <v>215.625</v>
      </c>
    </row>
    <row r="2122" ht="21" customHeight="1" spans="1:13">
      <c r="A2122" s="5" t="s">
        <v>16</v>
      </c>
      <c r="B2122" s="6" t="s">
        <v>122</v>
      </c>
      <c r="C2122" s="6" t="s">
        <v>152</v>
      </c>
      <c r="D2122" s="6" t="s">
        <v>153</v>
      </c>
      <c r="E2122" s="6" t="s">
        <v>1299</v>
      </c>
      <c r="F2122" s="6" t="s">
        <v>2017</v>
      </c>
      <c r="G2122" s="6">
        <v>48.47</v>
      </c>
      <c r="H2122" s="6">
        <v>49.67</v>
      </c>
      <c r="I2122" s="6">
        <v>115</v>
      </c>
      <c r="J2122" s="6">
        <v>2100</v>
      </c>
      <c r="K2122" s="7">
        <f>(J2122-M2122)*税费参数!$B$12/(I2122*10000*(1+SUM(税费参数!$B$6:$B$8)))</f>
        <v>0.0158700915885883</v>
      </c>
      <c r="L2122" s="7">
        <f>J2122*税费参数!$B$12/(I2122*10000)</f>
        <v>0.0182608695652174</v>
      </c>
      <c r="M2122" s="6">
        <f>I2122*10000*SUM(税费参数!$B$9:$B$10)/税费参数!$B$11</f>
        <v>215.625</v>
      </c>
    </row>
    <row r="2123" ht="21" customHeight="1" spans="1:13">
      <c r="A2123" s="5" t="s">
        <v>16</v>
      </c>
      <c r="B2123" s="6" t="s">
        <v>122</v>
      </c>
      <c r="C2123" s="6" t="s">
        <v>152</v>
      </c>
      <c r="D2123" s="6" t="s">
        <v>153</v>
      </c>
      <c r="E2123" s="6" t="s">
        <v>1299</v>
      </c>
      <c r="F2123" s="6" t="s">
        <v>2018</v>
      </c>
      <c r="G2123" s="6">
        <v>48.47</v>
      </c>
      <c r="H2123" s="6">
        <v>49.24</v>
      </c>
      <c r="I2123" s="6">
        <v>115</v>
      </c>
      <c r="J2123" s="6">
        <v>2300</v>
      </c>
      <c r="K2123" s="7">
        <f>(J2123-M2123)*税费参数!$B$12/(I2123*10000*(1+SUM(税费参数!$B$6:$B$8)))</f>
        <v>0.0175544794188862</v>
      </c>
      <c r="L2123" s="7">
        <f>J2123*税费参数!$B$12/(I2123*10000)</f>
        <v>0.02</v>
      </c>
      <c r="M2123" s="6">
        <f>I2123*10000*SUM(税费参数!$B$9:$B$10)/税费参数!$B$11</f>
        <v>215.625</v>
      </c>
    </row>
    <row r="2124" ht="21" customHeight="1" spans="1:13">
      <c r="A2124" s="5" t="s">
        <v>16</v>
      </c>
      <c r="B2124" s="6" t="s">
        <v>122</v>
      </c>
      <c r="C2124" s="6" t="s">
        <v>152</v>
      </c>
      <c r="D2124" s="6" t="s">
        <v>153</v>
      </c>
      <c r="E2124" s="6" t="s">
        <v>1299</v>
      </c>
      <c r="F2124" s="6" t="s">
        <v>2019</v>
      </c>
      <c r="G2124" s="6">
        <v>48.47</v>
      </c>
      <c r="H2124" s="6">
        <v>47.53</v>
      </c>
      <c r="I2124" s="6">
        <v>115</v>
      </c>
      <c r="J2124" s="6">
        <v>2040</v>
      </c>
      <c r="K2124" s="7">
        <f>(J2124-M2124)*税费参数!$B$12/(I2124*10000*(1+SUM(税费参数!$B$6:$B$8)))</f>
        <v>0.0153647752394989</v>
      </c>
      <c r="L2124" s="7">
        <f>J2124*税费参数!$B$12/(I2124*10000)</f>
        <v>0.0177391304347826</v>
      </c>
      <c r="M2124" s="6">
        <f>I2124*10000*SUM(税费参数!$B$9:$B$10)/税费参数!$B$11</f>
        <v>215.625</v>
      </c>
    </row>
    <row r="2125" ht="21" customHeight="1" spans="1:13">
      <c r="A2125" s="5" t="s">
        <v>16</v>
      </c>
      <c r="B2125" s="6" t="s">
        <v>122</v>
      </c>
      <c r="C2125" s="6" t="s">
        <v>152</v>
      </c>
      <c r="D2125" s="6" t="s">
        <v>153</v>
      </c>
      <c r="E2125" s="6" t="s">
        <v>1299</v>
      </c>
      <c r="F2125" s="6" t="s">
        <v>2020</v>
      </c>
      <c r="G2125" s="6">
        <v>48.47</v>
      </c>
      <c r="H2125" s="6">
        <v>47.53</v>
      </c>
      <c r="I2125" s="6">
        <v>115</v>
      </c>
      <c r="J2125" s="6">
        <v>2000</v>
      </c>
      <c r="K2125" s="7">
        <f>(J2125-M2125)*税费参数!$B$12/(I2125*10000*(1+SUM(税费参数!$B$6:$B$8)))</f>
        <v>0.0150278976734393</v>
      </c>
      <c r="L2125" s="7">
        <f>J2125*税费参数!$B$12/(I2125*10000)</f>
        <v>0.0173913043478261</v>
      </c>
      <c r="M2125" s="6">
        <f>I2125*10000*SUM(税费参数!$B$9:$B$10)/税费参数!$B$11</f>
        <v>215.625</v>
      </c>
    </row>
    <row r="2126" ht="21" customHeight="1" spans="1:13">
      <c r="A2126" s="5" t="s">
        <v>16</v>
      </c>
      <c r="B2126" s="6" t="s">
        <v>122</v>
      </c>
      <c r="C2126" s="6" t="s">
        <v>152</v>
      </c>
      <c r="D2126" s="6" t="s">
        <v>153</v>
      </c>
      <c r="E2126" s="6" t="s">
        <v>1331</v>
      </c>
      <c r="F2126" s="6" t="s">
        <v>2003</v>
      </c>
      <c r="G2126" s="6">
        <v>49.88</v>
      </c>
      <c r="H2126" s="6">
        <v>48.47</v>
      </c>
      <c r="I2126" s="6">
        <v>119.8</v>
      </c>
      <c r="J2126" s="6">
        <v>2200</v>
      </c>
      <c r="K2126" s="7">
        <f>(J2126-M2126)*税费参数!$B$12/(I2126*10000*(1+SUM(税费参数!$B$6:$B$8)))</f>
        <v>0.0159699175785308</v>
      </c>
      <c r="L2126" s="7">
        <f>J2126*税费参数!$B$12/(I2126*10000)</f>
        <v>0.0183639398998331</v>
      </c>
      <c r="M2126" s="6">
        <f>I2126*10000*SUM(税费参数!$B$9:$B$10)/税费参数!$B$11</f>
        <v>224.625</v>
      </c>
    </row>
    <row r="2127" ht="21" customHeight="1" spans="1:13">
      <c r="A2127" s="5" t="s">
        <v>16</v>
      </c>
      <c r="B2127" s="6" t="s">
        <v>122</v>
      </c>
      <c r="C2127" s="6" t="s">
        <v>152</v>
      </c>
      <c r="D2127" s="6" t="s">
        <v>153</v>
      </c>
      <c r="E2127" s="6" t="s">
        <v>1331</v>
      </c>
      <c r="F2127" s="6" t="s">
        <v>2004</v>
      </c>
      <c r="G2127" s="6">
        <v>49.88</v>
      </c>
      <c r="H2127" s="6">
        <v>48.95</v>
      </c>
      <c r="I2127" s="6">
        <v>119.8</v>
      </c>
      <c r="J2127" s="6">
        <v>1800</v>
      </c>
      <c r="K2127" s="7">
        <f>(J2127-M2127)*税费参数!$B$12/(I2127*10000*(1+SUM(税费参数!$B$6:$B$8)))</f>
        <v>0.0127361179043361</v>
      </c>
      <c r="L2127" s="7">
        <f>J2127*税费参数!$B$12/(I2127*10000)</f>
        <v>0.015025041736227</v>
      </c>
      <c r="M2127" s="6">
        <f>I2127*10000*SUM(税费参数!$B$9:$B$10)/税费参数!$B$11</f>
        <v>224.625</v>
      </c>
    </row>
    <row r="2128" ht="21" customHeight="1" spans="1:13">
      <c r="A2128" s="5" t="s">
        <v>16</v>
      </c>
      <c r="B2128" s="6" t="s">
        <v>122</v>
      </c>
      <c r="C2128" s="6" t="s">
        <v>152</v>
      </c>
      <c r="D2128" s="6" t="s">
        <v>153</v>
      </c>
      <c r="E2128" s="6" t="s">
        <v>1331</v>
      </c>
      <c r="F2128" s="6" t="s">
        <v>2005</v>
      </c>
      <c r="G2128" s="6">
        <v>49.88</v>
      </c>
      <c r="H2128" s="6">
        <v>50.29</v>
      </c>
      <c r="I2128" s="6">
        <v>119.8</v>
      </c>
      <c r="J2128" s="6">
        <v>1900</v>
      </c>
      <c r="K2128" s="7">
        <f>(J2128-M2128)*税费参数!$B$12/(I2128*10000*(1+SUM(税费参数!$B$6:$B$8)))</f>
        <v>0.0135445678228848</v>
      </c>
      <c r="L2128" s="7">
        <f>J2128*税费参数!$B$12/(I2128*10000)</f>
        <v>0.0158597662771285</v>
      </c>
      <c r="M2128" s="6">
        <f>I2128*10000*SUM(税费参数!$B$9:$B$10)/税费参数!$B$11</f>
        <v>224.625</v>
      </c>
    </row>
    <row r="2129" ht="21" customHeight="1" spans="1:13">
      <c r="A2129" s="5" t="s">
        <v>16</v>
      </c>
      <c r="B2129" s="6" t="s">
        <v>122</v>
      </c>
      <c r="C2129" s="6" t="s">
        <v>152</v>
      </c>
      <c r="D2129" s="6" t="s">
        <v>153</v>
      </c>
      <c r="E2129" s="6" t="s">
        <v>1331</v>
      </c>
      <c r="F2129" s="6" t="s">
        <v>2006</v>
      </c>
      <c r="G2129" s="6">
        <v>49.88</v>
      </c>
      <c r="H2129" s="6">
        <v>47.92</v>
      </c>
      <c r="I2129" s="6">
        <v>119.8</v>
      </c>
      <c r="J2129" s="6">
        <v>2000</v>
      </c>
      <c r="K2129" s="7">
        <f>(J2129-M2129)*税费参数!$B$12/(I2129*10000*(1+SUM(税费参数!$B$6:$B$8)))</f>
        <v>0.0143530177414335</v>
      </c>
      <c r="L2129" s="7">
        <f>J2129*税费参数!$B$12/(I2129*10000)</f>
        <v>0.01669449081803</v>
      </c>
      <c r="M2129" s="6">
        <f>I2129*10000*SUM(税费参数!$B$9:$B$10)/税费参数!$B$11</f>
        <v>224.625</v>
      </c>
    </row>
    <row r="2130" ht="21" customHeight="1" spans="1:13">
      <c r="A2130" s="5" t="s">
        <v>16</v>
      </c>
      <c r="B2130" s="6" t="s">
        <v>122</v>
      </c>
      <c r="C2130" s="6" t="s">
        <v>152</v>
      </c>
      <c r="D2130" s="6" t="s">
        <v>153</v>
      </c>
      <c r="E2130" s="6" t="s">
        <v>1331</v>
      </c>
      <c r="F2130" s="6" t="s">
        <v>2007</v>
      </c>
      <c r="G2130" s="6">
        <v>49.88</v>
      </c>
      <c r="H2130" s="6">
        <v>47.53</v>
      </c>
      <c r="I2130" s="6">
        <v>119.8</v>
      </c>
      <c r="J2130" s="6">
        <v>1850</v>
      </c>
      <c r="K2130" s="7">
        <f>(J2130-M2130)*税费参数!$B$12/(I2130*10000*(1+SUM(税费参数!$B$6:$B$8)))</f>
        <v>0.0131403428636105</v>
      </c>
      <c r="L2130" s="7">
        <f>J2130*税费参数!$B$12/(I2130*10000)</f>
        <v>0.0154424040066778</v>
      </c>
      <c r="M2130" s="6">
        <f>I2130*10000*SUM(税费参数!$B$9:$B$10)/税费参数!$B$11</f>
        <v>224.625</v>
      </c>
    </row>
    <row r="2131" ht="21" customHeight="1" spans="1:13">
      <c r="A2131" s="5" t="s">
        <v>16</v>
      </c>
      <c r="B2131" s="6" t="s">
        <v>122</v>
      </c>
      <c r="C2131" s="6" t="s">
        <v>152</v>
      </c>
      <c r="D2131" s="6" t="s">
        <v>153</v>
      </c>
      <c r="E2131" s="6" t="s">
        <v>1331</v>
      </c>
      <c r="F2131" s="6" t="s">
        <v>2008</v>
      </c>
      <c r="G2131" s="6">
        <v>49.88</v>
      </c>
      <c r="H2131" s="6">
        <v>45.16</v>
      </c>
      <c r="I2131" s="6">
        <v>119.8</v>
      </c>
      <c r="J2131" s="6">
        <v>2000</v>
      </c>
      <c r="K2131" s="7">
        <f>(J2131-M2131)*税费参数!$B$12/(I2131*10000*(1+SUM(税费参数!$B$6:$B$8)))</f>
        <v>0.0143530177414335</v>
      </c>
      <c r="L2131" s="7">
        <f>J2131*税费参数!$B$12/(I2131*10000)</f>
        <v>0.01669449081803</v>
      </c>
      <c r="M2131" s="6">
        <f>I2131*10000*SUM(税费参数!$B$9:$B$10)/税费参数!$B$11</f>
        <v>224.625</v>
      </c>
    </row>
    <row r="2132" ht="21" customHeight="1" spans="1:13">
      <c r="A2132" s="5" t="s">
        <v>16</v>
      </c>
      <c r="B2132" s="6" t="s">
        <v>122</v>
      </c>
      <c r="C2132" s="6" t="s">
        <v>152</v>
      </c>
      <c r="D2132" s="6" t="s">
        <v>153</v>
      </c>
      <c r="E2132" s="6" t="s">
        <v>1331</v>
      </c>
      <c r="F2132" s="6" t="s">
        <v>2009</v>
      </c>
      <c r="G2132" s="6">
        <v>49.88</v>
      </c>
      <c r="H2132" s="6">
        <v>51.15</v>
      </c>
      <c r="I2132" s="6">
        <v>119.8</v>
      </c>
      <c r="J2132" s="6">
        <v>1950</v>
      </c>
      <c r="K2132" s="7">
        <f>(J2132-M2132)*税费参数!$B$12/(I2132*10000*(1+SUM(税费参数!$B$6:$B$8)))</f>
        <v>0.0139487927821591</v>
      </c>
      <c r="L2132" s="7">
        <f>J2132*税费参数!$B$12/(I2132*10000)</f>
        <v>0.0162771285475793</v>
      </c>
      <c r="M2132" s="6">
        <f>I2132*10000*SUM(税费参数!$B$9:$B$10)/税费参数!$B$11</f>
        <v>224.625</v>
      </c>
    </row>
    <row r="2133" ht="21" customHeight="1" spans="1:13">
      <c r="A2133" s="5" t="s">
        <v>16</v>
      </c>
      <c r="B2133" s="6" t="s">
        <v>122</v>
      </c>
      <c r="C2133" s="6" t="s">
        <v>152</v>
      </c>
      <c r="D2133" s="6" t="s">
        <v>153</v>
      </c>
      <c r="E2133" s="6" t="s">
        <v>1331</v>
      </c>
      <c r="F2133" s="6" t="s">
        <v>2010</v>
      </c>
      <c r="G2133" s="6">
        <v>49.88</v>
      </c>
      <c r="H2133" s="6">
        <v>48.83</v>
      </c>
      <c r="I2133" s="6">
        <v>119.8</v>
      </c>
      <c r="J2133" s="6">
        <v>2400</v>
      </c>
      <c r="K2133" s="7">
        <f>(J2133-M2133)*税费参数!$B$12/(I2133*10000*(1+SUM(税费参数!$B$6:$B$8)))</f>
        <v>0.0175868174156281</v>
      </c>
      <c r="L2133" s="7">
        <f>J2133*税费参数!$B$12/(I2133*10000)</f>
        <v>0.0200333889816361</v>
      </c>
      <c r="M2133" s="6">
        <f>I2133*10000*SUM(税费参数!$B$9:$B$10)/税费参数!$B$11</f>
        <v>224.625</v>
      </c>
    </row>
    <row r="2134" ht="21" customHeight="1" spans="1:13">
      <c r="A2134" s="5" t="s">
        <v>16</v>
      </c>
      <c r="B2134" s="6" t="s">
        <v>122</v>
      </c>
      <c r="C2134" s="6" t="s">
        <v>152</v>
      </c>
      <c r="D2134" s="6" t="s">
        <v>153</v>
      </c>
      <c r="E2134" s="6" t="s">
        <v>1331</v>
      </c>
      <c r="F2134" s="6" t="s">
        <v>2011</v>
      </c>
      <c r="G2134" s="6">
        <v>49.88</v>
      </c>
      <c r="H2134" s="6">
        <v>48.47</v>
      </c>
      <c r="I2134" s="6">
        <v>119.8</v>
      </c>
      <c r="J2134" s="6">
        <v>2100</v>
      </c>
      <c r="K2134" s="7">
        <f>(J2134-M2134)*税费参数!$B$12/(I2134*10000*(1+SUM(税费参数!$B$6:$B$8)))</f>
        <v>0.0151614676599821</v>
      </c>
      <c r="L2134" s="7">
        <f>J2134*税费参数!$B$12/(I2134*10000)</f>
        <v>0.0175292153589316</v>
      </c>
      <c r="M2134" s="6">
        <f>I2134*10000*SUM(税费参数!$B$9:$B$10)/税费参数!$B$11</f>
        <v>224.625</v>
      </c>
    </row>
    <row r="2135" ht="21" customHeight="1" spans="1:13">
      <c r="A2135" s="5" t="s">
        <v>16</v>
      </c>
      <c r="B2135" s="6" t="s">
        <v>122</v>
      </c>
      <c r="C2135" s="6" t="s">
        <v>152</v>
      </c>
      <c r="D2135" s="6" t="s">
        <v>153</v>
      </c>
      <c r="E2135" s="6" t="s">
        <v>1331</v>
      </c>
      <c r="F2135" s="6" t="s">
        <v>2012</v>
      </c>
      <c r="G2135" s="6">
        <v>49.88</v>
      </c>
      <c r="H2135" s="6">
        <v>48.86</v>
      </c>
      <c r="I2135" s="6">
        <v>119.8</v>
      </c>
      <c r="J2135" s="6">
        <v>3300</v>
      </c>
      <c r="K2135" s="7">
        <f>(J2135-M2135)*税费参数!$B$12/(I2135*10000*(1+SUM(税费参数!$B$6:$B$8)))</f>
        <v>0.0248628666825662</v>
      </c>
      <c r="L2135" s="7">
        <f>J2135*税费参数!$B$12/(I2135*10000)</f>
        <v>0.0275459098497496</v>
      </c>
      <c r="M2135" s="6">
        <f>I2135*10000*SUM(税费参数!$B$9:$B$10)/税费参数!$B$11</f>
        <v>224.625</v>
      </c>
    </row>
    <row r="2136" ht="21" customHeight="1" spans="1:13">
      <c r="A2136" s="5" t="s">
        <v>16</v>
      </c>
      <c r="B2136" s="6" t="s">
        <v>122</v>
      </c>
      <c r="C2136" s="6" t="s">
        <v>152</v>
      </c>
      <c r="D2136" s="6" t="s">
        <v>153</v>
      </c>
      <c r="E2136" s="6" t="s">
        <v>1331</v>
      </c>
      <c r="F2136" s="6" t="s">
        <v>2013</v>
      </c>
      <c r="G2136" s="6">
        <v>49.88</v>
      </c>
      <c r="H2136" s="6">
        <v>49.96</v>
      </c>
      <c r="I2136" s="6">
        <v>119.8</v>
      </c>
      <c r="J2136" s="6">
        <v>2500</v>
      </c>
      <c r="K2136" s="7">
        <f>(J2136-M2136)*税费参数!$B$12/(I2136*10000*(1+SUM(税费参数!$B$6:$B$8)))</f>
        <v>0.0183952673341768</v>
      </c>
      <c r="L2136" s="7">
        <f>J2136*税费参数!$B$12/(I2136*10000)</f>
        <v>0.0208681135225376</v>
      </c>
      <c r="M2136" s="6">
        <f>I2136*10000*SUM(税费参数!$B$9:$B$10)/税费参数!$B$11</f>
        <v>224.625</v>
      </c>
    </row>
    <row r="2137" ht="21" customHeight="1" spans="1:13">
      <c r="A2137" s="5" t="s">
        <v>16</v>
      </c>
      <c r="B2137" s="6" t="s">
        <v>122</v>
      </c>
      <c r="C2137" s="6" t="s">
        <v>152</v>
      </c>
      <c r="D2137" s="6" t="s">
        <v>153</v>
      </c>
      <c r="E2137" s="6" t="s">
        <v>1331</v>
      </c>
      <c r="F2137" s="6" t="s">
        <v>2014</v>
      </c>
      <c r="G2137" s="6">
        <v>49.88</v>
      </c>
      <c r="H2137" s="6">
        <v>50.02</v>
      </c>
      <c r="I2137" s="6">
        <v>119.8</v>
      </c>
      <c r="J2137" s="6">
        <v>2700</v>
      </c>
      <c r="K2137" s="7">
        <f>(J2137-M2137)*税费参数!$B$12/(I2137*10000*(1+SUM(税费参数!$B$6:$B$8)))</f>
        <v>0.0200121671712742</v>
      </c>
      <c r="L2137" s="7">
        <f>J2137*税费参数!$B$12/(I2137*10000)</f>
        <v>0.0225375626043406</v>
      </c>
      <c r="M2137" s="6">
        <f>I2137*10000*SUM(税费参数!$B$9:$B$10)/税费参数!$B$11</f>
        <v>224.625</v>
      </c>
    </row>
    <row r="2138" ht="21" customHeight="1" spans="1:13">
      <c r="A2138" s="5" t="s">
        <v>16</v>
      </c>
      <c r="B2138" s="6" t="s">
        <v>122</v>
      </c>
      <c r="C2138" s="6" t="s">
        <v>152</v>
      </c>
      <c r="D2138" s="6" t="s">
        <v>153</v>
      </c>
      <c r="E2138" s="6" t="s">
        <v>1331</v>
      </c>
      <c r="F2138" s="6" t="s">
        <v>2015</v>
      </c>
      <c r="G2138" s="6">
        <v>49.88</v>
      </c>
      <c r="H2138" s="6">
        <v>50.21</v>
      </c>
      <c r="I2138" s="6">
        <v>119.8</v>
      </c>
      <c r="J2138" s="6">
        <v>2200</v>
      </c>
      <c r="K2138" s="7">
        <f>(J2138-M2138)*税费参数!$B$12/(I2138*10000*(1+SUM(税费参数!$B$6:$B$8)))</f>
        <v>0.0159699175785308</v>
      </c>
      <c r="L2138" s="7">
        <f>J2138*税费参数!$B$12/(I2138*10000)</f>
        <v>0.0183639398998331</v>
      </c>
      <c r="M2138" s="6">
        <f>I2138*10000*SUM(税费参数!$B$9:$B$10)/税费参数!$B$11</f>
        <v>224.625</v>
      </c>
    </row>
    <row r="2139" ht="21" customHeight="1" spans="1:13">
      <c r="A2139" s="5" t="s">
        <v>16</v>
      </c>
      <c r="B2139" s="6" t="s">
        <v>122</v>
      </c>
      <c r="C2139" s="6" t="s">
        <v>152</v>
      </c>
      <c r="D2139" s="6" t="s">
        <v>153</v>
      </c>
      <c r="E2139" s="6" t="s">
        <v>1331</v>
      </c>
      <c r="F2139" s="6" t="s">
        <v>2016</v>
      </c>
      <c r="G2139" s="6">
        <v>49.88</v>
      </c>
      <c r="H2139" s="6">
        <v>47.84</v>
      </c>
      <c r="I2139" s="6">
        <v>119.8</v>
      </c>
      <c r="J2139" s="6">
        <v>2000</v>
      </c>
      <c r="K2139" s="7">
        <f>(J2139-M2139)*税费参数!$B$12/(I2139*10000*(1+SUM(税费参数!$B$6:$B$8)))</f>
        <v>0.0143530177414335</v>
      </c>
      <c r="L2139" s="7">
        <f>J2139*税费参数!$B$12/(I2139*10000)</f>
        <v>0.01669449081803</v>
      </c>
      <c r="M2139" s="6">
        <f>I2139*10000*SUM(税费参数!$B$9:$B$10)/税费参数!$B$11</f>
        <v>224.625</v>
      </c>
    </row>
    <row r="2140" ht="21" customHeight="1" spans="1:13">
      <c r="A2140" s="5" t="s">
        <v>16</v>
      </c>
      <c r="B2140" s="6" t="s">
        <v>122</v>
      </c>
      <c r="C2140" s="6" t="s">
        <v>152</v>
      </c>
      <c r="D2140" s="6" t="s">
        <v>153</v>
      </c>
      <c r="E2140" s="6" t="s">
        <v>1331</v>
      </c>
      <c r="F2140" s="6" t="s">
        <v>2017</v>
      </c>
      <c r="G2140" s="6">
        <v>49.88</v>
      </c>
      <c r="H2140" s="6">
        <v>49.67</v>
      </c>
      <c r="I2140" s="6">
        <v>119.8</v>
      </c>
      <c r="J2140" s="6">
        <v>2100</v>
      </c>
      <c r="K2140" s="7">
        <f>(J2140-M2140)*税费参数!$B$12/(I2140*10000*(1+SUM(税费参数!$B$6:$B$8)))</f>
        <v>0.0151614676599821</v>
      </c>
      <c r="L2140" s="7">
        <f>J2140*税费参数!$B$12/(I2140*10000)</f>
        <v>0.0175292153589316</v>
      </c>
      <c r="M2140" s="6">
        <f>I2140*10000*SUM(税费参数!$B$9:$B$10)/税费参数!$B$11</f>
        <v>224.625</v>
      </c>
    </row>
    <row r="2141" ht="21" customHeight="1" spans="1:13">
      <c r="A2141" s="5" t="s">
        <v>16</v>
      </c>
      <c r="B2141" s="6" t="s">
        <v>122</v>
      </c>
      <c r="C2141" s="6" t="s">
        <v>152</v>
      </c>
      <c r="D2141" s="6" t="s">
        <v>153</v>
      </c>
      <c r="E2141" s="6" t="s">
        <v>1331</v>
      </c>
      <c r="F2141" s="6" t="s">
        <v>2018</v>
      </c>
      <c r="G2141" s="6">
        <v>49.88</v>
      </c>
      <c r="H2141" s="6">
        <v>49.24</v>
      </c>
      <c r="I2141" s="6">
        <v>119.8</v>
      </c>
      <c r="J2141" s="6">
        <v>2300</v>
      </c>
      <c r="K2141" s="7">
        <f>(J2141-M2141)*税费参数!$B$12/(I2141*10000*(1+SUM(税费参数!$B$6:$B$8)))</f>
        <v>0.0167783674970795</v>
      </c>
      <c r="L2141" s="7">
        <f>J2141*税费参数!$B$12/(I2141*10000)</f>
        <v>0.0191986644407346</v>
      </c>
      <c r="M2141" s="6">
        <f>I2141*10000*SUM(税费参数!$B$9:$B$10)/税费参数!$B$11</f>
        <v>224.625</v>
      </c>
    </row>
    <row r="2142" ht="21" customHeight="1" spans="1:13">
      <c r="A2142" s="5" t="s">
        <v>16</v>
      </c>
      <c r="B2142" s="6" t="s">
        <v>122</v>
      </c>
      <c r="C2142" s="6" t="s">
        <v>152</v>
      </c>
      <c r="D2142" s="6" t="s">
        <v>153</v>
      </c>
      <c r="E2142" s="6" t="s">
        <v>1331</v>
      </c>
      <c r="F2142" s="6" t="s">
        <v>2019</v>
      </c>
      <c r="G2142" s="6">
        <v>49.88</v>
      </c>
      <c r="H2142" s="6">
        <v>47.53</v>
      </c>
      <c r="I2142" s="6">
        <v>119.8</v>
      </c>
      <c r="J2142" s="6">
        <v>2040</v>
      </c>
      <c r="K2142" s="7">
        <f>(J2142-M2142)*税费参数!$B$12/(I2142*10000*(1+SUM(税费参数!$B$6:$B$8)))</f>
        <v>0.0146763977088529</v>
      </c>
      <c r="L2142" s="7">
        <f>J2142*税费参数!$B$12/(I2142*10000)</f>
        <v>0.0170283806343907</v>
      </c>
      <c r="M2142" s="6">
        <f>I2142*10000*SUM(税费参数!$B$9:$B$10)/税费参数!$B$11</f>
        <v>224.625</v>
      </c>
    </row>
    <row r="2143" ht="21" customHeight="1" spans="1:13">
      <c r="A2143" s="5" t="s">
        <v>16</v>
      </c>
      <c r="B2143" s="6" t="s">
        <v>122</v>
      </c>
      <c r="C2143" s="6" t="s">
        <v>152</v>
      </c>
      <c r="D2143" s="6" t="s">
        <v>153</v>
      </c>
      <c r="E2143" s="6" t="s">
        <v>1331</v>
      </c>
      <c r="F2143" s="6" t="s">
        <v>2020</v>
      </c>
      <c r="G2143" s="6">
        <v>49.88</v>
      </c>
      <c r="H2143" s="6">
        <v>47.53</v>
      </c>
      <c r="I2143" s="6">
        <v>119.8</v>
      </c>
      <c r="J2143" s="6">
        <v>2000</v>
      </c>
      <c r="K2143" s="7">
        <f>(J2143-M2143)*税费参数!$B$12/(I2143*10000*(1+SUM(税费参数!$B$6:$B$8)))</f>
        <v>0.0143530177414335</v>
      </c>
      <c r="L2143" s="7">
        <f>J2143*税费参数!$B$12/(I2143*10000)</f>
        <v>0.01669449081803</v>
      </c>
      <c r="M2143" s="6">
        <f>I2143*10000*SUM(税费参数!$B$9:$B$10)/税费参数!$B$11</f>
        <v>224.625</v>
      </c>
    </row>
    <row r="2144" ht="21" customHeight="1" spans="1:13">
      <c r="A2144" s="5" t="s">
        <v>16</v>
      </c>
      <c r="B2144" s="6" t="s">
        <v>122</v>
      </c>
      <c r="C2144" s="6" t="s">
        <v>152</v>
      </c>
      <c r="D2144" s="6" t="s">
        <v>153</v>
      </c>
      <c r="E2144" s="6" t="s">
        <v>1343</v>
      </c>
      <c r="F2144" s="6" t="s">
        <v>2003</v>
      </c>
      <c r="G2144" s="6">
        <v>49.96</v>
      </c>
      <c r="H2144" s="6">
        <v>48.47</v>
      </c>
      <c r="I2144" s="6">
        <v>120</v>
      </c>
      <c r="J2144" s="6">
        <v>2200</v>
      </c>
      <c r="K2144" s="7">
        <f>(J2144-M2144)*税费参数!$B$12/(I2144*10000*(1+SUM(税费参数!$B$6:$B$8)))</f>
        <v>0.0159402744148507</v>
      </c>
      <c r="L2144" s="7">
        <f>J2144*税费参数!$B$12/(I2144*10000)</f>
        <v>0.0183333333333333</v>
      </c>
      <c r="M2144" s="6">
        <f>I2144*10000*SUM(税费参数!$B$9:$B$10)/税费参数!$B$11</f>
        <v>225</v>
      </c>
    </row>
    <row r="2145" ht="21" customHeight="1" spans="1:13">
      <c r="A2145" s="5" t="s">
        <v>16</v>
      </c>
      <c r="B2145" s="6" t="s">
        <v>122</v>
      </c>
      <c r="C2145" s="6" t="s">
        <v>152</v>
      </c>
      <c r="D2145" s="6" t="s">
        <v>153</v>
      </c>
      <c r="E2145" s="6" t="s">
        <v>1343</v>
      </c>
      <c r="F2145" s="6" t="s">
        <v>2004</v>
      </c>
      <c r="G2145" s="6">
        <v>49.96</v>
      </c>
      <c r="H2145" s="6">
        <v>48.95</v>
      </c>
      <c r="I2145" s="6">
        <v>120</v>
      </c>
      <c r="J2145" s="6">
        <v>1800</v>
      </c>
      <c r="K2145" s="7">
        <f>(J2145-M2145)*税费参数!$B$12/(I2145*10000*(1+SUM(税费参数!$B$6:$B$8)))</f>
        <v>0.0127118644067797</v>
      </c>
      <c r="L2145" s="7">
        <f>J2145*税费参数!$B$12/(I2145*10000)</f>
        <v>0.015</v>
      </c>
      <c r="M2145" s="6">
        <f>I2145*10000*SUM(税费参数!$B$9:$B$10)/税费参数!$B$11</f>
        <v>225</v>
      </c>
    </row>
    <row r="2146" ht="21" customHeight="1" spans="1:13">
      <c r="A2146" s="5" t="s">
        <v>16</v>
      </c>
      <c r="B2146" s="6" t="s">
        <v>122</v>
      </c>
      <c r="C2146" s="6" t="s">
        <v>152</v>
      </c>
      <c r="D2146" s="6" t="s">
        <v>153</v>
      </c>
      <c r="E2146" s="6" t="s">
        <v>1343</v>
      </c>
      <c r="F2146" s="6" t="s">
        <v>2005</v>
      </c>
      <c r="G2146" s="6">
        <v>49.96</v>
      </c>
      <c r="H2146" s="6">
        <v>50.29</v>
      </c>
      <c r="I2146" s="6">
        <v>120</v>
      </c>
      <c r="J2146" s="6">
        <v>1900</v>
      </c>
      <c r="K2146" s="7">
        <f>(J2146-M2146)*税费参数!$B$12/(I2146*10000*(1+SUM(税费参数!$B$6:$B$8)))</f>
        <v>0.0135189669087974</v>
      </c>
      <c r="L2146" s="7">
        <f>J2146*税费参数!$B$12/(I2146*10000)</f>
        <v>0.0158333333333333</v>
      </c>
      <c r="M2146" s="6">
        <f>I2146*10000*SUM(税费参数!$B$9:$B$10)/税费参数!$B$11</f>
        <v>225</v>
      </c>
    </row>
    <row r="2147" ht="21" customHeight="1" spans="1:13">
      <c r="A2147" s="5" t="s">
        <v>16</v>
      </c>
      <c r="B2147" s="6" t="s">
        <v>122</v>
      </c>
      <c r="C2147" s="6" t="s">
        <v>152</v>
      </c>
      <c r="D2147" s="6" t="s">
        <v>153</v>
      </c>
      <c r="E2147" s="6" t="s">
        <v>1343</v>
      </c>
      <c r="F2147" s="6" t="s">
        <v>2006</v>
      </c>
      <c r="G2147" s="6">
        <v>49.96</v>
      </c>
      <c r="H2147" s="6">
        <v>47.92</v>
      </c>
      <c r="I2147" s="6">
        <v>120</v>
      </c>
      <c r="J2147" s="6">
        <v>2000</v>
      </c>
      <c r="K2147" s="7">
        <f>(J2147-M2147)*税费参数!$B$12/(I2147*10000*(1+SUM(税费参数!$B$6:$B$8)))</f>
        <v>0.0143260694108152</v>
      </c>
      <c r="L2147" s="7">
        <f>J2147*税费参数!$B$12/(I2147*10000)</f>
        <v>0.0166666666666667</v>
      </c>
      <c r="M2147" s="6">
        <f>I2147*10000*SUM(税费参数!$B$9:$B$10)/税费参数!$B$11</f>
        <v>225</v>
      </c>
    </row>
    <row r="2148" ht="21" customHeight="1" spans="1:13">
      <c r="A2148" s="5" t="s">
        <v>16</v>
      </c>
      <c r="B2148" s="6" t="s">
        <v>122</v>
      </c>
      <c r="C2148" s="6" t="s">
        <v>152</v>
      </c>
      <c r="D2148" s="6" t="s">
        <v>153</v>
      </c>
      <c r="E2148" s="6" t="s">
        <v>1343</v>
      </c>
      <c r="F2148" s="6" t="s">
        <v>2007</v>
      </c>
      <c r="G2148" s="6">
        <v>49.96</v>
      </c>
      <c r="H2148" s="6">
        <v>47.53</v>
      </c>
      <c r="I2148" s="6">
        <v>120</v>
      </c>
      <c r="J2148" s="6">
        <v>1850</v>
      </c>
      <c r="K2148" s="7">
        <f>(J2148-M2148)*税费参数!$B$12/(I2148*10000*(1+SUM(税费参数!$B$6:$B$8)))</f>
        <v>0.0131154156577885</v>
      </c>
      <c r="L2148" s="7">
        <f>J2148*税费参数!$B$12/(I2148*10000)</f>
        <v>0.0154166666666667</v>
      </c>
      <c r="M2148" s="6">
        <f>I2148*10000*SUM(税费参数!$B$9:$B$10)/税费参数!$B$11</f>
        <v>225</v>
      </c>
    </row>
    <row r="2149" ht="21" customHeight="1" spans="1:13">
      <c r="A2149" s="5" t="s">
        <v>16</v>
      </c>
      <c r="B2149" s="6" t="s">
        <v>122</v>
      </c>
      <c r="C2149" s="6" t="s">
        <v>152</v>
      </c>
      <c r="D2149" s="6" t="s">
        <v>153</v>
      </c>
      <c r="E2149" s="6" t="s">
        <v>1343</v>
      </c>
      <c r="F2149" s="6" t="s">
        <v>2008</v>
      </c>
      <c r="G2149" s="6">
        <v>49.96</v>
      </c>
      <c r="H2149" s="6">
        <v>45.16</v>
      </c>
      <c r="I2149" s="6">
        <v>120</v>
      </c>
      <c r="J2149" s="6">
        <v>2000</v>
      </c>
      <c r="K2149" s="7">
        <f>(J2149-M2149)*税费参数!$B$12/(I2149*10000*(1+SUM(税费参数!$B$6:$B$8)))</f>
        <v>0.0143260694108152</v>
      </c>
      <c r="L2149" s="7">
        <f>J2149*税费参数!$B$12/(I2149*10000)</f>
        <v>0.0166666666666667</v>
      </c>
      <c r="M2149" s="6">
        <f>I2149*10000*SUM(税费参数!$B$9:$B$10)/税费参数!$B$11</f>
        <v>225</v>
      </c>
    </row>
    <row r="2150" ht="21" customHeight="1" spans="1:13">
      <c r="A2150" s="5" t="s">
        <v>16</v>
      </c>
      <c r="B2150" s="6" t="s">
        <v>122</v>
      </c>
      <c r="C2150" s="6" t="s">
        <v>152</v>
      </c>
      <c r="D2150" s="6" t="s">
        <v>153</v>
      </c>
      <c r="E2150" s="6" t="s">
        <v>1343</v>
      </c>
      <c r="F2150" s="6" t="s">
        <v>2009</v>
      </c>
      <c r="G2150" s="6">
        <v>49.96</v>
      </c>
      <c r="H2150" s="6">
        <v>51.15</v>
      </c>
      <c r="I2150" s="6">
        <v>120</v>
      </c>
      <c r="J2150" s="6">
        <v>1950</v>
      </c>
      <c r="K2150" s="7">
        <f>(J2150-M2150)*税费参数!$B$12/(I2150*10000*(1+SUM(税费参数!$B$6:$B$8)))</f>
        <v>0.0139225181598063</v>
      </c>
      <c r="L2150" s="7">
        <f>J2150*税费参数!$B$12/(I2150*10000)</f>
        <v>0.01625</v>
      </c>
      <c r="M2150" s="6">
        <f>I2150*10000*SUM(税费参数!$B$9:$B$10)/税费参数!$B$11</f>
        <v>225</v>
      </c>
    </row>
    <row r="2151" ht="21" customHeight="1" spans="1:13">
      <c r="A2151" s="5" t="s">
        <v>16</v>
      </c>
      <c r="B2151" s="6" t="s">
        <v>122</v>
      </c>
      <c r="C2151" s="6" t="s">
        <v>152</v>
      </c>
      <c r="D2151" s="6" t="s">
        <v>153</v>
      </c>
      <c r="E2151" s="6" t="s">
        <v>1343</v>
      </c>
      <c r="F2151" s="6" t="s">
        <v>2010</v>
      </c>
      <c r="G2151" s="6">
        <v>49.96</v>
      </c>
      <c r="H2151" s="6">
        <v>48.83</v>
      </c>
      <c r="I2151" s="6">
        <v>120</v>
      </c>
      <c r="J2151" s="6">
        <v>2400</v>
      </c>
      <c r="K2151" s="7">
        <f>(J2151-M2151)*税费参数!$B$12/(I2151*10000*(1+SUM(税费参数!$B$6:$B$8)))</f>
        <v>0.0175544794188862</v>
      </c>
      <c r="L2151" s="7">
        <f>J2151*税费参数!$B$12/(I2151*10000)</f>
        <v>0.02</v>
      </c>
      <c r="M2151" s="6">
        <f>I2151*10000*SUM(税费参数!$B$9:$B$10)/税费参数!$B$11</f>
        <v>225</v>
      </c>
    </row>
    <row r="2152" ht="21" customHeight="1" spans="1:13">
      <c r="A2152" s="5" t="s">
        <v>16</v>
      </c>
      <c r="B2152" s="6" t="s">
        <v>122</v>
      </c>
      <c r="C2152" s="6" t="s">
        <v>152</v>
      </c>
      <c r="D2152" s="6" t="s">
        <v>153</v>
      </c>
      <c r="E2152" s="6" t="s">
        <v>1343</v>
      </c>
      <c r="F2152" s="6" t="s">
        <v>2011</v>
      </c>
      <c r="G2152" s="6">
        <v>49.96</v>
      </c>
      <c r="H2152" s="6">
        <v>48.47</v>
      </c>
      <c r="I2152" s="6">
        <v>120</v>
      </c>
      <c r="J2152" s="6">
        <v>2100</v>
      </c>
      <c r="K2152" s="7">
        <f>(J2152-M2152)*税费参数!$B$12/(I2152*10000*(1+SUM(税费参数!$B$6:$B$8)))</f>
        <v>0.0151331719128329</v>
      </c>
      <c r="L2152" s="7">
        <f>J2152*税费参数!$B$12/(I2152*10000)</f>
        <v>0.0175</v>
      </c>
      <c r="M2152" s="6">
        <f>I2152*10000*SUM(税费参数!$B$9:$B$10)/税费参数!$B$11</f>
        <v>225</v>
      </c>
    </row>
    <row r="2153" ht="21" customHeight="1" spans="1:13">
      <c r="A2153" s="5" t="s">
        <v>16</v>
      </c>
      <c r="B2153" s="6" t="s">
        <v>122</v>
      </c>
      <c r="C2153" s="6" t="s">
        <v>152</v>
      </c>
      <c r="D2153" s="6" t="s">
        <v>153</v>
      </c>
      <c r="E2153" s="6" t="s">
        <v>1343</v>
      </c>
      <c r="F2153" s="6" t="s">
        <v>2012</v>
      </c>
      <c r="G2153" s="6">
        <v>49.96</v>
      </c>
      <c r="H2153" s="6">
        <v>48.86</v>
      </c>
      <c r="I2153" s="6">
        <v>120</v>
      </c>
      <c r="J2153" s="6">
        <v>3300</v>
      </c>
      <c r="K2153" s="7">
        <f>(J2153-M2153)*税费参数!$B$12/(I2153*10000*(1+SUM(税费参数!$B$6:$B$8)))</f>
        <v>0.024818401937046</v>
      </c>
      <c r="L2153" s="7">
        <f>J2153*税费参数!$B$12/(I2153*10000)</f>
        <v>0.0275</v>
      </c>
      <c r="M2153" s="6">
        <f>I2153*10000*SUM(税费参数!$B$9:$B$10)/税费参数!$B$11</f>
        <v>225</v>
      </c>
    </row>
    <row r="2154" ht="21" customHeight="1" spans="1:13">
      <c r="A2154" s="5" t="s">
        <v>16</v>
      </c>
      <c r="B2154" s="6" t="s">
        <v>122</v>
      </c>
      <c r="C2154" s="6" t="s">
        <v>152</v>
      </c>
      <c r="D2154" s="6" t="s">
        <v>153</v>
      </c>
      <c r="E2154" s="6" t="s">
        <v>1343</v>
      </c>
      <c r="F2154" s="6" t="s">
        <v>2013</v>
      </c>
      <c r="G2154" s="6">
        <v>49.96</v>
      </c>
      <c r="H2154" s="6">
        <v>49.96</v>
      </c>
      <c r="I2154" s="6">
        <v>120</v>
      </c>
      <c r="J2154" s="6">
        <v>2500</v>
      </c>
      <c r="K2154" s="7">
        <f>(J2154-M2154)*税费参数!$B$12/(I2154*10000*(1+SUM(税费参数!$B$6:$B$8)))</f>
        <v>0.018361581920904</v>
      </c>
      <c r="L2154" s="7">
        <f>J2154*税费参数!$B$12/(I2154*10000)</f>
        <v>0.0208333333333333</v>
      </c>
      <c r="M2154" s="6">
        <f>I2154*10000*SUM(税费参数!$B$9:$B$10)/税费参数!$B$11</f>
        <v>225</v>
      </c>
    </row>
    <row r="2155" ht="21" customHeight="1" spans="1:13">
      <c r="A2155" s="5" t="s">
        <v>16</v>
      </c>
      <c r="B2155" s="6" t="s">
        <v>122</v>
      </c>
      <c r="C2155" s="6" t="s">
        <v>152</v>
      </c>
      <c r="D2155" s="6" t="s">
        <v>153</v>
      </c>
      <c r="E2155" s="6" t="s">
        <v>1343</v>
      </c>
      <c r="F2155" s="6" t="s">
        <v>2014</v>
      </c>
      <c r="G2155" s="6">
        <v>49.96</v>
      </c>
      <c r="H2155" s="6">
        <v>50.02</v>
      </c>
      <c r="I2155" s="6">
        <v>120</v>
      </c>
      <c r="J2155" s="6">
        <v>2700</v>
      </c>
      <c r="K2155" s="7">
        <f>(J2155-M2155)*税费参数!$B$12/(I2155*10000*(1+SUM(税费参数!$B$6:$B$8)))</f>
        <v>0.0199757869249395</v>
      </c>
      <c r="L2155" s="7">
        <f>J2155*税费参数!$B$12/(I2155*10000)</f>
        <v>0.0225</v>
      </c>
      <c r="M2155" s="6">
        <f>I2155*10000*SUM(税费参数!$B$9:$B$10)/税费参数!$B$11</f>
        <v>225</v>
      </c>
    </row>
    <row r="2156" ht="21" customHeight="1" spans="1:13">
      <c r="A2156" s="5" t="s">
        <v>16</v>
      </c>
      <c r="B2156" s="6" t="s">
        <v>122</v>
      </c>
      <c r="C2156" s="6" t="s">
        <v>152</v>
      </c>
      <c r="D2156" s="6" t="s">
        <v>153</v>
      </c>
      <c r="E2156" s="6" t="s">
        <v>1343</v>
      </c>
      <c r="F2156" s="6" t="s">
        <v>2015</v>
      </c>
      <c r="G2156" s="6">
        <v>49.96</v>
      </c>
      <c r="H2156" s="6">
        <v>50.21</v>
      </c>
      <c r="I2156" s="6">
        <v>120</v>
      </c>
      <c r="J2156" s="6">
        <v>2200</v>
      </c>
      <c r="K2156" s="7">
        <f>(J2156-M2156)*税费参数!$B$12/(I2156*10000*(1+SUM(税费参数!$B$6:$B$8)))</f>
        <v>0.0159402744148507</v>
      </c>
      <c r="L2156" s="7">
        <f>J2156*税费参数!$B$12/(I2156*10000)</f>
        <v>0.0183333333333333</v>
      </c>
      <c r="M2156" s="6">
        <f>I2156*10000*SUM(税费参数!$B$9:$B$10)/税费参数!$B$11</f>
        <v>225</v>
      </c>
    </row>
    <row r="2157" ht="21" customHeight="1" spans="1:13">
      <c r="A2157" s="5" t="s">
        <v>16</v>
      </c>
      <c r="B2157" s="6" t="s">
        <v>122</v>
      </c>
      <c r="C2157" s="6" t="s">
        <v>152</v>
      </c>
      <c r="D2157" s="6" t="s">
        <v>153</v>
      </c>
      <c r="E2157" s="6" t="s">
        <v>1343</v>
      </c>
      <c r="F2157" s="6" t="s">
        <v>2016</v>
      </c>
      <c r="G2157" s="6">
        <v>49.96</v>
      </c>
      <c r="H2157" s="6">
        <v>47.84</v>
      </c>
      <c r="I2157" s="6">
        <v>120</v>
      </c>
      <c r="J2157" s="6">
        <v>2000</v>
      </c>
      <c r="K2157" s="7">
        <f>(J2157-M2157)*税费参数!$B$12/(I2157*10000*(1+SUM(税费参数!$B$6:$B$8)))</f>
        <v>0.0143260694108152</v>
      </c>
      <c r="L2157" s="7">
        <f>J2157*税费参数!$B$12/(I2157*10000)</f>
        <v>0.0166666666666667</v>
      </c>
      <c r="M2157" s="6">
        <f>I2157*10000*SUM(税费参数!$B$9:$B$10)/税费参数!$B$11</f>
        <v>225</v>
      </c>
    </row>
    <row r="2158" ht="21" customHeight="1" spans="1:13">
      <c r="A2158" s="5" t="s">
        <v>16</v>
      </c>
      <c r="B2158" s="6" t="s">
        <v>122</v>
      </c>
      <c r="C2158" s="6" t="s">
        <v>152</v>
      </c>
      <c r="D2158" s="6" t="s">
        <v>153</v>
      </c>
      <c r="E2158" s="6" t="s">
        <v>1343</v>
      </c>
      <c r="F2158" s="6" t="s">
        <v>2017</v>
      </c>
      <c r="G2158" s="6">
        <v>49.96</v>
      </c>
      <c r="H2158" s="6">
        <v>49.67</v>
      </c>
      <c r="I2158" s="6">
        <v>120</v>
      </c>
      <c r="J2158" s="6">
        <v>2100</v>
      </c>
      <c r="K2158" s="7">
        <f>(J2158-M2158)*税费参数!$B$12/(I2158*10000*(1+SUM(税费参数!$B$6:$B$8)))</f>
        <v>0.0151331719128329</v>
      </c>
      <c r="L2158" s="7">
        <f>J2158*税费参数!$B$12/(I2158*10000)</f>
        <v>0.0175</v>
      </c>
      <c r="M2158" s="6">
        <f>I2158*10000*SUM(税费参数!$B$9:$B$10)/税费参数!$B$11</f>
        <v>225</v>
      </c>
    </row>
    <row r="2159" ht="21" customHeight="1" spans="1:13">
      <c r="A2159" s="5" t="s">
        <v>16</v>
      </c>
      <c r="B2159" s="6" t="s">
        <v>122</v>
      </c>
      <c r="C2159" s="6" t="s">
        <v>152</v>
      </c>
      <c r="D2159" s="6" t="s">
        <v>153</v>
      </c>
      <c r="E2159" s="6" t="s">
        <v>1343</v>
      </c>
      <c r="F2159" s="6" t="s">
        <v>2018</v>
      </c>
      <c r="G2159" s="6">
        <v>49.96</v>
      </c>
      <c r="H2159" s="6">
        <v>49.24</v>
      </c>
      <c r="I2159" s="6">
        <v>120</v>
      </c>
      <c r="J2159" s="6">
        <v>2300</v>
      </c>
      <c r="K2159" s="7">
        <f>(J2159-M2159)*税费参数!$B$12/(I2159*10000*(1+SUM(税费参数!$B$6:$B$8)))</f>
        <v>0.0167473769168684</v>
      </c>
      <c r="L2159" s="7">
        <f>J2159*税费参数!$B$12/(I2159*10000)</f>
        <v>0.0191666666666667</v>
      </c>
      <c r="M2159" s="6">
        <f>I2159*10000*SUM(税费参数!$B$9:$B$10)/税费参数!$B$11</f>
        <v>225</v>
      </c>
    </row>
    <row r="2160" ht="21" customHeight="1" spans="1:13">
      <c r="A2160" s="5" t="s">
        <v>16</v>
      </c>
      <c r="B2160" s="6" t="s">
        <v>122</v>
      </c>
      <c r="C2160" s="6" t="s">
        <v>152</v>
      </c>
      <c r="D2160" s="6" t="s">
        <v>153</v>
      </c>
      <c r="E2160" s="6" t="s">
        <v>1343</v>
      </c>
      <c r="F2160" s="6" t="s">
        <v>2019</v>
      </c>
      <c r="G2160" s="6">
        <v>49.96</v>
      </c>
      <c r="H2160" s="6">
        <v>47.53</v>
      </c>
      <c r="I2160" s="6">
        <v>120</v>
      </c>
      <c r="J2160" s="6">
        <v>2040</v>
      </c>
      <c r="K2160" s="7">
        <f>(J2160-M2160)*税费参数!$B$12/(I2160*10000*(1+SUM(税费参数!$B$6:$B$8)))</f>
        <v>0.0146489104116223</v>
      </c>
      <c r="L2160" s="7">
        <f>J2160*税费参数!$B$12/(I2160*10000)</f>
        <v>0.017</v>
      </c>
      <c r="M2160" s="6">
        <f>I2160*10000*SUM(税费参数!$B$9:$B$10)/税费参数!$B$11</f>
        <v>225</v>
      </c>
    </row>
    <row r="2161" ht="21" customHeight="1" spans="1:13">
      <c r="A2161" s="5" t="s">
        <v>16</v>
      </c>
      <c r="B2161" s="6" t="s">
        <v>122</v>
      </c>
      <c r="C2161" s="6" t="s">
        <v>152</v>
      </c>
      <c r="D2161" s="6" t="s">
        <v>153</v>
      </c>
      <c r="E2161" s="6" t="s">
        <v>1343</v>
      </c>
      <c r="F2161" s="6" t="s">
        <v>2020</v>
      </c>
      <c r="G2161" s="6">
        <v>49.96</v>
      </c>
      <c r="H2161" s="6">
        <v>47.53</v>
      </c>
      <c r="I2161" s="6">
        <v>120</v>
      </c>
      <c r="J2161" s="6">
        <v>2000</v>
      </c>
      <c r="K2161" s="7">
        <f>(J2161-M2161)*税费参数!$B$12/(I2161*10000*(1+SUM(税费参数!$B$6:$B$8)))</f>
        <v>0.0143260694108152</v>
      </c>
      <c r="L2161" s="7">
        <f>J2161*税费参数!$B$12/(I2161*10000)</f>
        <v>0.0166666666666667</v>
      </c>
      <c r="M2161" s="6">
        <f>I2161*10000*SUM(税费参数!$B$9:$B$10)/税费参数!$B$11</f>
        <v>225</v>
      </c>
    </row>
    <row r="2162" ht="21" customHeight="1" spans="1:13">
      <c r="A2162" s="5" t="s">
        <v>16</v>
      </c>
      <c r="B2162" s="6" t="s">
        <v>122</v>
      </c>
      <c r="C2162" s="6" t="s">
        <v>152</v>
      </c>
      <c r="D2162" s="6" t="s">
        <v>153</v>
      </c>
      <c r="E2162" s="6" t="s">
        <v>1341</v>
      </c>
      <c r="F2162" s="6" t="s">
        <v>2003</v>
      </c>
      <c r="G2162" s="6">
        <v>48.36</v>
      </c>
      <c r="H2162" s="6">
        <v>48.47</v>
      </c>
      <c r="I2162" s="6">
        <v>108</v>
      </c>
      <c r="J2162" s="6">
        <v>2200</v>
      </c>
      <c r="K2162" s="7">
        <f>(J2162-M2162)*税费参数!$B$12/(I2162*10000*(1+SUM(税费参数!$B$6:$B$8)))</f>
        <v>0.0179131916420052</v>
      </c>
      <c r="L2162" s="7">
        <f>J2162*税费参数!$B$12/(I2162*10000)</f>
        <v>0.0203703703703704</v>
      </c>
      <c r="M2162" s="6">
        <f>I2162*10000*SUM(税费参数!$B$9:$B$10)/税费参数!$B$11</f>
        <v>202.5</v>
      </c>
    </row>
    <row r="2163" ht="21" customHeight="1" spans="1:13">
      <c r="A2163" s="5" t="s">
        <v>16</v>
      </c>
      <c r="B2163" s="6" t="s">
        <v>122</v>
      </c>
      <c r="C2163" s="6" t="s">
        <v>152</v>
      </c>
      <c r="D2163" s="6" t="s">
        <v>153</v>
      </c>
      <c r="E2163" s="6" t="s">
        <v>1341</v>
      </c>
      <c r="F2163" s="6" t="s">
        <v>2004</v>
      </c>
      <c r="G2163" s="6">
        <v>48.36</v>
      </c>
      <c r="H2163" s="6">
        <v>48.95</v>
      </c>
      <c r="I2163" s="6">
        <v>108</v>
      </c>
      <c r="J2163" s="6">
        <v>1800</v>
      </c>
      <c r="K2163" s="7">
        <f>(J2163-M2163)*税费参数!$B$12/(I2163*10000*(1+SUM(税费参数!$B$6:$B$8)))</f>
        <v>0.0143260694108152</v>
      </c>
      <c r="L2163" s="7">
        <f>J2163*税费参数!$B$12/(I2163*10000)</f>
        <v>0.0166666666666667</v>
      </c>
      <c r="M2163" s="6">
        <f>I2163*10000*SUM(税费参数!$B$9:$B$10)/税费参数!$B$11</f>
        <v>202.5</v>
      </c>
    </row>
    <row r="2164" ht="21" customHeight="1" spans="1:13">
      <c r="A2164" s="5" t="s">
        <v>16</v>
      </c>
      <c r="B2164" s="6" t="s">
        <v>122</v>
      </c>
      <c r="C2164" s="6" t="s">
        <v>152</v>
      </c>
      <c r="D2164" s="6" t="s">
        <v>153</v>
      </c>
      <c r="E2164" s="6" t="s">
        <v>1341</v>
      </c>
      <c r="F2164" s="6" t="s">
        <v>2005</v>
      </c>
      <c r="G2164" s="6">
        <v>48.36</v>
      </c>
      <c r="H2164" s="6">
        <v>50.29</v>
      </c>
      <c r="I2164" s="6">
        <v>108</v>
      </c>
      <c r="J2164" s="6">
        <v>1900</v>
      </c>
      <c r="K2164" s="7">
        <f>(J2164-M2164)*税费参数!$B$12/(I2164*10000*(1+SUM(税费参数!$B$6:$B$8)))</f>
        <v>0.0152228499686127</v>
      </c>
      <c r="L2164" s="7">
        <f>J2164*税费参数!$B$12/(I2164*10000)</f>
        <v>0.0175925925925926</v>
      </c>
      <c r="M2164" s="6">
        <f>I2164*10000*SUM(税费参数!$B$9:$B$10)/税费参数!$B$11</f>
        <v>202.5</v>
      </c>
    </row>
    <row r="2165" ht="21" customHeight="1" spans="1:13">
      <c r="A2165" s="5" t="s">
        <v>16</v>
      </c>
      <c r="B2165" s="6" t="s">
        <v>122</v>
      </c>
      <c r="C2165" s="6" t="s">
        <v>152</v>
      </c>
      <c r="D2165" s="6" t="s">
        <v>153</v>
      </c>
      <c r="E2165" s="6" t="s">
        <v>1341</v>
      </c>
      <c r="F2165" s="6" t="s">
        <v>2006</v>
      </c>
      <c r="G2165" s="6">
        <v>48.36</v>
      </c>
      <c r="H2165" s="6">
        <v>47.92</v>
      </c>
      <c r="I2165" s="6">
        <v>108</v>
      </c>
      <c r="J2165" s="6">
        <v>2000</v>
      </c>
      <c r="K2165" s="7">
        <f>(J2165-M2165)*税费参数!$B$12/(I2165*10000*(1+SUM(税费参数!$B$6:$B$8)))</f>
        <v>0.0161196305264102</v>
      </c>
      <c r="L2165" s="7">
        <f>J2165*税费参数!$B$12/(I2165*10000)</f>
        <v>0.0185185185185185</v>
      </c>
      <c r="M2165" s="6">
        <f>I2165*10000*SUM(税费参数!$B$9:$B$10)/税费参数!$B$11</f>
        <v>202.5</v>
      </c>
    </row>
    <row r="2166" ht="21" customHeight="1" spans="1:13">
      <c r="A2166" s="5" t="s">
        <v>16</v>
      </c>
      <c r="B2166" s="6" t="s">
        <v>122</v>
      </c>
      <c r="C2166" s="6" t="s">
        <v>152</v>
      </c>
      <c r="D2166" s="6" t="s">
        <v>153</v>
      </c>
      <c r="E2166" s="6" t="s">
        <v>1341</v>
      </c>
      <c r="F2166" s="6" t="s">
        <v>2007</v>
      </c>
      <c r="G2166" s="6">
        <v>48.36</v>
      </c>
      <c r="H2166" s="6">
        <v>47.53</v>
      </c>
      <c r="I2166" s="6">
        <v>108</v>
      </c>
      <c r="J2166" s="6">
        <v>1850</v>
      </c>
      <c r="K2166" s="7">
        <f>(J2166-M2166)*税费参数!$B$12/(I2166*10000*(1+SUM(税费参数!$B$6:$B$8)))</f>
        <v>0.0147744596897139</v>
      </c>
      <c r="L2166" s="7">
        <f>J2166*税费参数!$B$12/(I2166*10000)</f>
        <v>0.0171296296296296</v>
      </c>
      <c r="M2166" s="6">
        <f>I2166*10000*SUM(税费参数!$B$9:$B$10)/税费参数!$B$11</f>
        <v>202.5</v>
      </c>
    </row>
    <row r="2167" ht="21" customHeight="1" spans="1:13">
      <c r="A2167" s="5" t="s">
        <v>16</v>
      </c>
      <c r="B2167" s="6" t="s">
        <v>122</v>
      </c>
      <c r="C2167" s="6" t="s">
        <v>152</v>
      </c>
      <c r="D2167" s="6" t="s">
        <v>153</v>
      </c>
      <c r="E2167" s="6" t="s">
        <v>1341</v>
      </c>
      <c r="F2167" s="6" t="s">
        <v>2008</v>
      </c>
      <c r="G2167" s="6">
        <v>48.36</v>
      </c>
      <c r="H2167" s="6">
        <v>45.16</v>
      </c>
      <c r="I2167" s="6">
        <v>108</v>
      </c>
      <c r="J2167" s="6">
        <v>2000</v>
      </c>
      <c r="K2167" s="7">
        <f>(J2167-M2167)*税费参数!$B$12/(I2167*10000*(1+SUM(税费参数!$B$6:$B$8)))</f>
        <v>0.0161196305264102</v>
      </c>
      <c r="L2167" s="7">
        <f>J2167*税费参数!$B$12/(I2167*10000)</f>
        <v>0.0185185185185185</v>
      </c>
      <c r="M2167" s="6">
        <f>I2167*10000*SUM(税费参数!$B$9:$B$10)/税费参数!$B$11</f>
        <v>202.5</v>
      </c>
    </row>
    <row r="2168" ht="21" customHeight="1" spans="1:13">
      <c r="A2168" s="5" t="s">
        <v>16</v>
      </c>
      <c r="B2168" s="6" t="s">
        <v>122</v>
      </c>
      <c r="C2168" s="6" t="s">
        <v>152</v>
      </c>
      <c r="D2168" s="6" t="s">
        <v>153</v>
      </c>
      <c r="E2168" s="6" t="s">
        <v>1341</v>
      </c>
      <c r="F2168" s="6" t="s">
        <v>2009</v>
      </c>
      <c r="G2168" s="6">
        <v>48.36</v>
      </c>
      <c r="H2168" s="6">
        <v>51.15</v>
      </c>
      <c r="I2168" s="6">
        <v>108</v>
      </c>
      <c r="J2168" s="6">
        <v>1950</v>
      </c>
      <c r="K2168" s="7">
        <f>(J2168-M2168)*税费参数!$B$12/(I2168*10000*(1+SUM(税费参数!$B$6:$B$8)))</f>
        <v>0.0156712402475114</v>
      </c>
      <c r="L2168" s="7">
        <f>J2168*税费参数!$B$12/(I2168*10000)</f>
        <v>0.0180555555555556</v>
      </c>
      <c r="M2168" s="6">
        <f>I2168*10000*SUM(税费参数!$B$9:$B$10)/税费参数!$B$11</f>
        <v>202.5</v>
      </c>
    </row>
    <row r="2169" ht="21" customHeight="1" spans="1:13">
      <c r="A2169" s="5" t="s">
        <v>16</v>
      </c>
      <c r="B2169" s="6" t="s">
        <v>122</v>
      </c>
      <c r="C2169" s="6" t="s">
        <v>152</v>
      </c>
      <c r="D2169" s="6" t="s">
        <v>153</v>
      </c>
      <c r="E2169" s="6" t="s">
        <v>1341</v>
      </c>
      <c r="F2169" s="6" t="s">
        <v>2010</v>
      </c>
      <c r="G2169" s="6">
        <v>48.36</v>
      </c>
      <c r="H2169" s="6">
        <v>48.83</v>
      </c>
      <c r="I2169" s="6">
        <v>108</v>
      </c>
      <c r="J2169" s="6">
        <v>2400</v>
      </c>
      <c r="K2169" s="7">
        <f>(J2169-M2169)*税费参数!$B$12/(I2169*10000*(1+SUM(税费参数!$B$6:$B$8)))</f>
        <v>0.0197067527576002</v>
      </c>
      <c r="L2169" s="7">
        <f>J2169*税费参数!$B$12/(I2169*10000)</f>
        <v>0.0222222222222222</v>
      </c>
      <c r="M2169" s="6">
        <f>I2169*10000*SUM(税费参数!$B$9:$B$10)/税费参数!$B$11</f>
        <v>202.5</v>
      </c>
    </row>
    <row r="2170" ht="21" customHeight="1" spans="1:13">
      <c r="A2170" s="5" t="s">
        <v>16</v>
      </c>
      <c r="B2170" s="6" t="s">
        <v>122</v>
      </c>
      <c r="C2170" s="6" t="s">
        <v>152</v>
      </c>
      <c r="D2170" s="6" t="s">
        <v>153</v>
      </c>
      <c r="E2170" s="6" t="s">
        <v>1341</v>
      </c>
      <c r="F2170" s="6" t="s">
        <v>2011</v>
      </c>
      <c r="G2170" s="6">
        <v>48.36</v>
      </c>
      <c r="H2170" s="6">
        <v>48.47</v>
      </c>
      <c r="I2170" s="6">
        <v>108</v>
      </c>
      <c r="J2170" s="6">
        <v>2100</v>
      </c>
      <c r="K2170" s="7">
        <f>(J2170-M2170)*税费参数!$B$12/(I2170*10000*(1+SUM(税费参数!$B$6:$B$8)))</f>
        <v>0.0170164110842077</v>
      </c>
      <c r="L2170" s="7">
        <f>J2170*税费参数!$B$12/(I2170*10000)</f>
        <v>0.0194444444444444</v>
      </c>
      <c r="M2170" s="6">
        <f>I2170*10000*SUM(税费参数!$B$9:$B$10)/税费参数!$B$11</f>
        <v>202.5</v>
      </c>
    </row>
    <row r="2171" ht="21" customHeight="1" spans="1:13">
      <c r="A2171" s="5" t="s">
        <v>16</v>
      </c>
      <c r="B2171" s="6" t="s">
        <v>122</v>
      </c>
      <c r="C2171" s="6" t="s">
        <v>152</v>
      </c>
      <c r="D2171" s="6" t="s">
        <v>153</v>
      </c>
      <c r="E2171" s="6" t="s">
        <v>1341</v>
      </c>
      <c r="F2171" s="6" t="s">
        <v>2012</v>
      </c>
      <c r="G2171" s="6">
        <v>48.36</v>
      </c>
      <c r="H2171" s="6">
        <v>48.86</v>
      </c>
      <c r="I2171" s="6">
        <v>108</v>
      </c>
      <c r="J2171" s="6">
        <v>3300</v>
      </c>
      <c r="K2171" s="7">
        <f>(J2171-M2171)*税费参数!$B$12/(I2171*10000*(1+SUM(税费参数!$B$6:$B$8)))</f>
        <v>0.0277777777777778</v>
      </c>
      <c r="L2171" s="7">
        <f>J2171*税费参数!$B$12/(I2171*10000)</f>
        <v>0.0305555555555556</v>
      </c>
      <c r="M2171" s="6">
        <f>I2171*10000*SUM(税费参数!$B$9:$B$10)/税费参数!$B$11</f>
        <v>202.5</v>
      </c>
    </row>
    <row r="2172" ht="21" customHeight="1" spans="1:13">
      <c r="A2172" s="5" t="s">
        <v>16</v>
      </c>
      <c r="B2172" s="6" t="s">
        <v>122</v>
      </c>
      <c r="C2172" s="6" t="s">
        <v>152</v>
      </c>
      <c r="D2172" s="6" t="s">
        <v>153</v>
      </c>
      <c r="E2172" s="6" t="s">
        <v>1341</v>
      </c>
      <c r="F2172" s="6" t="s">
        <v>2013</v>
      </c>
      <c r="G2172" s="6">
        <v>48.36</v>
      </c>
      <c r="H2172" s="6">
        <v>49.96</v>
      </c>
      <c r="I2172" s="6">
        <v>108</v>
      </c>
      <c r="J2172" s="6">
        <v>2500</v>
      </c>
      <c r="K2172" s="7">
        <f>(J2172-M2172)*税费参数!$B$12/(I2172*10000*(1+SUM(税费参数!$B$6:$B$8)))</f>
        <v>0.0206035333153977</v>
      </c>
      <c r="L2172" s="7">
        <f>J2172*税费参数!$B$12/(I2172*10000)</f>
        <v>0.0231481481481481</v>
      </c>
      <c r="M2172" s="6">
        <f>I2172*10000*SUM(税费参数!$B$9:$B$10)/税费参数!$B$11</f>
        <v>202.5</v>
      </c>
    </row>
    <row r="2173" ht="21" customHeight="1" spans="1:13">
      <c r="A2173" s="5" t="s">
        <v>16</v>
      </c>
      <c r="B2173" s="6" t="s">
        <v>122</v>
      </c>
      <c r="C2173" s="6" t="s">
        <v>152</v>
      </c>
      <c r="D2173" s="6" t="s">
        <v>153</v>
      </c>
      <c r="E2173" s="6" t="s">
        <v>1341</v>
      </c>
      <c r="F2173" s="6" t="s">
        <v>2014</v>
      </c>
      <c r="G2173" s="6">
        <v>48.36</v>
      </c>
      <c r="H2173" s="6">
        <v>50.02</v>
      </c>
      <c r="I2173" s="6">
        <v>108</v>
      </c>
      <c r="J2173" s="6">
        <v>2700</v>
      </c>
      <c r="K2173" s="7">
        <f>(J2173-M2173)*税费参数!$B$12/(I2173*10000*(1+SUM(税费参数!$B$6:$B$8)))</f>
        <v>0.0223970944309927</v>
      </c>
      <c r="L2173" s="7">
        <f>J2173*税费参数!$B$12/(I2173*10000)</f>
        <v>0.025</v>
      </c>
      <c r="M2173" s="6">
        <f>I2173*10000*SUM(税费参数!$B$9:$B$10)/税费参数!$B$11</f>
        <v>202.5</v>
      </c>
    </row>
    <row r="2174" ht="21" customHeight="1" spans="1:13">
      <c r="A2174" s="5" t="s">
        <v>16</v>
      </c>
      <c r="B2174" s="6" t="s">
        <v>122</v>
      </c>
      <c r="C2174" s="6" t="s">
        <v>152</v>
      </c>
      <c r="D2174" s="6" t="s">
        <v>153</v>
      </c>
      <c r="E2174" s="6" t="s">
        <v>1341</v>
      </c>
      <c r="F2174" s="6" t="s">
        <v>2015</v>
      </c>
      <c r="G2174" s="6">
        <v>48.36</v>
      </c>
      <c r="H2174" s="6">
        <v>50.21</v>
      </c>
      <c r="I2174" s="6">
        <v>108</v>
      </c>
      <c r="J2174" s="6">
        <v>2200</v>
      </c>
      <c r="K2174" s="7">
        <f>(J2174-M2174)*税费参数!$B$12/(I2174*10000*(1+SUM(税费参数!$B$6:$B$8)))</f>
        <v>0.0179131916420052</v>
      </c>
      <c r="L2174" s="7">
        <f>J2174*税费参数!$B$12/(I2174*10000)</f>
        <v>0.0203703703703704</v>
      </c>
      <c r="M2174" s="6">
        <f>I2174*10000*SUM(税费参数!$B$9:$B$10)/税费参数!$B$11</f>
        <v>202.5</v>
      </c>
    </row>
    <row r="2175" ht="21" customHeight="1" spans="1:13">
      <c r="A2175" s="5" t="s">
        <v>16</v>
      </c>
      <c r="B2175" s="6" t="s">
        <v>122</v>
      </c>
      <c r="C2175" s="6" t="s">
        <v>152</v>
      </c>
      <c r="D2175" s="6" t="s">
        <v>153</v>
      </c>
      <c r="E2175" s="6" t="s">
        <v>1341</v>
      </c>
      <c r="F2175" s="6" t="s">
        <v>2016</v>
      </c>
      <c r="G2175" s="6">
        <v>48.36</v>
      </c>
      <c r="H2175" s="6">
        <v>47.84</v>
      </c>
      <c r="I2175" s="6">
        <v>108</v>
      </c>
      <c r="J2175" s="6">
        <v>2000</v>
      </c>
      <c r="K2175" s="7">
        <f>(J2175-M2175)*税费参数!$B$12/(I2175*10000*(1+SUM(税费参数!$B$6:$B$8)))</f>
        <v>0.0161196305264102</v>
      </c>
      <c r="L2175" s="7">
        <f>J2175*税费参数!$B$12/(I2175*10000)</f>
        <v>0.0185185185185185</v>
      </c>
      <c r="M2175" s="6">
        <f>I2175*10000*SUM(税费参数!$B$9:$B$10)/税费参数!$B$11</f>
        <v>202.5</v>
      </c>
    </row>
    <row r="2176" ht="21" customHeight="1" spans="1:13">
      <c r="A2176" s="5" t="s">
        <v>16</v>
      </c>
      <c r="B2176" s="6" t="s">
        <v>122</v>
      </c>
      <c r="C2176" s="6" t="s">
        <v>152</v>
      </c>
      <c r="D2176" s="6" t="s">
        <v>153</v>
      </c>
      <c r="E2176" s="6" t="s">
        <v>1341</v>
      </c>
      <c r="F2176" s="6" t="s">
        <v>2017</v>
      </c>
      <c r="G2176" s="6">
        <v>48.36</v>
      </c>
      <c r="H2176" s="6">
        <v>49.67</v>
      </c>
      <c r="I2176" s="6">
        <v>108</v>
      </c>
      <c r="J2176" s="6">
        <v>2100</v>
      </c>
      <c r="K2176" s="7">
        <f>(J2176-M2176)*税费参数!$B$12/(I2176*10000*(1+SUM(税费参数!$B$6:$B$8)))</f>
        <v>0.0170164110842077</v>
      </c>
      <c r="L2176" s="7">
        <f>J2176*税费参数!$B$12/(I2176*10000)</f>
        <v>0.0194444444444444</v>
      </c>
      <c r="M2176" s="6">
        <f>I2176*10000*SUM(税费参数!$B$9:$B$10)/税费参数!$B$11</f>
        <v>202.5</v>
      </c>
    </row>
    <row r="2177" ht="21" customHeight="1" spans="1:13">
      <c r="A2177" s="5" t="s">
        <v>16</v>
      </c>
      <c r="B2177" s="6" t="s">
        <v>122</v>
      </c>
      <c r="C2177" s="6" t="s">
        <v>152</v>
      </c>
      <c r="D2177" s="6" t="s">
        <v>153</v>
      </c>
      <c r="E2177" s="6" t="s">
        <v>1341</v>
      </c>
      <c r="F2177" s="6" t="s">
        <v>2018</v>
      </c>
      <c r="G2177" s="6">
        <v>48.36</v>
      </c>
      <c r="H2177" s="6">
        <v>49.24</v>
      </c>
      <c r="I2177" s="6">
        <v>108</v>
      </c>
      <c r="J2177" s="6">
        <v>2300</v>
      </c>
      <c r="K2177" s="7">
        <f>(J2177-M2177)*税费参数!$B$12/(I2177*10000*(1+SUM(税费参数!$B$6:$B$8)))</f>
        <v>0.0188099721998027</v>
      </c>
      <c r="L2177" s="7">
        <f>J2177*税费参数!$B$12/(I2177*10000)</f>
        <v>0.0212962962962963</v>
      </c>
      <c r="M2177" s="6">
        <f>I2177*10000*SUM(税费参数!$B$9:$B$10)/税费参数!$B$11</f>
        <v>202.5</v>
      </c>
    </row>
    <row r="2178" ht="21" customHeight="1" spans="1:13">
      <c r="A2178" s="5" t="s">
        <v>16</v>
      </c>
      <c r="B2178" s="6" t="s">
        <v>122</v>
      </c>
      <c r="C2178" s="6" t="s">
        <v>152</v>
      </c>
      <c r="D2178" s="6" t="s">
        <v>153</v>
      </c>
      <c r="E2178" s="6" t="s">
        <v>1341</v>
      </c>
      <c r="F2178" s="6" t="s">
        <v>2019</v>
      </c>
      <c r="G2178" s="6">
        <v>48.36</v>
      </c>
      <c r="H2178" s="6">
        <v>47.53</v>
      </c>
      <c r="I2178" s="6">
        <v>108</v>
      </c>
      <c r="J2178" s="6">
        <v>2040</v>
      </c>
      <c r="K2178" s="7">
        <f>(J2178-M2178)*税费参数!$B$12/(I2178*10000*(1+SUM(税费参数!$B$6:$B$8)))</f>
        <v>0.0164783427495292</v>
      </c>
      <c r="L2178" s="7">
        <f>J2178*税费参数!$B$12/(I2178*10000)</f>
        <v>0.0188888888888889</v>
      </c>
      <c r="M2178" s="6">
        <f>I2178*10000*SUM(税费参数!$B$9:$B$10)/税费参数!$B$11</f>
        <v>202.5</v>
      </c>
    </row>
    <row r="2179" ht="21" customHeight="1" spans="1:13">
      <c r="A2179" s="5" t="s">
        <v>16</v>
      </c>
      <c r="B2179" s="6" t="s">
        <v>122</v>
      </c>
      <c r="C2179" s="6" t="s">
        <v>152</v>
      </c>
      <c r="D2179" s="6" t="s">
        <v>153</v>
      </c>
      <c r="E2179" s="6" t="s">
        <v>1341</v>
      </c>
      <c r="F2179" s="6" t="s">
        <v>2020</v>
      </c>
      <c r="G2179" s="6">
        <v>48.36</v>
      </c>
      <c r="H2179" s="6">
        <v>47.53</v>
      </c>
      <c r="I2179" s="6">
        <v>108</v>
      </c>
      <c r="J2179" s="6">
        <v>2000</v>
      </c>
      <c r="K2179" s="7">
        <f>(J2179-M2179)*税费参数!$B$12/(I2179*10000*(1+SUM(税费参数!$B$6:$B$8)))</f>
        <v>0.0161196305264102</v>
      </c>
      <c r="L2179" s="7">
        <f>J2179*税费参数!$B$12/(I2179*10000)</f>
        <v>0.0185185185185185</v>
      </c>
      <c r="M2179" s="6">
        <f>I2179*10000*SUM(税费参数!$B$9:$B$10)/税费参数!$B$11</f>
        <v>202.5</v>
      </c>
    </row>
    <row r="2180" ht="21" customHeight="1" spans="1:13">
      <c r="A2180" s="5" t="s">
        <v>16</v>
      </c>
      <c r="B2180" s="6" t="s">
        <v>122</v>
      </c>
      <c r="C2180" s="6" t="s">
        <v>152</v>
      </c>
      <c r="D2180" s="6" t="s">
        <v>153</v>
      </c>
      <c r="E2180" s="6" t="s">
        <v>1337</v>
      </c>
      <c r="F2180" s="6" t="s">
        <v>2003</v>
      </c>
      <c r="G2180" s="6">
        <v>49.89</v>
      </c>
      <c r="H2180" s="6">
        <v>48.47</v>
      </c>
      <c r="I2180" s="6">
        <v>118</v>
      </c>
      <c r="J2180" s="6">
        <v>2200</v>
      </c>
      <c r="K2180" s="7">
        <f>(J2180-M2180)*税费参数!$B$12/(I2180*10000*(1+SUM(税费参数!$B$6:$B$8)))</f>
        <v>0.0162412278901793</v>
      </c>
      <c r="L2180" s="7">
        <f>J2180*税费参数!$B$12/(I2180*10000)</f>
        <v>0.0186440677966102</v>
      </c>
      <c r="M2180" s="6">
        <f>I2180*10000*SUM(税费参数!$B$9:$B$10)/税费参数!$B$11</f>
        <v>221.25</v>
      </c>
    </row>
    <row r="2181" ht="21" customHeight="1" spans="1:13">
      <c r="A2181" s="5" t="s">
        <v>16</v>
      </c>
      <c r="B2181" s="6" t="s">
        <v>122</v>
      </c>
      <c r="C2181" s="6" t="s">
        <v>152</v>
      </c>
      <c r="D2181" s="6" t="s">
        <v>153</v>
      </c>
      <c r="E2181" s="6" t="s">
        <v>1337</v>
      </c>
      <c r="F2181" s="6" t="s">
        <v>2004</v>
      </c>
      <c r="G2181" s="6">
        <v>49.89</v>
      </c>
      <c r="H2181" s="6">
        <v>48.95</v>
      </c>
      <c r="I2181" s="6">
        <v>118</v>
      </c>
      <c r="J2181" s="6">
        <v>1800</v>
      </c>
      <c r="K2181" s="7">
        <f>(J2181-M2181)*税费参数!$B$12/(I2181*10000*(1+SUM(税费参数!$B$6:$B$8)))</f>
        <v>0.0129580990684122</v>
      </c>
      <c r="L2181" s="7">
        <f>J2181*税费参数!$B$12/(I2181*10000)</f>
        <v>0.0152542372881356</v>
      </c>
      <c r="M2181" s="6">
        <f>I2181*10000*SUM(税费参数!$B$9:$B$10)/税费参数!$B$11</f>
        <v>221.25</v>
      </c>
    </row>
    <row r="2182" ht="21" customHeight="1" spans="1:13">
      <c r="A2182" s="5" t="s">
        <v>16</v>
      </c>
      <c r="B2182" s="6" t="s">
        <v>122</v>
      </c>
      <c r="C2182" s="6" t="s">
        <v>152</v>
      </c>
      <c r="D2182" s="6" t="s">
        <v>153</v>
      </c>
      <c r="E2182" s="6" t="s">
        <v>1337</v>
      </c>
      <c r="F2182" s="6" t="s">
        <v>2005</v>
      </c>
      <c r="G2182" s="6">
        <v>49.89</v>
      </c>
      <c r="H2182" s="6">
        <v>50.29</v>
      </c>
      <c r="I2182" s="6">
        <v>118</v>
      </c>
      <c r="J2182" s="6">
        <v>1900</v>
      </c>
      <c r="K2182" s="7">
        <f>(J2182-M2182)*税费参数!$B$12/(I2182*10000*(1+SUM(税费参数!$B$6:$B$8)))</f>
        <v>0.013778881273854</v>
      </c>
      <c r="L2182" s="7">
        <f>J2182*税费参数!$B$12/(I2182*10000)</f>
        <v>0.0161016949152542</v>
      </c>
      <c r="M2182" s="6">
        <f>I2182*10000*SUM(税费参数!$B$9:$B$10)/税费参数!$B$11</f>
        <v>221.25</v>
      </c>
    </row>
    <row r="2183" ht="21" customHeight="1" spans="1:13">
      <c r="A2183" s="5" t="s">
        <v>16</v>
      </c>
      <c r="B2183" s="6" t="s">
        <v>122</v>
      </c>
      <c r="C2183" s="6" t="s">
        <v>152</v>
      </c>
      <c r="D2183" s="6" t="s">
        <v>153</v>
      </c>
      <c r="E2183" s="6" t="s">
        <v>1337</v>
      </c>
      <c r="F2183" s="6" t="s">
        <v>2006</v>
      </c>
      <c r="G2183" s="6">
        <v>49.89</v>
      </c>
      <c r="H2183" s="6">
        <v>47.92</v>
      </c>
      <c r="I2183" s="6">
        <v>118</v>
      </c>
      <c r="J2183" s="6">
        <v>2000</v>
      </c>
      <c r="K2183" s="7">
        <f>(J2183-M2183)*税费参数!$B$12/(I2183*10000*(1+SUM(税费参数!$B$6:$B$8)))</f>
        <v>0.0145996634792958</v>
      </c>
      <c r="L2183" s="7">
        <f>J2183*税费参数!$B$12/(I2183*10000)</f>
        <v>0.0169491525423729</v>
      </c>
      <c r="M2183" s="6">
        <f>I2183*10000*SUM(税费参数!$B$9:$B$10)/税费参数!$B$11</f>
        <v>221.25</v>
      </c>
    </row>
    <row r="2184" ht="21" customHeight="1" spans="1:13">
      <c r="A2184" s="5" t="s">
        <v>16</v>
      </c>
      <c r="B2184" s="6" t="s">
        <v>122</v>
      </c>
      <c r="C2184" s="6" t="s">
        <v>152</v>
      </c>
      <c r="D2184" s="6" t="s">
        <v>153</v>
      </c>
      <c r="E2184" s="6" t="s">
        <v>1337</v>
      </c>
      <c r="F2184" s="6" t="s">
        <v>2007</v>
      </c>
      <c r="G2184" s="6">
        <v>49.89</v>
      </c>
      <c r="H2184" s="6">
        <v>47.53</v>
      </c>
      <c r="I2184" s="6">
        <v>118</v>
      </c>
      <c r="J2184" s="6">
        <v>1850</v>
      </c>
      <c r="K2184" s="7">
        <f>(J2184-M2184)*税费参数!$B$12/(I2184*10000*(1+SUM(税费参数!$B$6:$B$8)))</f>
        <v>0.0133684901711331</v>
      </c>
      <c r="L2184" s="7">
        <f>J2184*税费参数!$B$12/(I2184*10000)</f>
        <v>0.0156779661016949</v>
      </c>
      <c r="M2184" s="6">
        <f>I2184*10000*SUM(税费参数!$B$9:$B$10)/税费参数!$B$11</f>
        <v>221.25</v>
      </c>
    </row>
    <row r="2185" ht="21" customHeight="1" spans="1:13">
      <c r="A2185" s="5" t="s">
        <v>16</v>
      </c>
      <c r="B2185" s="6" t="s">
        <v>122</v>
      </c>
      <c r="C2185" s="6" t="s">
        <v>152</v>
      </c>
      <c r="D2185" s="6" t="s">
        <v>153</v>
      </c>
      <c r="E2185" s="6" t="s">
        <v>1337</v>
      </c>
      <c r="F2185" s="6" t="s">
        <v>2008</v>
      </c>
      <c r="G2185" s="6">
        <v>49.89</v>
      </c>
      <c r="H2185" s="6">
        <v>45.16</v>
      </c>
      <c r="I2185" s="6">
        <v>118</v>
      </c>
      <c r="J2185" s="6">
        <v>2000</v>
      </c>
      <c r="K2185" s="7">
        <f>(J2185-M2185)*税费参数!$B$12/(I2185*10000*(1+SUM(税费参数!$B$6:$B$8)))</f>
        <v>0.0145996634792958</v>
      </c>
      <c r="L2185" s="7">
        <f>J2185*税费参数!$B$12/(I2185*10000)</f>
        <v>0.0169491525423729</v>
      </c>
      <c r="M2185" s="6">
        <f>I2185*10000*SUM(税费参数!$B$9:$B$10)/税费参数!$B$11</f>
        <v>221.25</v>
      </c>
    </row>
    <row r="2186" ht="21" customHeight="1" spans="1:13">
      <c r="A2186" s="5" t="s">
        <v>16</v>
      </c>
      <c r="B2186" s="6" t="s">
        <v>122</v>
      </c>
      <c r="C2186" s="6" t="s">
        <v>152</v>
      </c>
      <c r="D2186" s="6" t="s">
        <v>153</v>
      </c>
      <c r="E2186" s="6" t="s">
        <v>1337</v>
      </c>
      <c r="F2186" s="6" t="s">
        <v>2009</v>
      </c>
      <c r="G2186" s="6">
        <v>49.89</v>
      </c>
      <c r="H2186" s="6">
        <v>51.15</v>
      </c>
      <c r="I2186" s="6">
        <v>118</v>
      </c>
      <c r="J2186" s="6">
        <v>1950</v>
      </c>
      <c r="K2186" s="7">
        <f>(J2186-M2186)*税费参数!$B$12/(I2186*10000*(1+SUM(税费参数!$B$6:$B$8)))</f>
        <v>0.0141892723765749</v>
      </c>
      <c r="L2186" s="7">
        <f>J2186*税费参数!$B$12/(I2186*10000)</f>
        <v>0.0165254237288136</v>
      </c>
      <c r="M2186" s="6">
        <f>I2186*10000*SUM(税费参数!$B$9:$B$10)/税费参数!$B$11</f>
        <v>221.25</v>
      </c>
    </row>
    <row r="2187" ht="21" customHeight="1" spans="1:13">
      <c r="A2187" s="5" t="s">
        <v>16</v>
      </c>
      <c r="B2187" s="6" t="s">
        <v>122</v>
      </c>
      <c r="C2187" s="6" t="s">
        <v>152</v>
      </c>
      <c r="D2187" s="6" t="s">
        <v>153</v>
      </c>
      <c r="E2187" s="6" t="s">
        <v>1337</v>
      </c>
      <c r="F2187" s="6" t="s">
        <v>2010</v>
      </c>
      <c r="G2187" s="6">
        <v>49.89</v>
      </c>
      <c r="H2187" s="6">
        <v>48.83</v>
      </c>
      <c r="I2187" s="6">
        <v>118</v>
      </c>
      <c r="J2187" s="6">
        <v>2400</v>
      </c>
      <c r="K2187" s="7">
        <f>(J2187-M2187)*税费参数!$B$12/(I2187*10000*(1+SUM(税费参数!$B$6:$B$8)))</f>
        <v>0.0178827923010629</v>
      </c>
      <c r="L2187" s="7">
        <f>J2187*税费参数!$B$12/(I2187*10000)</f>
        <v>0.0203389830508475</v>
      </c>
      <c r="M2187" s="6">
        <f>I2187*10000*SUM(税费参数!$B$9:$B$10)/税费参数!$B$11</f>
        <v>221.25</v>
      </c>
    </row>
    <row r="2188" ht="21" customHeight="1" spans="1:13">
      <c r="A2188" s="5" t="s">
        <v>16</v>
      </c>
      <c r="B2188" s="6" t="s">
        <v>122</v>
      </c>
      <c r="C2188" s="6" t="s">
        <v>152</v>
      </c>
      <c r="D2188" s="6" t="s">
        <v>153</v>
      </c>
      <c r="E2188" s="6" t="s">
        <v>1337</v>
      </c>
      <c r="F2188" s="6" t="s">
        <v>2011</v>
      </c>
      <c r="G2188" s="6">
        <v>49.89</v>
      </c>
      <c r="H2188" s="6">
        <v>48.47</v>
      </c>
      <c r="I2188" s="6">
        <v>118</v>
      </c>
      <c r="J2188" s="6">
        <v>2100</v>
      </c>
      <c r="K2188" s="7">
        <f>(J2188-M2188)*税费参数!$B$12/(I2188*10000*(1+SUM(税费参数!$B$6:$B$8)))</f>
        <v>0.0154204456847376</v>
      </c>
      <c r="L2188" s="7">
        <f>J2188*税费参数!$B$12/(I2188*10000)</f>
        <v>0.0177966101694915</v>
      </c>
      <c r="M2188" s="6">
        <f>I2188*10000*SUM(税费参数!$B$9:$B$10)/税费参数!$B$11</f>
        <v>221.25</v>
      </c>
    </row>
    <row r="2189" ht="21" customHeight="1" spans="1:13">
      <c r="A2189" s="5" t="s">
        <v>16</v>
      </c>
      <c r="B2189" s="6" t="s">
        <v>122</v>
      </c>
      <c r="C2189" s="6" t="s">
        <v>152</v>
      </c>
      <c r="D2189" s="6" t="s">
        <v>153</v>
      </c>
      <c r="E2189" s="6" t="s">
        <v>1337</v>
      </c>
      <c r="F2189" s="6" t="s">
        <v>2012</v>
      </c>
      <c r="G2189" s="6">
        <v>49.89</v>
      </c>
      <c r="H2189" s="6">
        <v>48.86</v>
      </c>
      <c r="I2189" s="6">
        <v>118</v>
      </c>
      <c r="J2189" s="6">
        <v>3300</v>
      </c>
      <c r="K2189" s="7">
        <f>(J2189-M2189)*税费参数!$B$12/(I2189*10000*(1+SUM(税费参数!$B$6:$B$8)))</f>
        <v>0.025269832150039</v>
      </c>
      <c r="L2189" s="7">
        <f>J2189*税费参数!$B$12/(I2189*10000)</f>
        <v>0.0279661016949153</v>
      </c>
      <c r="M2189" s="6">
        <f>I2189*10000*SUM(税费参数!$B$9:$B$10)/税费参数!$B$11</f>
        <v>221.25</v>
      </c>
    </row>
    <row r="2190" ht="21" customHeight="1" spans="1:13">
      <c r="A2190" s="5" t="s">
        <v>16</v>
      </c>
      <c r="B2190" s="6" t="s">
        <v>122</v>
      </c>
      <c r="C2190" s="6" t="s">
        <v>152</v>
      </c>
      <c r="D2190" s="6" t="s">
        <v>153</v>
      </c>
      <c r="E2190" s="6" t="s">
        <v>1337</v>
      </c>
      <c r="F2190" s="6" t="s">
        <v>2013</v>
      </c>
      <c r="G2190" s="6">
        <v>49.89</v>
      </c>
      <c r="H2190" s="6">
        <v>49.96</v>
      </c>
      <c r="I2190" s="6">
        <v>118</v>
      </c>
      <c r="J2190" s="6">
        <v>2500</v>
      </c>
      <c r="K2190" s="7">
        <f>(J2190-M2190)*税费参数!$B$12/(I2190*10000*(1+SUM(税费参数!$B$6:$B$8)))</f>
        <v>0.0187035745065047</v>
      </c>
      <c r="L2190" s="7">
        <f>J2190*税费参数!$B$12/(I2190*10000)</f>
        <v>0.0211864406779661</v>
      </c>
      <c r="M2190" s="6">
        <f>I2190*10000*SUM(税费参数!$B$9:$B$10)/税费参数!$B$11</f>
        <v>221.25</v>
      </c>
    </row>
    <row r="2191" ht="21" customHeight="1" spans="1:13">
      <c r="A2191" s="5" t="s">
        <v>16</v>
      </c>
      <c r="B2191" s="6" t="s">
        <v>122</v>
      </c>
      <c r="C2191" s="6" t="s">
        <v>152</v>
      </c>
      <c r="D2191" s="6" t="s">
        <v>153</v>
      </c>
      <c r="E2191" s="6" t="s">
        <v>1337</v>
      </c>
      <c r="F2191" s="6" t="s">
        <v>2014</v>
      </c>
      <c r="G2191" s="6">
        <v>49.89</v>
      </c>
      <c r="H2191" s="6">
        <v>50.02</v>
      </c>
      <c r="I2191" s="6">
        <v>118</v>
      </c>
      <c r="J2191" s="6">
        <v>2700</v>
      </c>
      <c r="K2191" s="7">
        <f>(J2191-M2191)*税费参数!$B$12/(I2191*10000*(1+SUM(税费参数!$B$6:$B$8)))</f>
        <v>0.0203451389173883</v>
      </c>
      <c r="L2191" s="7">
        <f>J2191*税费参数!$B$12/(I2191*10000)</f>
        <v>0.0228813559322034</v>
      </c>
      <c r="M2191" s="6">
        <f>I2191*10000*SUM(税费参数!$B$9:$B$10)/税费参数!$B$11</f>
        <v>221.25</v>
      </c>
    </row>
    <row r="2192" ht="21" customHeight="1" spans="1:13">
      <c r="A2192" s="5" t="s">
        <v>16</v>
      </c>
      <c r="B2192" s="6" t="s">
        <v>122</v>
      </c>
      <c r="C2192" s="6" t="s">
        <v>152</v>
      </c>
      <c r="D2192" s="6" t="s">
        <v>153</v>
      </c>
      <c r="E2192" s="6" t="s">
        <v>1337</v>
      </c>
      <c r="F2192" s="6" t="s">
        <v>2015</v>
      </c>
      <c r="G2192" s="6">
        <v>49.89</v>
      </c>
      <c r="H2192" s="6">
        <v>50.21</v>
      </c>
      <c r="I2192" s="6">
        <v>118</v>
      </c>
      <c r="J2192" s="6">
        <v>2200</v>
      </c>
      <c r="K2192" s="7">
        <f>(J2192-M2192)*税费参数!$B$12/(I2192*10000*(1+SUM(税费参数!$B$6:$B$8)))</f>
        <v>0.0162412278901793</v>
      </c>
      <c r="L2192" s="7">
        <f>J2192*税费参数!$B$12/(I2192*10000)</f>
        <v>0.0186440677966102</v>
      </c>
      <c r="M2192" s="6">
        <f>I2192*10000*SUM(税费参数!$B$9:$B$10)/税费参数!$B$11</f>
        <v>221.25</v>
      </c>
    </row>
    <row r="2193" ht="21" customHeight="1" spans="1:13">
      <c r="A2193" s="5" t="s">
        <v>16</v>
      </c>
      <c r="B2193" s="6" t="s">
        <v>122</v>
      </c>
      <c r="C2193" s="6" t="s">
        <v>152</v>
      </c>
      <c r="D2193" s="6" t="s">
        <v>153</v>
      </c>
      <c r="E2193" s="6" t="s">
        <v>1337</v>
      </c>
      <c r="F2193" s="6" t="s">
        <v>2016</v>
      </c>
      <c r="G2193" s="6">
        <v>49.89</v>
      </c>
      <c r="H2193" s="6">
        <v>47.84</v>
      </c>
      <c r="I2193" s="6">
        <v>118</v>
      </c>
      <c r="J2193" s="6">
        <v>2000</v>
      </c>
      <c r="K2193" s="7">
        <f>(J2193-M2193)*税费参数!$B$12/(I2193*10000*(1+SUM(税费参数!$B$6:$B$8)))</f>
        <v>0.0145996634792958</v>
      </c>
      <c r="L2193" s="7">
        <f>J2193*税费参数!$B$12/(I2193*10000)</f>
        <v>0.0169491525423729</v>
      </c>
      <c r="M2193" s="6">
        <f>I2193*10000*SUM(税费参数!$B$9:$B$10)/税费参数!$B$11</f>
        <v>221.25</v>
      </c>
    </row>
    <row r="2194" ht="21" customHeight="1" spans="1:13">
      <c r="A2194" s="5" t="s">
        <v>16</v>
      </c>
      <c r="B2194" s="6" t="s">
        <v>122</v>
      </c>
      <c r="C2194" s="6" t="s">
        <v>152</v>
      </c>
      <c r="D2194" s="6" t="s">
        <v>153</v>
      </c>
      <c r="E2194" s="6" t="s">
        <v>1337</v>
      </c>
      <c r="F2194" s="6" t="s">
        <v>2017</v>
      </c>
      <c r="G2194" s="6">
        <v>49.89</v>
      </c>
      <c r="H2194" s="6">
        <v>49.67</v>
      </c>
      <c r="I2194" s="6">
        <v>118</v>
      </c>
      <c r="J2194" s="6">
        <v>2100</v>
      </c>
      <c r="K2194" s="7">
        <f>(J2194-M2194)*税费参数!$B$12/(I2194*10000*(1+SUM(税费参数!$B$6:$B$8)))</f>
        <v>0.0154204456847376</v>
      </c>
      <c r="L2194" s="7">
        <f>J2194*税费参数!$B$12/(I2194*10000)</f>
        <v>0.0177966101694915</v>
      </c>
      <c r="M2194" s="6">
        <f>I2194*10000*SUM(税费参数!$B$9:$B$10)/税费参数!$B$11</f>
        <v>221.25</v>
      </c>
    </row>
    <row r="2195" ht="21" customHeight="1" spans="1:13">
      <c r="A2195" s="5" t="s">
        <v>16</v>
      </c>
      <c r="B2195" s="6" t="s">
        <v>122</v>
      </c>
      <c r="C2195" s="6" t="s">
        <v>152</v>
      </c>
      <c r="D2195" s="6" t="s">
        <v>153</v>
      </c>
      <c r="E2195" s="6" t="s">
        <v>1337</v>
      </c>
      <c r="F2195" s="6" t="s">
        <v>2018</v>
      </c>
      <c r="G2195" s="6">
        <v>49.89</v>
      </c>
      <c r="H2195" s="6">
        <v>49.24</v>
      </c>
      <c r="I2195" s="6">
        <v>118</v>
      </c>
      <c r="J2195" s="6">
        <v>2300</v>
      </c>
      <c r="K2195" s="7">
        <f>(J2195-M2195)*税费参数!$B$12/(I2195*10000*(1+SUM(税费参数!$B$6:$B$8)))</f>
        <v>0.0170620100956211</v>
      </c>
      <c r="L2195" s="7">
        <f>J2195*税费参数!$B$12/(I2195*10000)</f>
        <v>0.0194915254237288</v>
      </c>
      <c r="M2195" s="6">
        <f>I2195*10000*SUM(税费参数!$B$9:$B$10)/税费参数!$B$11</f>
        <v>221.25</v>
      </c>
    </row>
    <row r="2196" ht="21" customHeight="1" spans="1:13">
      <c r="A2196" s="5" t="s">
        <v>16</v>
      </c>
      <c r="B2196" s="6" t="s">
        <v>122</v>
      </c>
      <c r="C2196" s="6" t="s">
        <v>152</v>
      </c>
      <c r="D2196" s="6" t="s">
        <v>153</v>
      </c>
      <c r="E2196" s="6" t="s">
        <v>1337</v>
      </c>
      <c r="F2196" s="6" t="s">
        <v>2019</v>
      </c>
      <c r="G2196" s="6">
        <v>49.89</v>
      </c>
      <c r="H2196" s="6">
        <v>47.53</v>
      </c>
      <c r="I2196" s="6">
        <v>118</v>
      </c>
      <c r="J2196" s="6">
        <v>2040</v>
      </c>
      <c r="K2196" s="7">
        <f>(J2196-M2196)*税费参数!$B$12/(I2196*10000*(1+SUM(税费参数!$B$6:$B$8)))</f>
        <v>0.0149279763614725</v>
      </c>
      <c r="L2196" s="7">
        <f>J2196*税费参数!$B$12/(I2196*10000)</f>
        <v>0.0172881355932203</v>
      </c>
      <c r="M2196" s="6">
        <f>I2196*10000*SUM(税费参数!$B$9:$B$10)/税费参数!$B$11</f>
        <v>221.25</v>
      </c>
    </row>
    <row r="2197" ht="21" customHeight="1" spans="1:13">
      <c r="A2197" s="5" t="s">
        <v>16</v>
      </c>
      <c r="B2197" s="6" t="s">
        <v>122</v>
      </c>
      <c r="C2197" s="6" t="s">
        <v>152</v>
      </c>
      <c r="D2197" s="6" t="s">
        <v>153</v>
      </c>
      <c r="E2197" s="6" t="s">
        <v>1337</v>
      </c>
      <c r="F2197" s="6" t="s">
        <v>2020</v>
      </c>
      <c r="G2197" s="6">
        <v>49.89</v>
      </c>
      <c r="H2197" s="6">
        <v>47.53</v>
      </c>
      <c r="I2197" s="6">
        <v>118</v>
      </c>
      <c r="J2197" s="6">
        <v>2000</v>
      </c>
      <c r="K2197" s="7">
        <f>(J2197-M2197)*税费参数!$B$12/(I2197*10000*(1+SUM(税费参数!$B$6:$B$8)))</f>
        <v>0.0145996634792958</v>
      </c>
      <c r="L2197" s="7">
        <f>J2197*税费参数!$B$12/(I2197*10000)</f>
        <v>0.0169491525423729</v>
      </c>
      <c r="M2197" s="6">
        <f>I2197*10000*SUM(税费参数!$B$9:$B$10)/税费参数!$B$11</f>
        <v>221.25</v>
      </c>
    </row>
    <row r="2198" ht="21" customHeight="1" spans="1:13">
      <c r="A2198" s="5" t="s">
        <v>16</v>
      </c>
      <c r="B2198" s="6" t="s">
        <v>122</v>
      </c>
      <c r="C2198" s="6" t="s">
        <v>152</v>
      </c>
      <c r="D2198" s="6" t="s">
        <v>153</v>
      </c>
      <c r="E2198" s="6" t="s">
        <v>1327</v>
      </c>
      <c r="F2198" s="6" t="s">
        <v>2003</v>
      </c>
      <c r="G2198" s="6">
        <v>47.92</v>
      </c>
      <c r="H2198" s="6">
        <v>48.47</v>
      </c>
      <c r="I2198" s="6">
        <v>110</v>
      </c>
      <c r="J2198" s="6">
        <v>2200</v>
      </c>
      <c r="K2198" s="7">
        <f>(J2198-M2198)*税费参数!$B$12/(I2198*10000*(1+SUM(税费参数!$B$6:$B$8)))</f>
        <v>0.0175544794188862</v>
      </c>
      <c r="L2198" s="7">
        <f>J2198*税费参数!$B$12/(I2198*10000)</f>
        <v>0.02</v>
      </c>
      <c r="M2198" s="6">
        <f>I2198*10000*SUM(税费参数!$B$9:$B$10)/税费参数!$B$11</f>
        <v>206.25</v>
      </c>
    </row>
    <row r="2199" ht="21" customHeight="1" spans="1:13">
      <c r="A2199" s="5" t="s">
        <v>16</v>
      </c>
      <c r="B2199" s="6" t="s">
        <v>122</v>
      </c>
      <c r="C2199" s="6" t="s">
        <v>152</v>
      </c>
      <c r="D2199" s="6" t="s">
        <v>153</v>
      </c>
      <c r="E2199" s="6" t="s">
        <v>1327</v>
      </c>
      <c r="F2199" s="6" t="s">
        <v>2004</v>
      </c>
      <c r="G2199" s="6">
        <v>47.92</v>
      </c>
      <c r="H2199" s="6">
        <v>48.95</v>
      </c>
      <c r="I2199" s="6">
        <v>110</v>
      </c>
      <c r="J2199" s="6">
        <v>1800</v>
      </c>
      <c r="K2199" s="7">
        <f>(J2199-M2199)*税费参数!$B$12/(I2199*10000*(1+SUM(税费参数!$B$6:$B$8)))</f>
        <v>0.0140325775918996</v>
      </c>
      <c r="L2199" s="7">
        <f>J2199*税费参数!$B$12/(I2199*10000)</f>
        <v>0.0163636363636364</v>
      </c>
      <c r="M2199" s="6">
        <f>I2199*10000*SUM(税费参数!$B$9:$B$10)/税费参数!$B$11</f>
        <v>206.25</v>
      </c>
    </row>
    <row r="2200" ht="21" customHeight="1" spans="1:13">
      <c r="A2200" s="5" t="s">
        <v>16</v>
      </c>
      <c r="B2200" s="6" t="s">
        <v>122</v>
      </c>
      <c r="C2200" s="6" t="s">
        <v>152</v>
      </c>
      <c r="D2200" s="6" t="s">
        <v>153</v>
      </c>
      <c r="E2200" s="6" t="s">
        <v>1327</v>
      </c>
      <c r="F2200" s="6" t="s">
        <v>2005</v>
      </c>
      <c r="G2200" s="6">
        <v>47.92</v>
      </c>
      <c r="H2200" s="6">
        <v>50.29</v>
      </c>
      <c r="I2200" s="6">
        <v>110</v>
      </c>
      <c r="J2200" s="6">
        <v>1900</v>
      </c>
      <c r="K2200" s="7">
        <f>(J2200-M2200)*税费参数!$B$12/(I2200*10000*(1+SUM(税费参数!$B$6:$B$8)))</f>
        <v>0.0149130530486463</v>
      </c>
      <c r="L2200" s="7">
        <f>J2200*税费参数!$B$12/(I2200*10000)</f>
        <v>0.0172727272727273</v>
      </c>
      <c r="M2200" s="6">
        <f>I2200*10000*SUM(税费参数!$B$9:$B$10)/税费参数!$B$11</f>
        <v>206.25</v>
      </c>
    </row>
    <row r="2201" ht="21" customHeight="1" spans="1:13">
      <c r="A2201" s="5" t="s">
        <v>16</v>
      </c>
      <c r="B2201" s="6" t="s">
        <v>122</v>
      </c>
      <c r="C2201" s="6" t="s">
        <v>152</v>
      </c>
      <c r="D2201" s="6" t="s">
        <v>153</v>
      </c>
      <c r="E2201" s="6" t="s">
        <v>1327</v>
      </c>
      <c r="F2201" s="6" t="s">
        <v>2006</v>
      </c>
      <c r="G2201" s="6">
        <v>47.92</v>
      </c>
      <c r="H2201" s="6">
        <v>47.92</v>
      </c>
      <c r="I2201" s="6">
        <v>110</v>
      </c>
      <c r="J2201" s="6">
        <v>2000</v>
      </c>
      <c r="K2201" s="7">
        <f>(J2201-M2201)*税费参数!$B$12/(I2201*10000*(1+SUM(税费参数!$B$6:$B$8)))</f>
        <v>0.0157935285053929</v>
      </c>
      <c r="L2201" s="7">
        <f>J2201*税费参数!$B$12/(I2201*10000)</f>
        <v>0.0181818181818182</v>
      </c>
      <c r="M2201" s="6">
        <f>I2201*10000*SUM(税费参数!$B$9:$B$10)/税费参数!$B$11</f>
        <v>206.25</v>
      </c>
    </row>
    <row r="2202" ht="21" customHeight="1" spans="1:13">
      <c r="A2202" s="5" t="s">
        <v>16</v>
      </c>
      <c r="B2202" s="6" t="s">
        <v>122</v>
      </c>
      <c r="C2202" s="6" t="s">
        <v>152</v>
      </c>
      <c r="D2202" s="6" t="s">
        <v>153</v>
      </c>
      <c r="E2202" s="6" t="s">
        <v>1327</v>
      </c>
      <c r="F2202" s="6" t="s">
        <v>2007</v>
      </c>
      <c r="G2202" s="6">
        <v>47.92</v>
      </c>
      <c r="H2202" s="6">
        <v>47.53</v>
      </c>
      <c r="I2202" s="6">
        <v>110</v>
      </c>
      <c r="J2202" s="6">
        <v>1850</v>
      </c>
      <c r="K2202" s="7">
        <f>(J2202-M2202)*税费参数!$B$12/(I2202*10000*(1+SUM(税费参数!$B$6:$B$8)))</f>
        <v>0.0144728153202729</v>
      </c>
      <c r="L2202" s="7">
        <f>J2202*税费参数!$B$12/(I2202*10000)</f>
        <v>0.0168181818181818</v>
      </c>
      <c r="M2202" s="6">
        <f>I2202*10000*SUM(税费参数!$B$9:$B$10)/税费参数!$B$11</f>
        <v>206.25</v>
      </c>
    </row>
    <row r="2203" ht="21" customHeight="1" spans="1:13">
      <c r="A2203" s="5" t="s">
        <v>16</v>
      </c>
      <c r="B2203" s="6" t="s">
        <v>122</v>
      </c>
      <c r="C2203" s="6" t="s">
        <v>152</v>
      </c>
      <c r="D2203" s="6" t="s">
        <v>153</v>
      </c>
      <c r="E2203" s="6" t="s">
        <v>1327</v>
      </c>
      <c r="F2203" s="6" t="s">
        <v>2008</v>
      </c>
      <c r="G2203" s="6">
        <v>47.92</v>
      </c>
      <c r="H2203" s="6">
        <v>45.16</v>
      </c>
      <c r="I2203" s="6">
        <v>110</v>
      </c>
      <c r="J2203" s="6">
        <v>2000</v>
      </c>
      <c r="K2203" s="7">
        <f>(J2203-M2203)*税费参数!$B$12/(I2203*10000*(1+SUM(税费参数!$B$6:$B$8)))</f>
        <v>0.0157935285053929</v>
      </c>
      <c r="L2203" s="7">
        <f>J2203*税费参数!$B$12/(I2203*10000)</f>
        <v>0.0181818181818182</v>
      </c>
      <c r="M2203" s="6">
        <f>I2203*10000*SUM(税费参数!$B$9:$B$10)/税费参数!$B$11</f>
        <v>206.25</v>
      </c>
    </row>
    <row r="2204" ht="21" customHeight="1" spans="1:13">
      <c r="A2204" s="5" t="s">
        <v>16</v>
      </c>
      <c r="B2204" s="6" t="s">
        <v>122</v>
      </c>
      <c r="C2204" s="6" t="s">
        <v>152</v>
      </c>
      <c r="D2204" s="6" t="s">
        <v>153</v>
      </c>
      <c r="E2204" s="6" t="s">
        <v>1327</v>
      </c>
      <c r="F2204" s="6" t="s">
        <v>2009</v>
      </c>
      <c r="G2204" s="6">
        <v>47.92</v>
      </c>
      <c r="H2204" s="6">
        <v>51.15</v>
      </c>
      <c r="I2204" s="6">
        <v>110</v>
      </c>
      <c r="J2204" s="6">
        <v>1950</v>
      </c>
      <c r="K2204" s="7">
        <f>(J2204-M2204)*税费参数!$B$12/(I2204*10000*(1+SUM(税费参数!$B$6:$B$8)))</f>
        <v>0.0153532907770196</v>
      </c>
      <c r="L2204" s="7">
        <f>J2204*税费参数!$B$12/(I2204*10000)</f>
        <v>0.0177272727272727</v>
      </c>
      <c r="M2204" s="6">
        <f>I2204*10000*SUM(税费参数!$B$9:$B$10)/税费参数!$B$11</f>
        <v>206.25</v>
      </c>
    </row>
    <row r="2205" ht="21" customHeight="1" spans="1:13">
      <c r="A2205" s="5" t="s">
        <v>16</v>
      </c>
      <c r="B2205" s="6" t="s">
        <v>122</v>
      </c>
      <c r="C2205" s="6" t="s">
        <v>152</v>
      </c>
      <c r="D2205" s="6" t="s">
        <v>153</v>
      </c>
      <c r="E2205" s="6" t="s">
        <v>1327</v>
      </c>
      <c r="F2205" s="6" t="s">
        <v>2010</v>
      </c>
      <c r="G2205" s="6">
        <v>47.92</v>
      </c>
      <c r="H2205" s="6">
        <v>48.83</v>
      </c>
      <c r="I2205" s="6">
        <v>110</v>
      </c>
      <c r="J2205" s="6">
        <v>2400</v>
      </c>
      <c r="K2205" s="7">
        <f>(J2205-M2205)*税费参数!$B$12/(I2205*10000*(1+SUM(税费参数!$B$6:$B$8)))</f>
        <v>0.0193154303323795</v>
      </c>
      <c r="L2205" s="7">
        <f>J2205*税费参数!$B$12/(I2205*10000)</f>
        <v>0.0218181818181818</v>
      </c>
      <c r="M2205" s="6">
        <f>I2205*10000*SUM(税费参数!$B$9:$B$10)/税费参数!$B$11</f>
        <v>206.25</v>
      </c>
    </row>
    <row r="2206" ht="21" customHeight="1" spans="1:13">
      <c r="A2206" s="5" t="s">
        <v>16</v>
      </c>
      <c r="B2206" s="6" t="s">
        <v>122</v>
      </c>
      <c r="C2206" s="6" t="s">
        <v>152</v>
      </c>
      <c r="D2206" s="6" t="s">
        <v>153</v>
      </c>
      <c r="E2206" s="6" t="s">
        <v>1327</v>
      </c>
      <c r="F2206" s="6" t="s">
        <v>2011</v>
      </c>
      <c r="G2206" s="6">
        <v>47.92</v>
      </c>
      <c r="H2206" s="6">
        <v>48.47</v>
      </c>
      <c r="I2206" s="6">
        <v>110</v>
      </c>
      <c r="J2206" s="6">
        <v>2100</v>
      </c>
      <c r="K2206" s="7">
        <f>(J2206-M2206)*税费参数!$B$12/(I2206*10000*(1+SUM(税费参数!$B$6:$B$8)))</f>
        <v>0.0166740039621396</v>
      </c>
      <c r="L2206" s="7">
        <f>J2206*税费参数!$B$12/(I2206*10000)</f>
        <v>0.0190909090909091</v>
      </c>
      <c r="M2206" s="6">
        <f>I2206*10000*SUM(税费参数!$B$9:$B$10)/税费参数!$B$11</f>
        <v>206.25</v>
      </c>
    </row>
    <row r="2207" ht="21" customHeight="1" spans="1:13">
      <c r="A2207" s="5" t="s">
        <v>16</v>
      </c>
      <c r="B2207" s="6" t="s">
        <v>122</v>
      </c>
      <c r="C2207" s="6" t="s">
        <v>152</v>
      </c>
      <c r="D2207" s="6" t="s">
        <v>153</v>
      </c>
      <c r="E2207" s="6" t="s">
        <v>1327</v>
      </c>
      <c r="F2207" s="6" t="s">
        <v>2012</v>
      </c>
      <c r="G2207" s="6">
        <v>47.92</v>
      </c>
      <c r="H2207" s="6">
        <v>48.86</v>
      </c>
      <c r="I2207" s="6">
        <v>110</v>
      </c>
      <c r="J2207" s="6">
        <v>3300</v>
      </c>
      <c r="K2207" s="7">
        <f>(J2207-M2207)*税费参数!$B$12/(I2207*10000*(1+SUM(税费参数!$B$6:$B$8)))</f>
        <v>0.0272397094430993</v>
      </c>
      <c r="L2207" s="7">
        <f>J2207*税费参数!$B$12/(I2207*10000)</f>
        <v>0.03</v>
      </c>
      <c r="M2207" s="6">
        <f>I2207*10000*SUM(税费参数!$B$9:$B$10)/税费参数!$B$11</f>
        <v>206.25</v>
      </c>
    </row>
    <row r="2208" ht="21" customHeight="1" spans="1:13">
      <c r="A2208" s="5" t="s">
        <v>16</v>
      </c>
      <c r="B2208" s="6" t="s">
        <v>122</v>
      </c>
      <c r="C2208" s="6" t="s">
        <v>152</v>
      </c>
      <c r="D2208" s="6" t="s">
        <v>153</v>
      </c>
      <c r="E2208" s="6" t="s">
        <v>1327</v>
      </c>
      <c r="F2208" s="6" t="s">
        <v>2013</v>
      </c>
      <c r="G2208" s="6">
        <v>47.92</v>
      </c>
      <c r="H2208" s="6">
        <v>49.96</v>
      </c>
      <c r="I2208" s="6">
        <v>110</v>
      </c>
      <c r="J2208" s="6">
        <v>2500</v>
      </c>
      <c r="K2208" s="7">
        <f>(J2208-M2208)*税费参数!$B$12/(I2208*10000*(1+SUM(税费参数!$B$6:$B$8)))</f>
        <v>0.0201959057891261</v>
      </c>
      <c r="L2208" s="7">
        <f>J2208*税费参数!$B$12/(I2208*10000)</f>
        <v>0.0227272727272727</v>
      </c>
      <c r="M2208" s="6">
        <f>I2208*10000*SUM(税费参数!$B$9:$B$10)/税费参数!$B$11</f>
        <v>206.25</v>
      </c>
    </row>
    <row r="2209" ht="21" customHeight="1" spans="1:13">
      <c r="A2209" s="5" t="s">
        <v>16</v>
      </c>
      <c r="B2209" s="6" t="s">
        <v>122</v>
      </c>
      <c r="C2209" s="6" t="s">
        <v>152</v>
      </c>
      <c r="D2209" s="6" t="s">
        <v>153</v>
      </c>
      <c r="E2209" s="6" t="s">
        <v>1327</v>
      </c>
      <c r="F2209" s="6" t="s">
        <v>2014</v>
      </c>
      <c r="G2209" s="6">
        <v>47.92</v>
      </c>
      <c r="H2209" s="6">
        <v>50.02</v>
      </c>
      <c r="I2209" s="6">
        <v>110</v>
      </c>
      <c r="J2209" s="6">
        <v>2700</v>
      </c>
      <c r="K2209" s="7">
        <f>(J2209-M2209)*税费参数!$B$12/(I2209*10000*(1+SUM(税费参数!$B$6:$B$8)))</f>
        <v>0.0219568567026194</v>
      </c>
      <c r="L2209" s="7">
        <f>J2209*税费参数!$B$12/(I2209*10000)</f>
        <v>0.0245454545454545</v>
      </c>
      <c r="M2209" s="6">
        <f>I2209*10000*SUM(税费参数!$B$9:$B$10)/税费参数!$B$11</f>
        <v>206.25</v>
      </c>
    </row>
    <row r="2210" ht="21" customHeight="1" spans="1:13">
      <c r="A2210" s="5" t="s">
        <v>16</v>
      </c>
      <c r="B2210" s="6" t="s">
        <v>122</v>
      </c>
      <c r="C2210" s="6" t="s">
        <v>152</v>
      </c>
      <c r="D2210" s="6" t="s">
        <v>153</v>
      </c>
      <c r="E2210" s="6" t="s">
        <v>1327</v>
      </c>
      <c r="F2210" s="6" t="s">
        <v>2015</v>
      </c>
      <c r="G2210" s="6">
        <v>47.92</v>
      </c>
      <c r="H2210" s="6">
        <v>50.21</v>
      </c>
      <c r="I2210" s="6">
        <v>110</v>
      </c>
      <c r="J2210" s="6">
        <v>2200</v>
      </c>
      <c r="K2210" s="7">
        <f>(J2210-M2210)*税费参数!$B$12/(I2210*10000*(1+SUM(税费参数!$B$6:$B$8)))</f>
        <v>0.0175544794188862</v>
      </c>
      <c r="L2210" s="7">
        <f>J2210*税费参数!$B$12/(I2210*10000)</f>
        <v>0.02</v>
      </c>
      <c r="M2210" s="6">
        <f>I2210*10000*SUM(税费参数!$B$9:$B$10)/税费参数!$B$11</f>
        <v>206.25</v>
      </c>
    </row>
    <row r="2211" ht="21" customHeight="1" spans="1:13">
      <c r="A2211" s="5" t="s">
        <v>16</v>
      </c>
      <c r="B2211" s="6" t="s">
        <v>122</v>
      </c>
      <c r="C2211" s="6" t="s">
        <v>152</v>
      </c>
      <c r="D2211" s="6" t="s">
        <v>153</v>
      </c>
      <c r="E2211" s="6" t="s">
        <v>1327</v>
      </c>
      <c r="F2211" s="6" t="s">
        <v>2016</v>
      </c>
      <c r="G2211" s="6">
        <v>47.92</v>
      </c>
      <c r="H2211" s="6">
        <v>47.84</v>
      </c>
      <c r="I2211" s="6">
        <v>110</v>
      </c>
      <c r="J2211" s="6">
        <v>2000</v>
      </c>
      <c r="K2211" s="7">
        <f>(J2211-M2211)*税费参数!$B$12/(I2211*10000*(1+SUM(税费参数!$B$6:$B$8)))</f>
        <v>0.0157935285053929</v>
      </c>
      <c r="L2211" s="7">
        <f>J2211*税费参数!$B$12/(I2211*10000)</f>
        <v>0.0181818181818182</v>
      </c>
      <c r="M2211" s="6">
        <f>I2211*10000*SUM(税费参数!$B$9:$B$10)/税费参数!$B$11</f>
        <v>206.25</v>
      </c>
    </row>
    <row r="2212" ht="21" customHeight="1" spans="1:13">
      <c r="A2212" s="5" t="s">
        <v>16</v>
      </c>
      <c r="B2212" s="6" t="s">
        <v>122</v>
      </c>
      <c r="C2212" s="6" t="s">
        <v>152</v>
      </c>
      <c r="D2212" s="6" t="s">
        <v>153</v>
      </c>
      <c r="E2212" s="6" t="s">
        <v>1327</v>
      </c>
      <c r="F2212" s="6" t="s">
        <v>2017</v>
      </c>
      <c r="G2212" s="6">
        <v>47.92</v>
      </c>
      <c r="H2212" s="6">
        <v>49.67</v>
      </c>
      <c r="I2212" s="6">
        <v>110</v>
      </c>
      <c r="J2212" s="6">
        <v>2100</v>
      </c>
      <c r="K2212" s="7">
        <f>(J2212-M2212)*税费参数!$B$12/(I2212*10000*(1+SUM(税费参数!$B$6:$B$8)))</f>
        <v>0.0166740039621396</v>
      </c>
      <c r="L2212" s="7">
        <f>J2212*税费参数!$B$12/(I2212*10000)</f>
        <v>0.0190909090909091</v>
      </c>
      <c r="M2212" s="6">
        <f>I2212*10000*SUM(税费参数!$B$9:$B$10)/税费参数!$B$11</f>
        <v>206.25</v>
      </c>
    </row>
    <row r="2213" ht="21" customHeight="1" spans="1:13">
      <c r="A2213" s="5" t="s">
        <v>16</v>
      </c>
      <c r="B2213" s="6" t="s">
        <v>122</v>
      </c>
      <c r="C2213" s="6" t="s">
        <v>152</v>
      </c>
      <c r="D2213" s="6" t="s">
        <v>153</v>
      </c>
      <c r="E2213" s="6" t="s">
        <v>1327</v>
      </c>
      <c r="F2213" s="6" t="s">
        <v>2018</v>
      </c>
      <c r="G2213" s="6">
        <v>47.92</v>
      </c>
      <c r="H2213" s="6">
        <v>49.24</v>
      </c>
      <c r="I2213" s="6">
        <v>110</v>
      </c>
      <c r="J2213" s="6">
        <v>2300</v>
      </c>
      <c r="K2213" s="7">
        <f>(J2213-M2213)*税费参数!$B$12/(I2213*10000*(1+SUM(税费参数!$B$6:$B$8)))</f>
        <v>0.0184349548756328</v>
      </c>
      <c r="L2213" s="7">
        <f>J2213*税费参数!$B$12/(I2213*10000)</f>
        <v>0.0209090909090909</v>
      </c>
      <c r="M2213" s="6">
        <f>I2213*10000*SUM(税费参数!$B$9:$B$10)/税费参数!$B$11</f>
        <v>206.25</v>
      </c>
    </row>
    <row r="2214" ht="21" customHeight="1" spans="1:13">
      <c r="A2214" s="5" t="s">
        <v>16</v>
      </c>
      <c r="B2214" s="6" t="s">
        <v>122</v>
      </c>
      <c r="C2214" s="6" t="s">
        <v>152</v>
      </c>
      <c r="D2214" s="6" t="s">
        <v>153</v>
      </c>
      <c r="E2214" s="6" t="s">
        <v>1327</v>
      </c>
      <c r="F2214" s="6" t="s">
        <v>2019</v>
      </c>
      <c r="G2214" s="6">
        <v>47.92</v>
      </c>
      <c r="H2214" s="6">
        <v>47.53</v>
      </c>
      <c r="I2214" s="6">
        <v>110</v>
      </c>
      <c r="J2214" s="6">
        <v>2040</v>
      </c>
      <c r="K2214" s="7">
        <f>(J2214-M2214)*税费参数!$B$12/(I2214*10000*(1+SUM(税费参数!$B$6:$B$8)))</f>
        <v>0.0161457186880916</v>
      </c>
      <c r="L2214" s="7">
        <f>J2214*税费参数!$B$12/(I2214*10000)</f>
        <v>0.0185454545454545</v>
      </c>
      <c r="M2214" s="6">
        <f>I2214*10000*SUM(税费参数!$B$9:$B$10)/税费参数!$B$11</f>
        <v>206.25</v>
      </c>
    </row>
    <row r="2215" ht="21" customHeight="1" spans="1:13">
      <c r="A2215" s="5" t="s">
        <v>16</v>
      </c>
      <c r="B2215" s="6" t="s">
        <v>122</v>
      </c>
      <c r="C2215" s="6" t="s">
        <v>152</v>
      </c>
      <c r="D2215" s="6" t="s">
        <v>153</v>
      </c>
      <c r="E2215" s="6" t="s">
        <v>1327</v>
      </c>
      <c r="F2215" s="6" t="s">
        <v>2020</v>
      </c>
      <c r="G2215" s="6">
        <v>47.92</v>
      </c>
      <c r="H2215" s="6">
        <v>47.53</v>
      </c>
      <c r="I2215" s="6">
        <v>110</v>
      </c>
      <c r="J2215" s="6">
        <v>2000</v>
      </c>
      <c r="K2215" s="7">
        <f>(J2215-M2215)*税费参数!$B$12/(I2215*10000*(1+SUM(税费参数!$B$6:$B$8)))</f>
        <v>0.0157935285053929</v>
      </c>
      <c r="L2215" s="7">
        <f>J2215*税费参数!$B$12/(I2215*10000)</f>
        <v>0.0181818181818182</v>
      </c>
      <c r="M2215" s="6">
        <f>I2215*10000*SUM(税费参数!$B$9:$B$10)/税费参数!$B$11</f>
        <v>206.25</v>
      </c>
    </row>
    <row r="2216" ht="21" customHeight="1" spans="1:13">
      <c r="A2216" s="5" t="s">
        <v>16</v>
      </c>
      <c r="B2216" s="6" t="s">
        <v>122</v>
      </c>
      <c r="C2216" s="6" t="s">
        <v>152</v>
      </c>
      <c r="D2216" s="6" t="s">
        <v>155</v>
      </c>
      <c r="E2216" s="6" t="s">
        <v>1345</v>
      </c>
      <c r="F2216" s="6" t="s">
        <v>2021</v>
      </c>
      <c r="G2216" s="6">
        <v>50.13</v>
      </c>
      <c r="H2216" s="6">
        <v>47.84</v>
      </c>
      <c r="I2216" s="6">
        <v>113</v>
      </c>
      <c r="J2216" s="6">
        <v>2360</v>
      </c>
      <c r="K2216" s="7">
        <f>(J2216-M2216)*税费参数!$B$12/(I2216*10000*(1+SUM(税费参数!$B$6:$B$8)))</f>
        <v>0.0184115794210289</v>
      </c>
      <c r="L2216" s="7">
        <f>J2216*税费参数!$B$12/(I2216*10000)</f>
        <v>0.0208849557522124</v>
      </c>
      <c r="M2216" s="6">
        <f>I2216*10000*SUM(税费参数!$B$9:$B$10)/税费参数!$B$11</f>
        <v>211.875</v>
      </c>
    </row>
    <row r="2217" ht="21" customHeight="1" spans="1:13">
      <c r="A2217" s="5" t="s">
        <v>16</v>
      </c>
      <c r="B2217" s="6" t="s">
        <v>122</v>
      </c>
      <c r="C2217" s="6" t="s">
        <v>152</v>
      </c>
      <c r="D2217" s="6" t="s">
        <v>155</v>
      </c>
      <c r="E2217" s="6" t="s">
        <v>1345</v>
      </c>
      <c r="F2217" s="6" t="s">
        <v>2022</v>
      </c>
      <c r="G2217" s="6">
        <v>50.13</v>
      </c>
      <c r="H2217" s="6">
        <v>47.53</v>
      </c>
      <c r="I2217" s="6">
        <v>113</v>
      </c>
      <c r="J2217" s="6">
        <v>3000</v>
      </c>
      <c r="K2217" s="7">
        <f>(J2217-M2217)*税费参数!$B$12/(I2217*10000*(1+SUM(税费参数!$B$6:$B$8)))</f>
        <v>0.0238970194347425</v>
      </c>
      <c r="L2217" s="7">
        <f>J2217*税费参数!$B$12/(I2217*10000)</f>
        <v>0.0265486725663717</v>
      </c>
      <c r="M2217" s="6">
        <f>I2217*10000*SUM(税费参数!$B$9:$B$10)/税费参数!$B$11</f>
        <v>211.875</v>
      </c>
    </row>
    <row r="2218" ht="21" customHeight="1" spans="1:13">
      <c r="A2218" s="5" t="s">
        <v>16</v>
      </c>
      <c r="B2218" s="6" t="s">
        <v>122</v>
      </c>
      <c r="C2218" s="6" t="s">
        <v>152</v>
      </c>
      <c r="D2218" s="6" t="s">
        <v>155</v>
      </c>
      <c r="E2218" s="6" t="s">
        <v>1345</v>
      </c>
      <c r="F2218" s="6" t="s">
        <v>2023</v>
      </c>
      <c r="G2218" s="6">
        <v>50.13</v>
      </c>
      <c r="H2218" s="6">
        <v>50.12</v>
      </c>
      <c r="I2218" s="6">
        <v>113</v>
      </c>
      <c r="J2218" s="6">
        <v>2300</v>
      </c>
      <c r="K2218" s="7">
        <f>(J2218-M2218)*税费参数!$B$12/(I2218*10000*(1+SUM(税费参数!$B$6:$B$8)))</f>
        <v>0.0178973194197433</v>
      </c>
      <c r="L2218" s="7">
        <f>J2218*税费参数!$B$12/(I2218*10000)</f>
        <v>0.020353982300885</v>
      </c>
      <c r="M2218" s="6">
        <f>I2218*10000*SUM(税费参数!$B$9:$B$10)/税费参数!$B$11</f>
        <v>211.875</v>
      </c>
    </row>
    <row r="2219" ht="21" customHeight="1" spans="1:13">
      <c r="A2219" s="5" t="s">
        <v>16</v>
      </c>
      <c r="B2219" s="6" t="s">
        <v>122</v>
      </c>
      <c r="C2219" s="6" t="s">
        <v>152</v>
      </c>
      <c r="D2219" s="6" t="s">
        <v>155</v>
      </c>
      <c r="E2219" s="6" t="s">
        <v>1345</v>
      </c>
      <c r="F2219" s="6" t="s">
        <v>2024</v>
      </c>
      <c r="G2219" s="6">
        <v>50.13</v>
      </c>
      <c r="H2219" s="6">
        <v>57.36</v>
      </c>
      <c r="I2219" s="6">
        <v>113</v>
      </c>
      <c r="J2219" s="6">
        <v>2600</v>
      </c>
      <c r="K2219" s="7">
        <f>(J2219-M2219)*税费参数!$B$12/(I2219*10000*(1+SUM(税费参数!$B$6:$B$8)))</f>
        <v>0.0204686194261715</v>
      </c>
      <c r="L2219" s="7">
        <f>J2219*税费参数!$B$12/(I2219*10000)</f>
        <v>0.0230088495575221</v>
      </c>
      <c r="M2219" s="6">
        <f>I2219*10000*SUM(税费参数!$B$9:$B$10)/税费参数!$B$11</f>
        <v>211.875</v>
      </c>
    </row>
    <row r="2220" ht="21" customHeight="1" spans="1:13">
      <c r="A2220" s="5" t="s">
        <v>16</v>
      </c>
      <c r="B2220" s="6" t="s">
        <v>122</v>
      </c>
      <c r="C2220" s="6" t="s">
        <v>152</v>
      </c>
      <c r="D2220" s="6" t="s">
        <v>155</v>
      </c>
      <c r="E2220" s="6" t="s">
        <v>1345</v>
      </c>
      <c r="F2220" s="6" t="s">
        <v>2025</v>
      </c>
      <c r="G2220" s="6">
        <v>50.13</v>
      </c>
      <c r="H2220" s="6">
        <v>47.53</v>
      </c>
      <c r="I2220" s="6">
        <v>113</v>
      </c>
      <c r="J2220" s="6">
        <v>3100</v>
      </c>
      <c r="K2220" s="7">
        <f>(J2220-M2220)*税费参数!$B$12/(I2220*10000*(1+SUM(税费参数!$B$6:$B$8)))</f>
        <v>0.0247541194368853</v>
      </c>
      <c r="L2220" s="7">
        <f>J2220*税费参数!$B$12/(I2220*10000)</f>
        <v>0.0274336283185841</v>
      </c>
      <c r="M2220" s="6">
        <f>I2220*10000*SUM(税费参数!$B$9:$B$10)/税费参数!$B$11</f>
        <v>211.875</v>
      </c>
    </row>
    <row r="2221" ht="21" customHeight="1" spans="1:13">
      <c r="A2221" s="5" t="s">
        <v>16</v>
      </c>
      <c r="B2221" s="6" t="s">
        <v>122</v>
      </c>
      <c r="C2221" s="6" t="s">
        <v>152</v>
      </c>
      <c r="D2221" s="6" t="s">
        <v>155</v>
      </c>
      <c r="E2221" s="6" t="s">
        <v>1345</v>
      </c>
      <c r="F2221" s="6" t="s">
        <v>2026</v>
      </c>
      <c r="G2221" s="6">
        <v>50.13</v>
      </c>
      <c r="H2221" s="6">
        <v>47.53</v>
      </c>
      <c r="I2221" s="6">
        <v>113</v>
      </c>
      <c r="J2221" s="6">
        <v>3000</v>
      </c>
      <c r="K2221" s="7">
        <f>(J2221-M2221)*税费参数!$B$12/(I2221*10000*(1+SUM(税费参数!$B$6:$B$8)))</f>
        <v>0.0238970194347425</v>
      </c>
      <c r="L2221" s="7">
        <f>J2221*税费参数!$B$12/(I2221*10000)</f>
        <v>0.0265486725663717</v>
      </c>
      <c r="M2221" s="6">
        <f>I2221*10000*SUM(税费参数!$B$9:$B$10)/税费参数!$B$11</f>
        <v>211.875</v>
      </c>
    </row>
    <row r="2222" ht="21" customHeight="1" spans="1:13">
      <c r="A2222" s="5" t="s">
        <v>16</v>
      </c>
      <c r="B2222" s="6" t="s">
        <v>122</v>
      </c>
      <c r="C2222" s="6" t="s">
        <v>152</v>
      </c>
      <c r="D2222" s="6" t="s">
        <v>155</v>
      </c>
      <c r="E2222" s="6" t="s">
        <v>1345</v>
      </c>
      <c r="F2222" s="6" t="s">
        <v>2027</v>
      </c>
      <c r="G2222" s="6">
        <v>50.13</v>
      </c>
      <c r="H2222" s="6">
        <v>47.53</v>
      </c>
      <c r="I2222" s="6">
        <v>113</v>
      </c>
      <c r="J2222" s="6">
        <v>2900</v>
      </c>
      <c r="K2222" s="7">
        <f>(J2222-M2222)*税费参数!$B$12/(I2222*10000*(1+SUM(税费参数!$B$6:$B$8)))</f>
        <v>0.0230399194325998</v>
      </c>
      <c r="L2222" s="7">
        <f>J2222*税费参数!$B$12/(I2222*10000)</f>
        <v>0.0256637168141593</v>
      </c>
      <c r="M2222" s="6">
        <f>I2222*10000*SUM(税费参数!$B$9:$B$10)/税费参数!$B$11</f>
        <v>211.875</v>
      </c>
    </row>
    <row r="2223" ht="21" customHeight="1" spans="1:13">
      <c r="A2223" s="5" t="s">
        <v>16</v>
      </c>
      <c r="B2223" s="6" t="s">
        <v>122</v>
      </c>
      <c r="C2223" s="6" t="s">
        <v>152</v>
      </c>
      <c r="D2223" s="6" t="s">
        <v>155</v>
      </c>
      <c r="E2223" s="6" t="s">
        <v>1345</v>
      </c>
      <c r="F2223" s="6" t="s">
        <v>2028</v>
      </c>
      <c r="G2223" s="6">
        <v>50.13</v>
      </c>
      <c r="H2223" s="6">
        <v>57.36</v>
      </c>
      <c r="I2223" s="6">
        <v>113</v>
      </c>
      <c r="J2223" s="6">
        <v>3200</v>
      </c>
      <c r="K2223" s="7">
        <f>(J2223-M2223)*税费参数!$B$12/(I2223*10000*(1+SUM(税费参数!$B$6:$B$8)))</f>
        <v>0.025611219439028</v>
      </c>
      <c r="L2223" s="7">
        <f>J2223*税费参数!$B$12/(I2223*10000)</f>
        <v>0.0283185840707965</v>
      </c>
      <c r="M2223" s="6">
        <f>I2223*10000*SUM(税费参数!$B$9:$B$10)/税费参数!$B$11</f>
        <v>211.875</v>
      </c>
    </row>
    <row r="2224" ht="21" customHeight="1" spans="1:13">
      <c r="A2224" s="5" t="s">
        <v>16</v>
      </c>
      <c r="B2224" s="6" t="s">
        <v>122</v>
      </c>
      <c r="C2224" s="6" t="s">
        <v>152</v>
      </c>
      <c r="D2224" s="6" t="s">
        <v>155</v>
      </c>
      <c r="E2224" s="6" t="s">
        <v>1345</v>
      </c>
      <c r="F2224" s="6" t="s">
        <v>2029</v>
      </c>
      <c r="G2224" s="6">
        <v>50.13</v>
      </c>
      <c r="H2224" s="6">
        <v>56.86</v>
      </c>
      <c r="I2224" s="6">
        <v>113</v>
      </c>
      <c r="J2224" s="6">
        <v>2700</v>
      </c>
      <c r="K2224" s="7">
        <f>(J2224-M2224)*税费参数!$B$12/(I2224*10000*(1+SUM(税费参数!$B$6:$B$8)))</f>
        <v>0.0213257194283143</v>
      </c>
      <c r="L2224" s="7">
        <f>J2224*税费参数!$B$12/(I2224*10000)</f>
        <v>0.0238938053097345</v>
      </c>
      <c r="M2224" s="6">
        <f>I2224*10000*SUM(税费参数!$B$9:$B$10)/税费参数!$B$11</f>
        <v>211.875</v>
      </c>
    </row>
    <row r="2225" ht="21" customHeight="1" spans="1:13">
      <c r="A2225" s="5" t="s">
        <v>16</v>
      </c>
      <c r="B2225" s="6" t="s">
        <v>122</v>
      </c>
      <c r="C2225" s="6" t="s">
        <v>152</v>
      </c>
      <c r="D2225" s="6" t="s">
        <v>155</v>
      </c>
      <c r="E2225" s="6" t="s">
        <v>1347</v>
      </c>
      <c r="F2225" s="6" t="s">
        <v>2021</v>
      </c>
      <c r="G2225" s="6">
        <v>47.53</v>
      </c>
      <c r="H2225" s="6">
        <v>47.84</v>
      </c>
      <c r="I2225" s="6">
        <v>119</v>
      </c>
      <c r="J2225" s="6">
        <v>2360</v>
      </c>
      <c r="K2225" s="7">
        <f>(J2225-M2225)*税费参数!$B$12/(I2225*10000*(1+SUM(税费参数!$B$6:$B$8)))</f>
        <v>0.0173917024436893</v>
      </c>
      <c r="L2225" s="7">
        <f>J2225*税费参数!$B$12/(I2225*10000)</f>
        <v>0.0198319327731092</v>
      </c>
      <c r="M2225" s="6">
        <f>I2225*10000*SUM(税费参数!$B$9:$B$10)/税费参数!$B$11</f>
        <v>223.125</v>
      </c>
    </row>
    <row r="2226" ht="21" customHeight="1" spans="1:13">
      <c r="A2226" s="5" t="s">
        <v>16</v>
      </c>
      <c r="B2226" s="6" t="s">
        <v>122</v>
      </c>
      <c r="C2226" s="6" t="s">
        <v>152</v>
      </c>
      <c r="D2226" s="6" t="s">
        <v>155</v>
      </c>
      <c r="E2226" s="6" t="s">
        <v>1347</v>
      </c>
      <c r="F2226" s="6" t="s">
        <v>2022</v>
      </c>
      <c r="G2226" s="6">
        <v>47.53</v>
      </c>
      <c r="H2226" s="6">
        <v>47.53</v>
      </c>
      <c r="I2226" s="6">
        <v>119</v>
      </c>
      <c r="J2226" s="6">
        <v>3000</v>
      </c>
      <c r="K2226" s="7">
        <f>(J2226-M2226)*税费参数!$B$12/(I2226*10000*(1+SUM(税费参数!$B$6:$B$8)))</f>
        <v>0.0226005656499888</v>
      </c>
      <c r="L2226" s="7">
        <f>J2226*税费参数!$B$12/(I2226*10000)</f>
        <v>0.0252100840336134</v>
      </c>
      <c r="M2226" s="6">
        <f>I2226*10000*SUM(税费参数!$B$9:$B$10)/税费参数!$B$11</f>
        <v>223.125</v>
      </c>
    </row>
    <row r="2227" ht="21" customHeight="1" spans="1:13">
      <c r="A2227" s="5" t="s">
        <v>16</v>
      </c>
      <c r="B2227" s="6" t="s">
        <v>122</v>
      </c>
      <c r="C2227" s="6" t="s">
        <v>152</v>
      </c>
      <c r="D2227" s="6" t="s">
        <v>155</v>
      </c>
      <c r="E2227" s="6" t="s">
        <v>1347</v>
      </c>
      <c r="F2227" s="6" t="s">
        <v>2023</v>
      </c>
      <c r="G2227" s="6">
        <v>47.53</v>
      </c>
      <c r="H2227" s="6">
        <v>50.12</v>
      </c>
      <c r="I2227" s="6">
        <v>119</v>
      </c>
      <c r="J2227" s="6">
        <v>2300</v>
      </c>
      <c r="K2227" s="7">
        <f>(J2227-M2227)*税费参数!$B$12/(I2227*10000*(1+SUM(税费参数!$B$6:$B$8)))</f>
        <v>0.0169033715180988</v>
      </c>
      <c r="L2227" s="7">
        <f>J2227*税费参数!$B$12/(I2227*10000)</f>
        <v>0.019327731092437</v>
      </c>
      <c r="M2227" s="6">
        <f>I2227*10000*SUM(税费参数!$B$9:$B$10)/税费参数!$B$11</f>
        <v>223.125</v>
      </c>
    </row>
    <row r="2228" ht="21" customHeight="1" spans="1:13">
      <c r="A2228" s="5" t="s">
        <v>16</v>
      </c>
      <c r="B2228" s="6" t="s">
        <v>122</v>
      </c>
      <c r="C2228" s="6" t="s">
        <v>152</v>
      </c>
      <c r="D2228" s="6" t="s">
        <v>155</v>
      </c>
      <c r="E2228" s="6" t="s">
        <v>1347</v>
      </c>
      <c r="F2228" s="6" t="s">
        <v>2025</v>
      </c>
      <c r="G2228" s="6">
        <v>47.53</v>
      </c>
      <c r="H2228" s="6">
        <v>47.53</v>
      </c>
      <c r="I2228" s="6">
        <v>119</v>
      </c>
      <c r="J2228" s="6">
        <v>3100</v>
      </c>
      <c r="K2228" s="7">
        <f>(J2228-M2228)*税费参数!$B$12/(I2228*10000*(1+SUM(税费参数!$B$6:$B$8)))</f>
        <v>0.0234144505259731</v>
      </c>
      <c r="L2228" s="7">
        <f>J2228*税费参数!$B$12/(I2228*10000)</f>
        <v>0.0260504201680672</v>
      </c>
      <c r="M2228" s="6">
        <f>I2228*10000*SUM(税费参数!$B$9:$B$10)/税费参数!$B$11</f>
        <v>223.125</v>
      </c>
    </row>
    <row r="2229" ht="21" customHeight="1" spans="1:13">
      <c r="A2229" s="5" t="s">
        <v>16</v>
      </c>
      <c r="B2229" s="6" t="s">
        <v>122</v>
      </c>
      <c r="C2229" s="6" t="s">
        <v>152</v>
      </c>
      <c r="D2229" s="6" t="s">
        <v>155</v>
      </c>
      <c r="E2229" s="6" t="s">
        <v>1347</v>
      </c>
      <c r="F2229" s="6" t="s">
        <v>2026</v>
      </c>
      <c r="G2229" s="6">
        <v>47.53</v>
      </c>
      <c r="H2229" s="6">
        <v>47.53</v>
      </c>
      <c r="I2229" s="6">
        <v>119</v>
      </c>
      <c r="J2229" s="6">
        <v>3000</v>
      </c>
      <c r="K2229" s="7">
        <f>(J2229-M2229)*税费参数!$B$12/(I2229*10000*(1+SUM(税费参数!$B$6:$B$8)))</f>
        <v>0.0226005656499888</v>
      </c>
      <c r="L2229" s="7">
        <f>J2229*税费参数!$B$12/(I2229*10000)</f>
        <v>0.0252100840336134</v>
      </c>
      <c r="M2229" s="6">
        <f>I2229*10000*SUM(税费参数!$B$9:$B$10)/税费参数!$B$11</f>
        <v>223.125</v>
      </c>
    </row>
    <row r="2230" ht="21" customHeight="1" spans="1:13">
      <c r="A2230" s="5" t="s">
        <v>16</v>
      </c>
      <c r="B2230" s="6" t="s">
        <v>122</v>
      </c>
      <c r="C2230" s="6" t="s">
        <v>152</v>
      </c>
      <c r="D2230" s="6" t="s">
        <v>155</v>
      </c>
      <c r="E2230" s="6" t="s">
        <v>1347</v>
      </c>
      <c r="F2230" s="6" t="s">
        <v>2027</v>
      </c>
      <c r="G2230" s="6">
        <v>47.53</v>
      </c>
      <c r="H2230" s="6">
        <v>47.53</v>
      </c>
      <c r="I2230" s="6">
        <v>119</v>
      </c>
      <c r="J2230" s="6">
        <v>2900</v>
      </c>
      <c r="K2230" s="7">
        <f>(J2230-M2230)*税费参数!$B$12/(I2230*10000*(1+SUM(税费参数!$B$6:$B$8)))</f>
        <v>0.0217866807740045</v>
      </c>
      <c r="L2230" s="7">
        <f>J2230*税费参数!$B$12/(I2230*10000)</f>
        <v>0.0243697478991597</v>
      </c>
      <c r="M2230" s="6">
        <f>I2230*10000*SUM(税费参数!$B$9:$B$10)/税费参数!$B$11</f>
        <v>223.125</v>
      </c>
    </row>
    <row r="2231" ht="21" customHeight="1" spans="1:13">
      <c r="A2231" s="5" t="s">
        <v>16</v>
      </c>
      <c r="B2231" s="6" t="s">
        <v>122</v>
      </c>
      <c r="C2231" s="6" t="s">
        <v>152</v>
      </c>
      <c r="D2231" s="6" t="s">
        <v>155</v>
      </c>
      <c r="E2231" s="6" t="s">
        <v>1349</v>
      </c>
      <c r="F2231" s="6" t="s">
        <v>2021</v>
      </c>
      <c r="G2231" s="6">
        <v>47.53</v>
      </c>
      <c r="H2231" s="6">
        <v>47.84</v>
      </c>
      <c r="I2231" s="6">
        <v>118</v>
      </c>
      <c r="J2231" s="6">
        <v>2360</v>
      </c>
      <c r="K2231" s="7">
        <f>(J2231-M2231)*税费参数!$B$12/(I2231*10000*(1+SUM(税费参数!$B$6:$B$8)))</f>
        <v>0.0175544794188862</v>
      </c>
      <c r="L2231" s="7">
        <f>J2231*税费参数!$B$12/(I2231*10000)</f>
        <v>0.02</v>
      </c>
      <c r="M2231" s="6">
        <f>I2231*10000*SUM(税费参数!$B$9:$B$10)/税费参数!$B$11</f>
        <v>221.25</v>
      </c>
    </row>
    <row r="2232" ht="21" customHeight="1" spans="1:13">
      <c r="A2232" s="5" t="s">
        <v>16</v>
      </c>
      <c r="B2232" s="6" t="s">
        <v>122</v>
      </c>
      <c r="C2232" s="6" t="s">
        <v>152</v>
      </c>
      <c r="D2232" s="6" t="s">
        <v>155</v>
      </c>
      <c r="E2232" s="6" t="s">
        <v>1349</v>
      </c>
      <c r="F2232" s="6" t="s">
        <v>2022</v>
      </c>
      <c r="G2232" s="6">
        <v>47.53</v>
      </c>
      <c r="H2232" s="6">
        <v>47.53</v>
      </c>
      <c r="I2232" s="6">
        <v>118</v>
      </c>
      <c r="J2232" s="6">
        <v>3000</v>
      </c>
      <c r="K2232" s="7">
        <f>(J2232-M2232)*税费参数!$B$12/(I2232*10000*(1+SUM(税费参数!$B$6:$B$8)))</f>
        <v>0.0228074855337136</v>
      </c>
      <c r="L2232" s="7">
        <f>J2232*税费参数!$B$12/(I2232*10000)</f>
        <v>0.0254237288135593</v>
      </c>
      <c r="M2232" s="6">
        <f>I2232*10000*SUM(税费参数!$B$9:$B$10)/税费参数!$B$11</f>
        <v>221.25</v>
      </c>
    </row>
    <row r="2233" ht="21" customHeight="1" spans="1:13">
      <c r="A2233" s="5" t="s">
        <v>16</v>
      </c>
      <c r="B2233" s="6" t="s">
        <v>122</v>
      </c>
      <c r="C2233" s="6" t="s">
        <v>152</v>
      </c>
      <c r="D2233" s="6" t="s">
        <v>155</v>
      </c>
      <c r="E2233" s="6" t="s">
        <v>1349</v>
      </c>
      <c r="F2233" s="6" t="s">
        <v>2023</v>
      </c>
      <c r="G2233" s="6">
        <v>47.53</v>
      </c>
      <c r="H2233" s="6">
        <v>50.12</v>
      </c>
      <c r="I2233" s="6">
        <v>118</v>
      </c>
      <c r="J2233" s="6">
        <v>2300</v>
      </c>
      <c r="K2233" s="7">
        <f>(J2233-M2233)*税费参数!$B$12/(I2233*10000*(1+SUM(税费参数!$B$6:$B$8)))</f>
        <v>0.0170620100956211</v>
      </c>
      <c r="L2233" s="7">
        <f>J2233*税费参数!$B$12/(I2233*10000)</f>
        <v>0.0194915254237288</v>
      </c>
      <c r="M2233" s="6">
        <f>I2233*10000*SUM(税费参数!$B$9:$B$10)/税费参数!$B$11</f>
        <v>221.25</v>
      </c>
    </row>
    <row r="2234" ht="21" customHeight="1" spans="1:13">
      <c r="A2234" s="5" t="s">
        <v>16</v>
      </c>
      <c r="B2234" s="6" t="s">
        <v>122</v>
      </c>
      <c r="C2234" s="6" t="s">
        <v>152</v>
      </c>
      <c r="D2234" s="6" t="s">
        <v>155</v>
      </c>
      <c r="E2234" s="6" t="s">
        <v>1349</v>
      </c>
      <c r="F2234" s="6" t="s">
        <v>2025</v>
      </c>
      <c r="G2234" s="6">
        <v>47.53</v>
      </c>
      <c r="H2234" s="6">
        <v>47.53</v>
      </c>
      <c r="I2234" s="6">
        <v>118</v>
      </c>
      <c r="J2234" s="6">
        <v>3100</v>
      </c>
      <c r="K2234" s="7">
        <f>(J2234-M2234)*税费参数!$B$12/(I2234*10000*(1+SUM(税费参数!$B$6:$B$8)))</f>
        <v>0.0236282677391554</v>
      </c>
      <c r="L2234" s="7">
        <f>J2234*税费参数!$B$12/(I2234*10000)</f>
        <v>0.026271186440678</v>
      </c>
      <c r="M2234" s="6">
        <f>I2234*10000*SUM(税费参数!$B$9:$B$10)/税费参数!$B$11</f>
        <v>221.25</v>
      </c>
    </row>
    <row r="2235" ht="21" customHeight="1" spans="1:13">
      <c r="A2235" s="5" t="s">
        <v>16</v>
      </c>
      <c r="B2235" s="6" t="s">
        <v>122</v>
      </c>
      <c r="C2235" s="6" t="s">
        <v>152</v>
      </c>
      <c r="D2235" s="6" t="s">
        <v>155</v>
      </c>
      <c r="E2235" s="6" t="s">
        <v>1349</v>
      </c>
      <c r="F2235" s="6" t="s">
        <v>2026</v>
      </c>
      <c r="G2235" s="6">
        <v>47.53</v>
      </c>
      <c r="H2235" s="6">
        <v>47.53</v>
      </c>
      <c r="I2235" s="6">
        <v>118</v>
      </c>
      <c r="J2235" s="6">
        <v>3000</v>
      </c>
      <c r="K2235" s="7">
        <f>(J2235-M2235)*税费参数!$B$12/(I2235*10000*(1+SUM(税费参数!$B$6:$B$8)))</f>
        <v>0.0228074855337136</v>
      </c>
      <c r="L2235" s="7">
        <f>J2235*税费参数!$B$12/(I2235*10000)</f>
        <v>0.0254237288135593</v>
      </c>
      <c r="M2235" s="6">
        <f>I2235*10000*SUM(税费参数!$B$9:$B$10)/税费参数!$B$11</f>
        <v>221.25</v>
      </c>
    </row>
    <row r="2236" ht="21" customHeight="1" spans="1:13">
      <c r="A2236" s="5" t="s">
        <v>16</v>
      </c>
      <c r="B2236" s="6" t="s">
        <v>122</v>
      </c>
      <c r="C2236" s="6" t="s">
        <v>152</v>
      </c>
      <c r="D2236" s="6" t="s">
        <v>155</v>
      </c>
      <c r="E2236" s="6" t="s">
        <v>1349</v>
      </c>
      <c r="F2236" s="6" t="s">
        <v>2027</v>
      </c>
      <c r="G2236" s="6">
        <v>47.53</v>
      </c>
      <c r="H2236" s="6">
        <v>47.53</v>
      </c>
      <c r="I2236" s="6">
        <v>118</v>
      </c>
      <c r="J2236" s="6">
        <v>2900</v>
      </c>
      <c r="K2236" s="7">
        <f>(J2236-M2236)*税费参数!$B$12/(I2236*10000*(1+SUM(税费参数!$B$6:$B$8)))</f>
        <v>0.0219867033282718</v>
      </c>
      <c r="L2236" s="7">
        <f>J2236*税费参数!$B$12/(I2236*10000)</f>
        <v>0.0245762711864407</v>
      </c>
      <c r="M2236" s="6">
        <f>I2236*10000*SUM(税费参数!$B$9:$B$10)/税费参数!$B$11</f>
        <v>221.25</v>
      </c>
    </row>
    <row r="2237" ht="21" customHeight="1" spans="1:13">
      <c r="A2237" s="5" t="s">
        <v>16</v>
      </c>
      <c r="B2237" s="6" t="s">
        <v>117</v>
      </c>
      <c r="C2237" s="6" t="s">
        <v>152</v>
      </c>
      <c r="D2237" s="6" t="s">
        <v>153</v>
      </c>
      <c r="E2237" s="6" t="s">
        <v>1395</v>
      </c>
      <c r="F2237" s="6" t="s">
        <v>2030</v>
      </c>
      <c r="G2237" s="6">
        <v>46.03</v>
      </c>
      <c r="H2237" s="6">
        <v>43.39</v>
      </c>
      <c r="I2237" s="6">
        <v>85</v>
      </c>
      <c r="J2237" s="6">
        <v>2600</v>
      </c>
      <c r="K2237" s="7">
        <f>(J2237-M2237)*税费参数!$B$12/(I2237*10000*(1+SUM(税费参数!$B$6:$B$8)))</f>
        <v>0.0278094288562883</v>
      </c>
      <c r="L2237" s="7">
        <f>J2237*税费参数!$B$12/(I2237*10000)</f>
        <v>0.0305882352941176</v>
      </c>
      <c r="M2237" s="6">
        <f>I2237*10000*SUM(税费参数!$B$9:$B$10)/税费参数!$B$11</f>
        <v>159.375</v>
      </c>
    </row>
    <row r="2238" ht="21" customHeight="1" spans="1:13">
      <c r="A2238" s="5" t="s">
        <v>16</v>
      </c>
      <c r="B2238" s="6" t="s">
        <v>117</v>
      </c>
      <c r="C2238" s="6" t="s">
        <v>152</v>
      </c>
      <c r="D2238" s="6" t="s">
        <v>153</v>
      </c>
      <c r="E2238" s="6" t="s">
        <v>1397</v>
      </c>
      <c r="F2238" s="6" t="s">
        <v>2030</v>
      </c>
      <c r="G2238" s="6">
        <v>43.39</v>
      </c>
      <c r="H2238" s="6">
        <v>43.39</v>
      </c>
      <c r="I2238" s="6">
        <v>100</v>
      </c>
      <c r="J2238" s="6">
        <v>2600</v>
      </c>
      <c r="K2238" s="7">
        <f>(J2238-M2238)*税费参数!$B$12/(I2238*10000*(1+SUM(税费参数!$B$6:$B$8)))</f>
        <v>0.023365617433414</v>
      </c>
      <c r="L2238" s="7">
        <f>J2238*税费参数!$B$12/(I2238*10000)</f>
        <v>0.026</v>
      </c>
      <c r="M2238" s="6">
        <f>I2238*10000*SUM(税费参数!$B$9:$B$10)/税费参数!$B$11</f>
        <v>187.5</v>
      </c>
    </row>
    <row r="2239" ht="21" customHeight="1" spans="1:13">
      <c r="A2239" s="5" t="s">
        <v>16</v>
      </c>
      <c r="B2239" s="6" t="s">
        <v>121</v>
      </c>
      <c r="C2239" s="6" t="s">
        <v>152</v>
      </c>
      <c r="D2239" s="6" t="s">
        <v>153</v>
      </c>
      <c r="E2239" s="6" t="s">
        <v>1411</v>
      </c>
      <c r="F2239" s="6" t="s">
        <v>2031</v>
      </c>
      <c r="G2239" s="6">
        <v>51.64</v>
      </c>
      <c r="H2239" s="6">
        <v>56.61</v>
      </c>
      <c r="I2239" s="6">
        <v>98</v>
      </c>
      <c r="J2239" s="6">
        <v>1900</v>
      </c>
      <c r="K2239" s="7">
        <f>(J2239-M2239)*税费参数!$B$12/(I2239*10000*(1+SUM(税费参数!$B$6:$B$8)))</f>
        <v>0.0169615061520976</v>
      </c>
      <c r="L2239" s="7">
        <f>J2239*税费参数!$B$12/(I2239*10000)</f>
        <v>0.0193877551020408</v>
      </c>
      <c r="M2239" s="6">
        <f>I2239*10000*SUM(税费参数!$B$9:$B$10)/税费参数!$B$11</f>
        <v>183.75</v>
      </c>
    </row>
    <row r="2240" ht="21" customHeight="1" spans="1:13">
      <c r="A2240" s="5" t="s">
        <v>16</v>
      </c>
      <c r="B2240" s="6" t="s">
        <v>121</v>
      </c>
      <c r="C2240" s="6" t="s">
        <v>152</v>
      </c>
      <c r="D2240" s="6" t="s">
        <v>153</v>
      </c>
      <c r="E2240" s="6" t="s">
        <v>1411</v>
      </c>
      <c r="F2240" s="6" t="s">
        <v>2032</v>
      </c>
      <c r="G2240" s="6">
        <v>51.64</v>
      </c>
      <c r="H2240" s="6">
        <v>44.21</v>
      </c>
      <c r="I2240" s="6">
        <v>98</v>
      </c>
      <c r="J2240" s="6">
        <v>2000</v>
      </c>
      <c r="K2240" s="7">
        <f>(J2240-M2240)*税费参数!$B$12/(I2240*10000*(1+SUM(税费参数!$B$6:$B$8)))</f>
        <v>0.0179497949300786</v>
      </c>
      <c r="L2240" s="7">
        <f>J2240*税费参数!$B$12/(I2240*10000)</f>
        <v>0.0204081632653061</v>
      </c>
      <c r="M2240" s="6">
        <f>I2240*10000*SUM(税费参数!$B$9:$B$10)/税费参数!$B$11</f>
        <v>183.75</v>
      </c>
    </row>
    <row r="2241" ht="21" customHeight="1" spans="1:13">
      <c r="A2241" s="5" t="s">
        <v>16</v>
      </c>
      <c r="B2241" s="6" t="s">
        <v>121</v>
      </c>
      <c r="C2241" s="6" t="s">
        <v>152</v>
      </c>
      <c r="D2241" s="6" t="s">
        <v>153</v>
      </c>
      <c r="E2241" s="6" t="s">
        <v>1411</v>
      </c>
      <c r="F2241" s="6" t="s">
        <v>2033</v>
      </c>
      <c r="G2241" s="6">
        <v>51.64</v>
      </c>
      <c r="H2241" s="6">
        <v>44.21</v>
      </c>
      <c r="I2241" s="6">
        <v>98</v>
      </c>
      <c r="J2241" s="6">
        <v>1650</v>
      </c>
      <c r="K2241" s="7">
        <f>(J2241-M2241)*税费参数!$B$12/(I2241*10000*(1+SUM(税费参数!$B$6:$B$8)))</f>
        <v>0.0144907842071453</v>
      </c>
      <c r="L2241" s="7">
        <f>J2241*税费参数!$B$12/(I2241*10000)</f>
        <v>0.0168367346938776</v>
      </c>
      <c r="M2241" s="6">
        <f>I2241*10000*SUM(税费参数!$B$9:$B$10)/税费参数!$B$11</f>
        <v>183.75</v>
      </c>
    </row>
    <row r="2242" ht="21" customHeight="1" spans="1:13">
      <c r="A2242" s="5" t="s">
        <v>16</v>
      </c>
      <c r="B2242" s="6" t="s">
        <v>121</v>
      </c>
      <c r="C2242" s="6" t="s">
        <v>152</v>
      </c>
      <c r="D2242" s="6" t="s">
        <v>153</v>
      </c>
      <c r="E2242" s="6" t="s">
        <v>1411</v>
      </c>
      <c r="F2242" s="6" t="s">
        <v>2034</v>
      </c>
      <c r="G2242" s="6">
        <v>51.64</v>
      </c>
      <c r="H2242" s="6">
        <v>44.21</v>
      </c>
      <c r="I2242" s="6">
        <v>98</v>
      </c>
      <c r="J2242" s="6">
        <v>1700</v>
      </c>
      <c r="K2242" s="7">
        <f>(J2242-M2242)*税费参数!$B$12/(I2242*10000*(1+SUM(税费参数!$B$6:$B$8)))</f>
        <v>0.0149849285961358</v>
      </c>
      <c r="L2242" s="7">
        <f>J2242*税费参数!$B$12/(I2242*10000)</f>
        <v>0.0173469387755102</v>
      </c>
      <c r="M2242" s="6">
        <f>I2242*10000*SUM(税费参数!$B$9:$B$10)/税费参数!$B$11</f>
        <v>183.75</v>
      </c>
    </row>
    <row r="2243" ht="21" customHeight="1" spans="1:13">
      <c r="A2243" s="5" t="s">
        <v>16</v>
      </c>
      <c r="B2243" s="6" t="s">
        <v>121</v>
      </c>
      <c r="C2243" s="6" t="s">
        <v>152</v>
      </c>
      <c r="D2243" s="6" t="s">
        <v>153</v>
      </c>
      <c r="E2243" s="6" t="s">
        <v>1411</v>
      </c>
      <c r="F2243" s="6" t="s">
        <v>2035</v>
      </c>
      <c r="G2243" s="6">
        <v>51.64</v>
      </c>
      <c r="H2243" s="6">
        <v>44.21</v>
      </c>
      <c r="I2243" s="6">
        <v>98</v>
      </c>
      <c r="J2243" s="6">
        <v>1700</v>
      </c>
      <c r="K2243" s="7">
        <f>(J2243-M2243)*税费参数!$B$12/(I2243*10000*(1+SUM(税费参数!$B$6:$B$8)))</f>
        <v>0.0149849285961358</v>
      </c>
      <c r="L2243" s="7">
        <f>J2243*税费参数!$B$12/(I2243*10000)</f>
        <v>0.0173469387755102</v>
      </c>
      <c r="M2243" s="6">
        <f>I2243*10000*SUM(税费参数!$B$9:$B$10)/税费参数!$B$11</f>
        <v>183.75</v>
      </c>
    </row>
    <row r="2244" ht="21" customHeight="1" spans="1:13">
      <c r="A2244" s="5" t="s">
        <v>16</v>
      </c>
      <c r="B2244" s="6" t="s">
        <v>121</v>
      </c>
      <c r="C2244" s="6" t="s">
        <v>152</v>
      </c>
      <c r="D2244" s="6" t="s">
        <v>153</v>
      </c>
      <c r="E2244" s="6" t="s">
        <v>1411</v>
      </c>
      <c r="F2244" s="6" t="s">
        <v>2036</v>
      </c>
      <c r="G2244" s="6">
        <v>51.64</v>
      </c>
      <c r="H2244" s="6">
        <v>44.21</v>
      </c>
      <c r="I2244" s="6">
        <v>98</v>
      </c>
      <c r="J2244" s="6">
        <v>1850</v>
      </c>
      <c r="K2244" s="7">
        <f>(J2244-M2244)*税费参数!$B$12/(I2244*10000*(1+SUM(税费参数!$B$6:$B$8)))</f>
        <v>0.0164673617631072</v>
      </c>
      <c r="L2244" s="7">
        <f>J2244*税费参数!$B$12/(I2244*10000)</f>
        <v>0.0188775510204082</v>
      </c>
      <c r="M2244" s="6">
        <f>I2244*10000*SUM(税费参数!$B$9:$B$10)/税费参数!$B$11</f>
        <v>183.75</v>
      </c>
    </row>
    <row r="2245" ht="21" customHeight="1" spans="1:13">
      <c r="A2245" s="5" t="s">
        <v>16</v>
      </c>
      <c r="B2245" s="6" t="s">
        <v>121</v>
      </c>
      <c r="C2245" s="6" t="s">
        <v>152</v>
      </c>
      <c r="D2245" s="6" t="s">
        <v>153</v>
      </c>
      <c r="E2245" s="6" t="s">
        <v>1411</v>
      </c>
      <c r="F2245" s="6" t="s">
        <v>2037</v>
      </c>
      <c r="G2245" s="6">
        <v>51.64</v>
      </c>
      <c r="H2245" s="6">
        <v>44.21</v>
      </c>
      <c r="I2245" s="6">
        <v>98</v>
      </c>
      <c r="J2245" s="6">
        <v>1800</v>
      </c>
      <c r="K2245" s="7">
        <f>(J2245-M2245)*税费参数!$B$12/(I2245*10000*(1+SUM(税费参数!$B$6:$B$8)))</f>
        <v>0.0159732173741167</v>
      </c>
      <c r="L2245" s="7">
        <f>J2245*税费参数!$B$12/(I2245*10000)</f>
        <v>0.0183673469387755</v>
      </c>
      <c r="M2245" s="6">
        <f>I2245*10000*SUM(税费参数!$B$9:$B$10)/税费参数!$B$11</f>
        <v>183.75</v>
      </c>
    </row>
    <row r="2246" ht="21" customHeight="1" spans="1:13">
      <c r="A2246" s="5" t="s">
        <v>16</v>
      </c>
      <c r="B2246" s="6" t="s">
        <v>121</v>
      </c>
      <c r="C2246" s="6" t="s">
        <v>152</v>
      </c>
      <c r="D2246" s="6" t="s">
        <v>153</v>
      </c>
      <c r="E2246" s="6" t="s">
        <v>1411</v>
      </c>
      <c r="F2246" s="6" t="s">
        <v>2038</v>
      </c>
      <c r="G2246" s="6">
        <v>51.64</v>
      </c>
      <c r="H2246" s="6">
        <v>59.12</v>
      </c>
      <c r="I2246" s="6">
        <v>98</v>
      </c>
      <c r="J2246" s="6">
        <v>1800</v>
      </c>
      <c r="K2246" s="7">
        <f>(J2246-M2246)*税费参数!$B$12/(I2246*10000*(1+SUM(税费参数!$B$6:$B$8)))</f>
        <v>0.0159732173741167</v>
      </c>
      <c r="L2246" s="7">
        <f>J2246*税费参数!$B$12/(I2246*10000)</f>
        <v>0.0183673469387755</v>
      </c>
      <c r="M2246" s="6">
        <f>I2246*10000*SUM(税费参数!$B$9:$B$10)/税费参数!$B$11</f>
        <v>183.75</v>
      </c>
    </row>
    <row r="2247" ht="21" customHeight="1" spans="1:13">
      <c r="A2247" s="5" t="s">
        <v>16</v>
      </c>
      <c r="B2247" s="6" t="s">
        <v>121</v>
      </c>
      <c r="C2247" s="6" t="s">
        <v>152</v>
      </c>
      <c r="D2247" s="6" t="s">
        <v>153</v>
      </c>
      <c r="E2247" s="6" t="s">
        <v>1411</v>
      </c>
      <c r="F2247" s="6" t="s">
        <v>2039</v>
      </c>
      <c r="G2247" s="6">
        <v>51.64</v>
      </c>
      <c r="H2247" s="6">
        <v>47.94</v>
      </c>
      <c r="I2247" s="6">
        <v>98</v>
      </c>
      <c r="J2247" s="6">
        <v>1900</v>
      </c>
      <c r="K2247" s="7">
        <f>(J2247-M2247)*税费参数!$B$12/(I2247*10000*(1+SUM(税费参数!$B$6:$B$8)))</f>
        <v>0.0169615061520976</v>
      </c>
      <c r="L2247" s="7">
        <f>J2247*税费参数!$B$12/(I2247*10000)</f>
        <v>0.0193877551020408</v>
      </c>
      <c r="M2247" s="6">
        <f>I2247*10000*SUM(税费参数!$B$9:$B$10)/税费参数!$B$11</f>
        <v>183.75</v>
      </c>
    </row>
    <row r="2248" ht="21" customHeight="1" spans="1:13">
      <c r="A2248" s="5" t="s">
        <v>16</v>
      </c>
      <c r="B2248" s="6" t="s">
        <v>121</v>
      </c>
      <c r="C2248" s="6" t="s">
        <v>152</v>
      </c>
      <c r="D2248" s="6" t="s">
        <v>153</v>
      </c>
      <c r="E2248" s="6" t="s">
        <v>1403</v>
      </c>
      <c r="F2248" s="6" t="s">
        <v>2031</v>
      </c>
      <c r="G2248" s="6">
        <v>53.82</v>
      </c>
      <c r="H2248" s="6">
        <v>56.61</v>
      </c>
      <c r="I2248" s="6">
        <v>107</v>
      </c>
      <c r="J2248" s="6">
        <v>1900</v>
      </c>
      <c r="K2248" s="7">
        <f>(J2248-M2248)*税费参数!$B$12/(I2248*10000*(1+SUM(税费参数!$B$6:$B$8)))</f>
        <v>0.0153820913760721</v>
      </c>
      <c r="L2248" s="7">
        <f>J2248*税费参数!$B$12/(I2248*10000)</f>
        <v>0.0177570093457944</v>
      </c>
      <c r="M2248" s="6">
        <f>I2248*10000*SUM(税费参数!$B$9:$B$10)/税费参数!$B$11</f>
        <v>200.625</v>
      </c>
    </row>
    <row r="2249" ht="21" customHeight="1" spans="1:13">
      <c r="A2249" s="5" t="s">
        <v>16</v>
      </c>
      <c r="B2249" s="6" t="s">
        <v>121</v>
      </c>
      <c r="C2249" s="6" t="s">
        <v>152</v>
      </c>
      <c r="D2249" s="6" t="s">
        <v>153</v>
      </c>
      <c r="E2249" s="6" t="s">
        <v>1403</v>
      </c>
      <c r="F2249" s="6" t="s">
        <v>2038</v>
      </c>
      <c r="G2249" s="6">
        <v>53.82</v>
      </c>
      <c r="H2249" s="6">
        <v>59.12</v>
      </c>
      <c r="I2249" s="6">
        <v>107</v>
      </c>
      <c r="J2249" s="6">
        <v>1800</v>
      </c>
      <c r="K2249" s="7">
        <f>(J2249-M2249)*税费参数!$B$12/(I2249*10000*(1+SUM(税费参数!$B$6:$B$8)))</f>
        <v>0.0144769296915662</v>
      </c>
      <c r="L2249" s="7">
        <f>J2249*税费参数!$B$12/(I2249*10000)</f>
        <v>0.0168224299065421</v>
      </c>
      <c r="M2249" s="6">
        <f>I2249*10000*SUM(税费参数!$B$9:$B$10)/税费参数!$B$11</f>
        <v>200.625</v>
      </c>
    </row>
    <row r="2250" ht="21" customHeight="1" spans="1:13">
      <c r="A2250" s="5" t="s">
        <v>16</v>
      </c>
      <c r="B2250" s="6" t="s">
        <v>121</v>
      </c>
      <c r="C2250" s="6" t="s">
        <v>152</v>
      </c>
      <c r="D2250" s="6" t="s">
        <v>153</v>
      </c>
      <c r="E2250" s="6" t="s">
        <v>1403</v>
      </c>
      <c r="F2250" s="6" t="s">
        <v>2039</v>
      </c>
      <c r="G2250" s="6">
        <v>53.82</v>
      </c>
      <c r="H2250" s="6">
        <v>47.94</v>
      </c>
      <c r="I2250" s="6">
        <v>107</v>
      </c>
      <c r="J2250" s="6">
        <v>1900</v>
      </c>
      <c r="K2250" s="7">
        <f>(J2250-M2250)*税费参数!$B$12/(I2250*10000*(1+SUM(税费参数!$B$6:$B$8)))</f>
        <v>0.0153820913760721</v>
      </c>
      <c r="L2250" s="7">
        <f>J2250*税费参数!$B$12/(I2250*10000)</f>
        <v>0.0177570093457944</v>
      </c>
      <c r="M2250" s="6">
        <f>I2250*10000*SUM(税费参数!$B$9:$B$10)/税费参数!$B$11</f>
        <v>200.625</v>
      </c>
    </row>
    <row r="2251" ht="21" customHeight="1" spans="1:13">
      <c r="A2251" s="5" t="s">
        <v>16</v>
      </c>
      <c r="B2251" s="6" t="s">
        <v>121</v>
      </c>
      <c r="C2251" s="6" t="s">
        <v>152</v>
      </c>
      <c r="D2251" s="6" t="s">
        <v>153</v>
      </c>
      <c r="E2251" s="6" t="s">
        <v>1415</v>
      </c>
      <c r="F2251" s="6" t="s">
        <v>2032</v>
      </c>
      <c r="G2251" s="6">
        <v>49.13</v>
      </c>
      <c r="H2251" s="6">
        <v>44.21</v>
      </c>
      <c r="I2251" s="6">
        <v>86</v>
      </c>
      <c r="J2251" s="6">
        <v>2000</v>
      </c>
      <c r="K2251" s="7">
        <f>(J2251-M2251)*税费参数!$B$12/(I2251*10000*(1+SUM(税费参数!$B$6:$B$8)))</f>
        <v>0.0207078101244439</v>
      </c>
      <c r="L2251" s="7">
        <f>J2251*税费参数!$B$12/(I2251*10000)</f>
        <v>0.0232558139534884</v>
      </c>
      <c r="M2251" s="6">
        <f>I2251*10000*SUM(税费参数!$B$9:$B$10)/税费参数!$B$11</f>
        <v>161.25</v>
      </c>
    </row>
    <row r="2252" ht="21" customHeight="1" spans="1:13">
      <c r="A2252" s="5" t="s">
        <v>16</v>
      </c>
      <c r="B2252" s="6" t="s">
        <v>121</v>
      </c>
      <c r="C2252" s="6" t="s">
        <v>152</v>
      </c>
      <c r="D2252" s="6" t="s">
        <v>153</v>
      </c>
      <c r="E2252" s="6" t="s">
        <v>1415</v>
      </c>
      <c r="F2252" s="6" t="s">
        <v>2033</v>
      </c>
      <c r="G2252" s="6">
        <v>49.13</v>
      </c>
      <c r="H2252" s="6">
        <v>44.21</v>
      </c>
      <c r="I2252" s="6">
        <v>86</v>
      </c>
      <c r="J2252" s="6">
        <v>1650</v>
      </c>
      <c r="K2252" s="7">
        <f>(J2252-M2252)*税费参数!$B$12/(I2252*10000*(1+SUM(税费参数!$B$6:$B$8)))</f>
        <v>0.0167661467424968</v>
      </c>
      <c r="L2252" s="7">
        <f>J2252*税费参数!$B$12/(I2252*10000)</f>
        <v>0.0191860465116279</v>
      </c>
      <c r="M2252" s="6">
        <f>I2252*10000*SUM(税费参数!$B$9:$B$10)/税费参数!$B$11</f>
        <v>161.25</v>
      </c>
    </row>
    <row r="2253" ht="21" customHeight="1" spans="1:13">
      <c r="A2253" s="5" t="s">
        <v>16</v>
      </c>
      <c r="B2253" s="6" t="s">
        <v>121</v>
      </c>
      <c r="C2253" s="6" t="s">
        <v>152</v>
      </c>
      <c r="D2253" s="6" t="s">
        <v>153</v>
      </c>
      <c r="E2253" s="6" t="s">
        <v>1415</v>
      </c>
      <c r="F2253" s="6" t="s">
        <v>2034</v>
      </c>
      <c r="G2253" s="6">
        <v>49.13</v>
      </c>
      <c r="H2253" s="6">
        <v>44.21</v>
      </c>
      <c r="I2253" s="6">
        <v>86</v>
      </c>
      <c r="J2253" s="6">
        <v>1700</v>
      </c>
      <c r="K2253" s="7">
        <f>(J2253-M2253)*税费参数!$B$12/(I2253*10000*(1+SUM(税费参数!$B$6:$B$8)))</f>
        <v>0.0173292415113464</v>
      </c>
      <c r="L2253" s="7">
        <f>J2253*税费参数!$B$12/(I2253*10000)</f>
        <v>0.0197674418604651</v>
      </c>
      <c r="M2253" s="6">
        <f>I2253*10000*SUM(税费参数!$B$9:$B$10)/税费参数!$B$11</f>
        <v>161.25</v>
      </c>
    </row>
    <row r="2254" ht="21" customHeight="1" spans="1:13">
      <c r="A2254" s="5" t="s">
        <v>16</v>
      </c>
      <c r="B2254" s="6" t="s">
        <v>121</v>
      </c>
      <c r="C2254" s="6" t="s">
        <v>152</v>
      </c>
      <c r="D2254" s="6" t="s">
        <v>153</v>
      </c>
      <c r="E2254" s="6" t="s">
        <v>1415</v>
      </c>
      <c r="F2254" s="6" t="s">
        <v>2035</v>
      </c>
      <c r="G2254" s="6">
        <v>49.13</v>
      </c>
      <c r="H2254" s="6">
        <v>44.21</v>
      </c>
      <c r="I2254" s="6">
        <v>86</v>
      </c>
      <c r="J2254" s="6">
        <v>1700</v>
      </c>
      <c r="K2254" s="7">
        <f>(J2254-M2254)*税费参数!$B$12/(I2254*10000*(1+SUM(税费参数!$B$6:$B$8)))</f>
        <v>0.0173292415113464</v>
      </c>
      <c r="L2254" s="7">
        <f>J2254*税费参数!$B$12/(I2254*10000)</f>
        <v>0.0197674418604651</v>
      </c>
      <c r="M2254" s="6">
        <f>I2254*10000*SUM(税费参数!$B$9:$B$10)/税费参数!$B$11</f>
        <v>161.25</v>
      </c>
    </row>
    <row r="2255" ht="21" customHeight="1" spans="1:13">
      <c r="A2255" s="5" t="s">
        <v>16</v>
      </c>
      <c r="B2255" s="6" t="s">
        <v>121</v>
      </c>
      <c r="C2255" s="6" t="s">
        <v>152</v>
      </c>
      <c r="D2255" s="6" t="s">
        <v>153</v>
      </c>
      <c r="E2255" s="6" t="s">
        <v>1415</v>
      </c>
      <c r="F2255" s="6" t="s">
        <v>2040</v>
      </c>
      <c r="G2255" s="6">
        <v>49.13</v>
      </c>
      <c r="H2255" s="6">
        <v>42.67</v>
      </c>
      <c r="I2255" s="6">
        <v>86</v>
      </c>
      <c r="J2255" s="6">
        <v>1700</v>
      </c>
      <c r="K2255" s="7">
        <f>(J2255-M2255)*税费参数!$B$12/(I2255*10000*(1+SUM(税费参数!$B$6:$B$8)))</f>
        <v>0.0173292415113464</v>
      </c>
      <c r="L2255" s="7">
        <f>J2255*税费参数!$B$12/(I2255*10000)</f>
        <v>0.0197674418604651</v>
      </c>
      <c r="M2255" s="6">
        <f>I2255*10000*SUM(税费参数!$B$9:$B$10)/税费参数!$B$11</f>
        <v>161.25</v>
      </c>
    </row>
    <row r="2256" ht="21" customHeight="1" spans="1:13">
      <c r="A2256" s="5" t="s">
        <v>16</v>
      </c>
      <c r="B2256" s="6" t="s">
        <v>121</v>
      </c>
      <c r="C2256" s="6" t="s">
        <v>152</v>
      </c>
      <c r="D2256" s="6" t="s">
        <v>153</v>
      </c>
      <c r="E2256" s="6" t="s">
        <v>1415</v>
      </c>
      <c r="F2256" s="6" t="s">
        <v>2036</v>
      </c>
      <c r="G2256" s="6">
        <v>49.13</v>
      </c>
      <c r="H2256" s="6">
        <v>44.21</v>
      </c>
      <c r="I2256" s="6">
        <v>86</v>
      </c>
      <c r="J2256" s="6">
        <v>1850</v>
      </c>
      <c r="K2256" s="7">
        <f>(J2256-M2256)*税费参数!$B$12/(I2256*10000*(1+SUM(税费参数!$B$6:$B$8)))</f>
        <v>0.0190185258178952</v>
      </c>
      <c r="L2256" s="7">
        <f>J2256*税费参数!$B$12/(I2256*10000)</f>
        <v>0.0215116279069767</v>
      </c>
      <c r="M2256" s="6">
        <f>I2256*10000*SUM(税费参数!$B$9:$B$10)/税费参数!$B$11</f>
        <v>161.25</v>
      </c>
    </row>
    <row r="2257" ht="21" customHeight="1" spans="1:13">
      <c r="A2257" s="5" t="s">
        <v>16</v>
      </c>
      <c r="B2257" s="6" t="s">
        <v>121</v>
      </c>
      <c r="C2257" s="6" t="s">
        <v>152</v>
      </c>
      <c r="D2257" s="6" t="s">
        <v>153</v>
      </c>
      <c r="E2257" s="6" t="s">
        <v>1415</v>
      </c>
      <c r="F2257" s="6" t="s">
        <v>2037</v>
      </c>
      <c r="G2257" s="6">
        <v>49.13</v>
      </c>
      <c r="H2257" s="6">
        <v>44.21</v>
      </c>
      <c r="I2257" s="6">
        <v>86</v>
      </c>
      <c r="J2257" s="6">
        <v>1800</v>
      </c>
      <c r="K2257" s="7">
        <f>(J2257-M2257)*税费参数!$B$12/(I2257*10000*(1+SUM(税费参数!$B$6:$B$8)))</f>
        <v>0.0184554310490456</v>
      </c>
      <c r="L2257" s="7">
        <f>J2257*税费参数!$B$12/(I2257*10000)</f>
        <v>0.0209302325581395</v>
      </c>
      <c r="M2257" s="6">
        <f>I2257*10000*SUM(税费参数!$B$9:$B$10)/税费参数!$B$11</f>
        <v>161.25</v>
      </c>
    </row>
    <row r="2258" ht="21" customHeight="1" spans="1:13">
      <c r="A2258" s="5" t="s">
        <v>16</v>
      </c>
      <c r="B2258" s="6" t="s">
        <v>121</v>
      </c>
      <c r="C2258" s="6" t="s">
        <v>152</v>
      </c>
      <c r="D2258" s="6" t="s">
        <v>153</v>
      </c>
      <c r="E2258" s="6" t="s">
        <v>1415</v>
      </c>
      <c r="F2258" s="6" t="s">
        <v>2041</v>
      </c>
      <c r="G2258" s="6">
        <v>49.13</v>
      </c>
      <c r="H2258" s="6">
        <v>42.67</v>
      </c>
      <c r="I2258" s="6">
        <v>86</v>
      </c>
      <c r="J2258" s="6">
        <v>1650</v>
      </c>
      <c r="K2258" s="7">
        <f>(J2258-M2258)*税费参数!$B$12/(I2258*10000*(1+SUM(税费参数!$B$6:$B$8)))</f>
        <v>0.0167661467424968</v>
      </c>
      <c r="L2258" s="7">
        <f>J2258*税费参数!$B$12/(I2258*10000)</f>
        <v>0.0191860465116279</v>
      </c>
      <c r="M2258" s="6">
        <f>I2258*10000*SUM(税费参数!$B$9:$B$10)/税费参数!$B$11</f>
        <v>161.25</v>
      </c>
    </row>
    <row r="2259" ht="21" customHeight="1" spans="1:13">
      <c r="A2259" s="5" t="s">
        <v>16</v>
      </c>
      <c r="B2259" s="6" t="s">
        <v>121</v>
      </c>
      <c r="C2259" s="6" t="s">
        <v>152</v>
      </c>
      <c r="D2259" s="6" t="s">
        <v>153</v>
      </c>
      <c r="E2259" s="6" t="s">
        <v>1415</v>
      </c>
      <c r="F2259" s="6" t="s">
        <v>2039</v>
      </c>
      <c r="G2259" s="6">
        <v>49.13</v>
      </c>
      <c r="H2259" s="6">
        <v>47.94</v>
      </c>
      <c r="I2259" s="6">
        <v>86</v>
      </c>
      <c r="J2259" s="6">
        <v>1900</v>
      </c>
      <c r="K2259" s="7">
        <f>(J2259-M2259)*税费参数!$B$12/(I2259*10000*(1+SUM(税费参数!$B$6:$B$8)))</f>
        <v>0.0195816205867447</v>
      </c>
      <c r="L2259" s="7">
        <f>J2259*税费参数!$B$12/(I2259*10000)</f>
        <v>0.022093023255814</v>
      </c>
      <c r="M2259" s="6">
        <f>I2259*10000*SUM(税费参数!$B$9:$B$10)/税费参数!$B$11</f>
        <v>161.25</v>
      </c>
    </row>
    <row r="2260" ht="21" customHeight="1" spans="1:13">
      <c r="A2260" s="5" t="s">
        <v>16</v>
      </c>
      <c r="B2260" s="6" t="s">
        <v>121</v>
      </c>
      <c r="C2260" s="6" t="s">
        <v>152</v>
      </c>
      <c r="D2260" s="6" t="s">
        <v>153</v>
      </c>
      <c r="E2260" s="6" t="s">
        <v>1407</v>
      </c>
      <c r="F2260" s="6" t="s">
        <v>2032</v>
      </c>
      <c r="G2260" s="6">
        <v>44.21</v>
      </c>
      <c r="H2260" s="6">
        <v>44.21</v>
      </c>
      <c r="I2260" s="6">
        <v>85</v>
      </c>
      <c r="J2260" s="6">
        <v>2000</v>
      </c>
      <c r="K2260" s="7">
        <f>(J2260-M2260)*税费参数!$B$12/(I2260*10000*(1+SUM(税费参数!$B$6:$B$8)))</f>
        <v>0.0209727958980202</v>
      </c>
      <c r="L2260" s="7">
        <f>J2260*税费参数!$B$12/(I2260*10000)</f>
        <v>0.0235294117647059</v>
      </c>
      <c r="M2260" s="6">
        <f>I2260*10000*SUM(税费参数!$B$9:$B$10)/税费参数!$B$11</f>
        <v>159.375</v>
      </c>
    </row>
    <row r="2261" ht="21" customHeight="1" spans="1:13">
      <c r="A2261" s="5" t="s">
        <v>16</v>
      </c>
      <c r="B2261" s="6" t="s">
        <v>121</v>
      </c>
      <c r="C2261" s="6" t="s">
        <v>152</v>
      </c>
      <c r="D2261" s="6" t="s">
        <v>153</v>
      </c>
      <c r="E2261" s="6" t="s">
        <v>1407</v>
      </c>
      <c r="F2261" s="6" t="s">
        <v>2033</v>
      </c>
      <c r="G2261" s="6">
        <v>44.21</v>
      </c>
      <c r="H2261" s="6">
        <v>44.21</v>
      </c>
      <c r="I2261" s="6">
        <v>85</v>
      </c>
      <c r="J2261" s="6">
        <v>1650</v>
      </c>
      <c r="K2261" s="7">
        <f>(J2261-M2261)*税费参数!$B$12/(I2261*10000*(1+SUM(税费参数!$B$6:$B$8)))</f>
        <v>0.0169847600056972</v>
      </c>
      <c r="L2261" s="7">
        <f>J2261*税费参数!$B$12/(I2261*10000)</f>
        <v>0.0194117647058824</v>
      </c>
      <c r="M2261" s="6">
        <f>I2261*10000*SUM(税费参数!$B$9:$B$10)/税费参数!$B$11</f>
        <v>159.375</v>
      </c>
    </row>
    <row r="2262" ht="21" customHeight="1" spans="1:13">
      <c r="A2262" s="5" t="s">
        <v>16</v>
      </c>
      <c r="B2262" s="6" t="s">
        <v>121</v>
      </c>
      <c r="C2262" s="6" t="s">
        <v>152</v>
      </c>
      <c r="D2262" s="6" t="s">
        <v>153</v>
      </c>
      <c r="E2262" s="6" t="s">
        <v>1407</v>
      </c>
      <c r="F2262" s="6" t="s">
        <v>2034</v>
      </c>
      <c r="G2262" s="6">
        <v>44.21</v>
      </c>
      <c r="H2262" s="6">
        <v>44.21</v>
      </c>
      <c r="I2262" s="6">
        <v>85</v>
      </c>
      <c r="J2262" s="6">
        <v>1700</v>
      </c>
      <c r="K2262" s="7">
        <f>(J2262-M2262)*税费参数!$B$12/(I2262*10000*(1+SUM(税费参数!$B$6:$B$8)))</f>
        <v>0.0175544794188862</v>
      </c>
      <c r="L2262" s="7">
        <f>J2262*税费参数!$B$12/(I2262*10000)</f>
        <v>0.02</v>
      </c>
      <c r="M2262" s="6">
        <f>I2262*10000*SUM(税费参数!$B$9:$B$10)/税费参数!$B$11</f>
        <v>159.375</v>
      </c>
    </row>
    <row r="2263" ht="21" customHeight="1" spans="1:13">
      <c r="A2263" s="5" t="s">
        <v>16</v>
      </c>
      <c r="B2263" s="6" t="s">
        <v>121</v>
      </c>
      <c r="C2263" s="6" t="s">
        <v>152</v>
      </c>
      <c r="D2263" s="6" t="s">
        <v>153</v>
      </c>
      <c r="E2263" s="6" t="s">
        <v>1407</v>
      </c>
      <c r="F2263" s="6" t="s">
        <v>2035</v>
      </c>
      <c r="G2263" s="6">
        <v>44.21</v>
      </c>
      <c r="H2263" s="6">
        <v>44.21</v>
      </c>
      <c r="I2263" s="6">
        <v>85</v>
      </c>
      <c r="J2263" s="6">
        <v>1700</v>
      </c>
      <c r="K2263" s="7">
        <f>(J2263-M2263)*税费参数!$B$12/(I2263*10000*(1+SUM(税费参数!$B$6:$B$8)))</f>
        <v>0.0175544794188862</v>
      </c>
      <c r="L2263" s="7">
        <f>J2263*税费参数!$B$12/(I2263*10000)</f>
        <v>0.02</v>
      </c>
      <c r="M2263" s="6">
        <f>I2263*10000*SUM(税费参数!$B$9:$B$10)/税费参数!$B$11</f>
        <v>159.375</v>
      </c>
    </row>
    <row r="2264" ht="21" customHeight="1" spans="1:13">
      <c r="A2264" s="5" t="s">
        <v>16</v>
      </c>
      <c r="B2264" s="6" t="s">
        <v>121</v>
      </c>
      <c r="C2264" s="6" t="s">
        <v>152</v>
      </c>
      <c r="D2264" s="6" t="s">
        <v>153</v>
      </c>
      <c r="E2264" s="6" t="s">
        <v>1407</v>
      </c>
      <c r="F2264" s="6" t="s">
        <v>2040</v>
      </c>
      <c r="G2264" s="6">
        <v>44.21</v>
      </c>
      <c r="H2264" s="6">
        <v>42.67</v>
      </c>
      <c r="I2264" s="6">
        <v>85</v>
      </c>
      <c r="J2264" s="6">
        <v>1700</v>
      </c>
      <c r="K2264" s="7">
        <f>(J2264-M2264)*税费参数!$B$12/(I2264*10000*(1+SUM(税费参数!$B$6:$B$8)))</f>
        <v>0.0175544794188862</v>
      </c>
      <c r="L2264" s="7">
        <f>J2264*税费参数!$B$12/(I2264*10000)</f>
        <v>0.02</v>
      </c>
      <c r="M2264" s="6">
        <f>I2264*10000*SUM(税费参数!$B$9:$B$10)/税费参数!$B$11</f>
        <v>159.375</v>
      </c>
    </row>
    <row r="2265" ht="21" customHeight="1" spans="1:13">
      <c r="A2265" s="5" t="s">
        <v>16</v>
      </c>
      <c r="B2265" s="6" t="s">
        <v>121</v>
      </c>
      <c r="C2265" s="6" t="s">
        <v>152</v>
      </c>
      <c r="D2265" s="6" t="s">
        <v>153</v>
      </c>
      <c r="E2265" s="6" t="s">
        <v>1407</v>
      </c>
      <c r="F2265" s="6" t="s">
        <v>2036</v>
      </c>
      <c r="G2265" s="6">
        <v>44.21</v>
      </c>
      <c r="H2265" s="6">
        <v>44.21</v>
      </c>
      <c r="I2265" s="6">
        <v>85</v>
      </c>
      <c r="J2265" s="6">
        <v>1850</v>
      </c>
      <c r="K2265" s="7">
        <f>(J2265-M2265)*税费参数!$B$12/(I2265*10000*(1+SUM(税费参数!$B$6:$B$8)))</f>
        <v>0.0192636376584532</v>
      </c>
      <c r="L2265" s="7">
        <f>J2265*税费参数!$B$12/(I2265*10000)</f>
        <v>0.0217647058823529</v>
      </c>
      <c r="M2265" s="6">
        <f>I2265*10000*SUM(税费参数!$B$9:$B$10)/税费参数!$B$11</f>
        <v>159.375</v>
      </c>
    </row>
    <row r="2266" ht="21" customHeight="1" spans="1:13">
      <c r="A2266" s="5" t="s">
        <v>16</v>
      </c>
      <c r="B2266" s="6" t="s">
        <v>121</v>
      </c>
      <c r="C2266" s="6" t="s">
        <v>152</v>
      </c>
      <c r="D2266" s="6" t="s">
        <v>153</v>
      </c>
      <c r="E2266" s="6" t="s">
        <v>1407</v>
      </c>
      <c r="F2266" s="6" t="s">
        <v>2037</v>
      </c>
      <c r="G2266" s="6">
        <v>44.21</v>
      </c>
      <c r="H2266" s="6">
        <v>44.21</v>
      </c>
      <c r="I2266" s="6">
        <v>85</v>
      </c>
      <c r="J2266" s="6">
        <v>1800</v>
      </c>
      <c r="K2266" s="7">
        <f>(J2266-M2266)*税费参数!$B$12/(I2266*10000*(1+SUM(税费参数!$B$6:$B$8)))</f>
        <v>0.0186939182452642</v>
      </c>
      <c r="L2266" s="7">
        <f>J2266*税费参数!$B$12/(I2266*10000)</f>
        <v>0.0211764705882353</v>
      </c>
      <c r="M2266" s="6">
        <f>I2266*10000*SUM(税费参数!$B$9:$B$10)/税费参数!$B$11</f>
        <v>159.375</v>
      </c>
    </row>
    <row r="2267" ht="21" customHeight="1" spans="1:13">
      <c r="A2267" s="5" t="s">
        <v>16</v>
      </c>
      <c r="B2267" s="6" t="s">
        <v>121</v>
      </c>
      <c r="C2267" s="6" t="s">
        <v>152</v>
      </c>
      <c r="D2267" s="6" t="s">
        <v>153</v>
      </c>
      <c r="E2267" s="6" t="s">
        <v>1407</v>
      </c>
      <c r="F2267" s="6" t="s">
        <v>2041</v>
      </c>
      <c r="G2267" s="6">
        <v>44.21</v>
      </c>
      <c r="H2267" s="6">
        <v>42.67</v>
      </c>
      <c r="I2267" s="6">
        <v>85</v>
      </c>
      <c r="J2267" s="6">
        <v>1650</v>
      </c>
      <c r="K2267" s="7">
        <f>(J2267-M2267)*税费参数!$B$12/(I2267*10000*(1+SUM(税费参数!$B$6:$B$8)))</f>
        <v>0.0169847600056972</v>
      </c>
      <c r="L2267" s="7">
        <f>J2267*税费参数!$B$12/(I2267*10000)</f>
        <v>0.0194117647058824</v>
      </c>
      <c r="M2267" s="6">
        <f>I2267*10000*SUM(税费参数!$B$9:$B$10)/税费参数!$B$11</f>
        <v>159.375</v>
      </c>
    </row>
    <row r="2268" ht="21" customHeight="1" spans="1:13">
      <c r="A2268" s="5" t="s">
        <v>16</v>
      </c>
      <c r="B2268" s="6" t="s">
        <v>121</v>
      </c>
      <c r="C2268" s="6" t="s">
        <v>152</v>
      </c>
      <c r="D2268" s="6" t="s">
        <v>153</v>
      </c>
      <c r="E2268" s="6" t="s">
        <v>1407</v>
      </c>
      <c r="F2268" s="6" t="s">
        <v>2039</v>
      </c>
      <c r="G2268" s="6">
        <v>44.21</v>
      </c>
      <c r="H2268" s="6">
        <v>47.94</v>
      </c>
      <c r="I2268" s="6">
        <v>85</v>
      </c>
      <c r="J2268" s="6">
        <v>1900</v>
      </c>
      <c r="K2268" s="7">
        <f>(J2268-M2268)*税费参数!$B$12/(I2268*10000*(1+SUM(税费参数!$B$6:$B$8)))</f>
        <v>0.0198333570716422</v>
      </c>
      <c r="L2268" s="7">
        <f>J2268*税费参数!$B$12/(I2268*10000)</f>
        <v>0.0223529411764706</v>
      </c>
      <c r="M2268" s="6">
        <f>I2268*10000*SUM(税费参数!$B$9:$B$10)/税费参数!$B$11</f>
        <v>159.375</v>
      </c>
    </row>
    <row r="2269" ht="21" customHeight="1" spans="1:13">
      <c r="A2269" s="5" t="s">
        <v>16</v>
      </c>
      <c r="B2269" s="6" t="s">
        <v>121</v>
      </c>
      <c r="C2269" s="6" t="s">
        <v>152</v>
      </c>
      <c r="D2269" s="6" t="s">
        <v>153</v>
      </c>
      <c r="E2269" s="6" t="s">
        <v>1409</v>
      </c>
      <c r="F2269" s="6" t="s">
        <v>2032</v>
      </c>
      <c r="G2269" s="6">
        <v>47.27</v>
      </c>
      <c r="H2269" s="6">
        <v>44.21</v>
      </c>
      <c r="I2269" s="6">
        <v>92</v>
      </c>
      <c r="J2269" s="6">
        <v>2000</v>
      </c>
      <c r="K2269" s="7">
        <f>(J2269-M2269)*税费参数!$B$12/(I2269*10000*(1+SUM(税费参数!$B$6:$B$8)))</f>
        <v>0.0192388672491841</v>
      </c>
      <c r="L2269" s="7">
        <f>J2269*税费参数!$B$12/(I2269*10000)</f>
        <v>0.0217391304347826</v>
      </c>
      <c r="M2269" s="6">
        <f>I2269*10000*SUM(税费参数!$B$9:$B$10)/税费参数!$B$11</f>
        <v>172.5</v>
      </c>
    </row>
    <row r="2270" ht="21" customHeight="1" spans="1:13">
      <c r="A2270" s="5" t="s">
        <v>16</v>
      </c>
      <c r="B2270" s="6" t="s">
        <v>121</v>
      </c>
      <c r="C2270" s="6" t="s">
        <v>152</v>
      </c>
      <c r="D2270" s="6" t="s">
        <v>153</v>
      </c>
      <c r="E2270" s="6" t="s">
        <v>1409</v>
      </c>
      <c r="F2270" s="6" t="s">
        <v>2033</v>
      </c>
      <c r="G2270" s="6">
        <v>47.27</v>
      </c>
      <c r="H2270" s="6">
        <v>44.21</v>
      </c>
      <c r="I2270" s="6">
        <v>92</v>
      </c>
      <c r="J2270" s="6">
        <v>1650</v>
      </c>
      <c r="K2270" s="7">
        <f>(J2270-M2270)*税费参数!$B$12/(I2270*10000*(1+SUM(税费参数!$B$6:$B$8)))</f>
        <v>0.0155542688704074</v>
      </c>
      <c r="L2270" s="7">
        <f>J2270*税费参数!$B$12/(I2270*10000)</f>
        <v>0.0179347826086957</v>
      </c>
      <c r="M2270" s="6">
        <f>I2270*10000*SUM(税费参数!$B$9:$B$10)/税费参数!$B$11</f>
        <v>172.5</v>
      </c>
    </row>
    <row r="2271" ht="21" customHeight="1" spans="1:13">
      <c r="A2271" s="5" t="s">
        <v>16</v>
      </c>
      <c r="B2271" s="6" t="s">
        <v>121</v>
      </c>
      <c r="C2271" s="6" t="s">
        <v>152</v>
      </c>
      <c r="D2271" s="6" t="s">
        <v>153</v>
      </c>
      <c r="E2271" s="6" t="s">
        <v>1409</v>
      </c>
      <c r="F2271" s="6" t="s">
        <v>2034</v>
      </c>
      <c r="G2271" s="6">
        <v>47.27</v>
      </c>
      <c r="H2271" s="6">
        <v>44.21</v>
      </c>
      <c r="I2271" s="6">
        <v>92</v>
      </c>
      <c r="J2271" s="6">
        <v>1700</v>
      </c>
      <c r="K2271" s="7">
        <f>(J2271-M2271)*税费参数!$B$12/(I2271*10000*(1+SUM(税费参数!$B$6:$B$8)))</f>
        <v>0.0160806400673755</v>
      </c>
      <c r="L2271" s="7">
        <f>J2271*税费参数!$B$12/(I2271*10000)</f>
        <v>0.0184782608695652</v>
      </c>
      <c r="M2271" s="6">
        <f>I2271*10000*SUM(税费参数!$B$9:$B$10)/税费参数!$B$11</f>
        <v>172.5</v>
      </c>
    </row>
    <row r="2272" ht="21" customHeight="1" spans="1:13">
      <c r="A2272" s="5" t="s">
        <v>16</v>
      </c>
      <c r="B2272" s="6" t="s">
        <v>121</v>
      </c>
      <c r="C2272" s="6" t="s">
        <v>152</v>
      </c>
      <c r="D2272" s="6" t="s">
        <v>153</v>
      </c>
      <c r="E2272" s="6" t="s">
        <v>1409</v>
      </c>
      <c r="F2272" s="6" t="s">
        <v>2035</v>
      </c>
      <c r="G2272" s="6">
        <v>47.27</v>
      </c>
      <c r="H2272" s="6">
        <v>44.21</v>
      </c>
      <c r="I2272" s="6">
        <v>92</v>
      </c>
      <c r="J2272" s="6">
        <v>1700</v>
      </c>
      <c r="K2272" s="7">
        <f>(J2272-M2272)*税费参数!$B$12/(I2272*10000*(1+SUM(税费参数!$B$6:$B$8)))</f>
        <v>0.0160806400673755</v>
      </c>
      <c r="L2272" s="7">
        <f>J2272*税费参数!$B$12/(I2272*10000)</f>
        <v>0.0184782608695652</v>
      </c>
      <c r="M2272" s="6">
        <f>I2272*10000*SUM(税费参数!$B$9:$B$10)/税费参数!$B$11</f>
        <v>172.5</v>
      </c>
    </row>
    <row r="2273" ht="21" customHeight="1" spans="1:13">
      <c r="A2273" s="5" t="s">
        <v>16</v>
      </c>
      <c r="B2273" s="6" t="s">
        <v>121</v>
      </c>
      <c r="C2273" s="6" t="s">
        <v>152</v>
      </c>
      <c r="D2273" s="6" t="s">
        <v>153</v>
      </c>
      <c r="E2273" s="6" t="s">
        <v>1409</v>
      </c>
      <c r="F2273" s="6" t="s">
        <v>2040</v>
      </c>
      <c r="G2273" s="6">
        <v>47.27</v>
      </c>
      <c r="H2273" s="6">
        <v>42.67</v>
      </c>
      <c r="I2273" s="6">
        <v>92</v>
      </c>
      <c r="J2273" s="6">
        <v>1700</v>
      </c>
      <c r="K2273" s="7">
        <f>(J2273-M2273)*税费参数!$B$12/(I2273*10000*(1+SUM(税费参数!$B$6:$B$8)))</f>
        <v>0.0160806400673755</v>
      </c>
      <c r="L2273" s="7">
        <f>J2273*税费参数!$B$12/(I2273*10000)</f>
        <v>0.0184782608695652</v>
      </c>
      <c r="M2273" s="6">
        <f>I2273*10000*SUM(税费参数!$B$9:$B$10)/税费参数!$B$11</f>
        <v>172.5</v>
      </c>
    </row>
    <row r="2274" ht="21" customHeight="1" spans="1:13">
      <c r="A2274" s="5" t="s">
        <v>16</v>
      </c>
      <c r="B2274" s="6" t="s">
        <v>121</v>
      </c>
      <c r="C2274" s="6" t="s">
        <v>152</v>
      </c>
      <c r="D2274" s="6" t="s">
        <v>153</v>
      </c>
      <c r="E2274" s="6" t="s">
        <v>1409</v>
      </c>
      <c r="F2274" s="6" t="s">
        <v>2036</v>
      </c>
      <c r="G2274" s="6">
        <v>47.27</v>
      </c>
      <c r="H2274" s="6">
        <v>44.21</v>
      </c>
      <c r="I2274" s="6">
        <v>92</v>
      </c>
      <c r="J2274" s="6">
        <v>1850</v>
      </c>
      <c r="K2274" s="7">
        <f>(J2274-M2274)*税费参数!$B$12/(I2274*10000*(1+SUM(税费参数!$B$6:$B$8)))</f>
        <v>0.0176597536582798</v>
      </c>
      <c r="L2274" s="7">
        <f>J2274*税费参数!$B$12/(I2274*10000)</f>
        <v>0.0201086956521739</v>
      </c>
      <c r="M2274" s="6">
        <f>I2274*10000*SUM(税费参数!$B$9:$B$10)/税费参数!$B$11</f>
        <v>172.5</v>
      </c>
    </row>
    <row r="2275" ht="21" customHeight="1" spans="1:13">
      <c r="A2275" s="5" t="s">
        <v>16</v>
      </c>
      <c r="B2275" s="6" t="s">
        <v>121</v>
      </c>
      <c r="C2275" s="6" t="s">
        <v>152</v>
      </c>
      <c r="D2275" s="6" t="s">
        <v>153</v>
      </c>
      <c r="E2275" s="6" t="s">
        <v>1409</v>
      </c>
      <c r="F2275" s="6" t="s">
        <v>2037</v>
      </c>
      <c r="G2275" s="6">
        <v>47.27</v>
      </c>
      <c r="H2275" s="6">
        <v>44.21</v>
      </c>
      <c r="I2275" s="6">
        <v>92</v>
      </c>
      <c r="J2275" s="6">
        <v>1800</v>
      </c>
      <c r="K2275" s="7">
        <f>(J2275-M2275)*税费参数!$B$12/(I2275*10000*(1+SUM(税费参数!$B$6:$B$8)))</f>
        <v>0.0171333824613117</v>
      </c>
      <c r="L2275" s="7">
        <f>J2275*税费参数!$B$12/(I2275*10000)</f>
        <v>0.0195652173913043</v>
      </c>
      <c r="M2275" s="6">
        <f>I2275*10000*SUM(税费参数!$B$9:$B$10)/税费参数!$B$11</f>
        <v>172.5</v>
      </c>
    </row>
    <row r="2276" ht="21" customHeight="1" spans="1:13">
      <c r="A2276" s="5" t="s">
        <v>16</v>
      </c>
      <c r="B2276" s="6" t="s">
        <v>121</v>
      </c>
      <c r="C2276" s="6" t="s">
        <v>152</v>
      </c>
      <c r="D2276" s="6" t="s">
        <v>153</v>
      </c>
      <c r="E2276" s="6" t="s">
        <v>1409</v>
      </c>
      <c r="F2276" s="6" t="s">
        <v>2041</v>
      </c>
      <c r="G2276" s="6">
        <v>47.27</v>
      </c>
      <c r="H2276" s="6">
        <v>42.67</v>
      </c>
      <c r="I2276" s="6">
        <v>92</v>
      </c>
      <c r="J2276" s="6">
        <v>1650</v>
      </c>
      <c r="K2276" s="7">
        <f>(J2276-M2276)*税费参数!$B$12/(I2276*10000*(1+SUM(税费参数!$B$6:$B$8)))</f>
        <v>0.0155542688704074</v>
      </c>
      <c r="L2276" s="7">
        <f>J2276*税费参数!$B$12/(I2276*10000)</f>
        <v>0.0179347826086957</v>
      </c>
      <c r="M2276" s="6">
        <f>I2276*10000*SUM(税费参数!$B$9:$B$10)/税费参数!$B$11</f>
        <v>172.5</v>
      </c>
    </row>
    <row r="2277" ht="21" customHeight="1" spans="1:13">
      <c r="A2277" s="5" t="s">
        <v>16</v>
      </c>
      <c r="B2277" s="6" t="s">
        <v>121</v>
      </c>
      <c r="C2277" s="6" t="s">
        <v>152</v>
      </c>
      <c r="D2277" s="6" t="s">
        <v>153</v>
      </c>
      <c r="E2277" s="6" t="s">
        <v>1409</v>
      </c>
      <c r="F2277" s="6" t="s">
        <v>2039</v>
      </c>
      <c r="G2277" s="6">
        <v>47.27</v>
      </c>
      <c r="H2277" s="6">
        <v>47.94</v>
      </c>
      <c r="I2277" s="6">
        <v>92</v>
      </c>
      <c r="J2277" s="6">
        <v>1900</v>
      </c>
      <c r="K2277" s="7">
        <f>(J2277-M2277)*税费参数!$B$12/(I2277*10000*(1+SUM(税费参数!$B$6:$B$8)))</f>
        <v>0.0181861248552479</v>
      </c>
      <c r="L2277" s="7">
        <f>J2277*税费参数!$B$12/(I2277*10000)</f>
        <v>0.0206521739130435</v>
      </c>
      <c r="M2277" s="6">
        <f>I2277*10000*SUM(税费参数!$B$9:$B$10)/税费参数!$B$11</f>
        <v>172.5</v>
      </c>
    </row>
    <row r="2278" ht="21" customHeight="1" spans="1:13">
      <c r="A2278" s="5" t="s">
        <v>16</v>
      </c>
      <c r="B2278" s="6" t="s">
        <v>121</v>
      </c>
      <c r="C2278" s="6" t="s">
        <v>152</v>
      </c>
      <c r="D2278" s="6" t="s">
        <v>153</v>
      </c>
      <c r="E2278" s="6" t="s">
        <v>1417</v>
      </c>
      <c r="F2278" s="6" t="s">
        <v>2032</v>
      </c>
      <c r="G2278" s="6">
        <v>49.13</v>
      </c>
      <c r="H2278" s="6">
        <v>44.21</v>
      </c>
      <c r="I2278" s="6">
        <v>100</v>
      </c>
      <c r="J2278" s="6">
        <v>2000</v>
      </c>
      <c r="K2278" s="7">
        <f>(J2278-M2278)*税费参数!$B$12/(I2278*10000*(1+SUM(税费参数!$B$6:$B$8)))</f>
        <v>0.0175544794188862</v>
      </c>
      <c r="L2278" s="7">
        <f>J2278*税费参数!$B$12/(I2278*10000)</f>
        <v>0.02</v>
      </c>
      <c r="M2278" s="6">
        <f>I2278*10000*SUM(税费参数!$B$9:$B$10)/税费参数!$B$11</f>
        <v>187.5</v>
      </c>
    </row>
    <row r="2279" ht="21" customHeight="1" spans="1:13">
      <c r="A2279" s="5" t="s">
        <v>16</v>
      </c>
      <c r="B2279" s="6" t="s">
        <v>121</v>
      </c>
      <c r="C2279" s="6" t="s">
        <v>152</v>
      </c>
      <c r="D2279" s="6" t="s">
        <v>153</v>
      </c>
      <c r="E2279" s="6" t="s">
        <v>1417</v>
      </c>
      <c r="F2279" s="6" t="s">
        <v>2033</v>
      </c>
      <c r="G2279" s="6">
        <v>49.13</v>
      </c>
      <c r="H2279" s="6">
        <v>44.21</v>
      </c>
      <c r="I2279" s="6">
        <v>100</v>
      </c>
      <c r="J2279" s="6">
        <v>1650</v>
      </c>
      <c r="K2279" s="7">
        <f>(J2279-M2279)*税费参数!$B$12/(I2279*10000*(1+SUM(税费参数!$B$6:$B$8)))</f>
        <v>0.0141646489104116</v>
      </c>
      <c r="L2279" s="7">
        <f>J2279*税费参数!$B$12/(I2279*10000)</f>
        <v>0.0165</v>
      </c>
      <c r="M2279" s="6">
        <f>I2279*10000*SUM(税费参数!$B$9:$B$10)/税费参数!$B$11</f>
        <v>187.5</v>
      </c>
    </row>
    <row r="2280" ht="21" customHeight="1" spans="1:13">
      <c r="A2280" s="5" t="s">
        <v>16</v>
      </c>
      <c r="B2280" s="6" t="s">
        <v>121</v>
      </c>
      <c r="C2280" s="6" t="s">
        <v>152</v>
      </c>
      <c r="D2280" s="6" t="s">
        <v>153</v>
      </c>
      <c r="E2280" s="6" t="s">
        <v>1417</v>
      </c>
      <c r="F2280" s="6" t="s">
        <v>2034</v>
      </c>
      <c r="G2280" s="6">
        <v>49.13</v>
      </c>
      <c r="H2280" s="6">
        <v>44.21</v>
      </c>
      <c r="I2280" s="6">
        <v>100</v>
      </c>
      <c r="J2280" s="6">
        <v>1700</v>
      </c>
      <c r="K2280" s="7">
        <f>(J2280-M2280)*税费参数!$B$12/(I2280*10000*(1+SUM(税费参数!$B$6:$B$8)))</f>
        <v>0.0146489104116223</v>
      </c>
      <c r="L2280" s="7">
        <f>J2280*税费参数!$B$12/(I2280*10000)</f>
        <v>0.017</v>
      </c>
      <c r="M2280" s="6">
        <f>I2280*10000*SUM(税费参数!$B$9:$B$10)/税费参数!$B$11</f>
        <v>187.5</v>
      </c>
    </row>
    <row r="2281" ht="21" customHeight="1" spans="1:13">
      <c r="A2281" s="5" t="s">
        <v>16</v>
      </c>
      <c r="B2281" s="6" t="s">
        <v>121</v>
      </c>
      <c r="C2281" s="6" t="s">
        <v>152</v>
      </c>
      <c r="D2281" s="6" t="s">
        <v>153</v>
      </c>
      <c r="E2281" s="6" t="s">
        <v>1417</v>
      </c>
      <c r="F2281" s="6" t="s">
        <v>2035</v>
      </c>
      <c r="G2281" s="6">
        <v>49.13</v>
      </c>
      <c r="H2281" s="6">
        <v>44.21</v>
      </c>
      <c r="I2281" s="6">
        <v>100</v>
      </c>
      <c r="J2281" s="6">
        <v>1700</v>
      </c>
      <c r="K2281" s="7">
        <f>(J2281-M2281)*税费参数!$B$12/(I2281*10000*(1+SUM(税费参数!$B$6:$B$8)))</f>
        <v>0.0146489104116223</v>
      </c>
      <c r="L2281" s="7">
        <f>J2281*税费参数!$B$12/(I2281*10000)</f>
        <v>0.017</v>
      </c>
      <c r="M2281" s="6">
        <f>I2281*10000*SUM(税费参数!$B$9:$B$10)/税费参数!$B$11</f>
        <v>187.5</v>
      </c>
    </row>
    <row r="2282" ht="21" customHeight="1" spans="1:13">
      <c r="A2282" s="5" t="s">
        <v>16</v>
      </c>
      <c r="B2282" s="6" t="s">
        <v>121</v>
      </c>
      <c r="C2282" s="6" t="s">
        <v>152</v>
      </c>
      <c r="D2282" s="6" t="s">
        <v>153</v>
      </c>
      <c r="E2282" s="6" t="s">
        <v>1417</v>
      </c>
      <c r="F2282" s="6" t="s">
        <v>2040</v>
      </c>
      <c r="G2282" s="6">
        <v>49.13</v>
      </c>
      <c r="H2282" s="6">
        <v>42.67</v>
      </c>
      <c r="I2282" s="6">
        <v>100</v>
      </c>
      <c r="J2282" s="6">
        <v>1700</v>
      </c>
      <c r="K2282" s="7">
        <f>(J2282-M2282)*税费参数!$B$12/(I2282*10000*(1+SUM(税费参数!$B$6:$B$8)))</f>
        <v>0.0146489104116223</v>
      </c>
      <c r="L2282" s="7">
        <f>J2282*税费参数!$B$12/(I2282*10000)</f>
        <v>0.017</v>
      </c>
      <c r="M2282" s="6">
        <f>I2282*10000*SUM(税费参数!$B$9:$B$10)/税费参数!$B$11</f>
        <v>187.5</v>
      </c>
    </row>
    <row r="2283" ht="21" customHeight="1" spans="1:13">
      <c r="A2283" s="5" t="s">
        <v>16</v>
      </c>
      <c r="B2283" s="6" t="s">
        <v>121</v>
      </c>
      <c r="C2283" s="6" t="s">
        <v>152</v>
      </c>
      <c r="D2283" s="6" t="s">
        <v>153</v>
      </c>
      <c r="E2283" s="6" t="s">
        <v>1417</v>
      </c>
      <c r="F2283" s="6" t="s">
        <v>2036</v>
      </c>
      <c r="G2283" s="6">
        <v>49.13</v>
      </c>
      <c r="H2283" s="6">
        <v>44.21</v>
      </c>
      <c r="I2283" s="6">
        <v>100</v>
      </c>
      <c r="J2283" s="6">
        <v>1850</v>
      </c>
      <c r="K2283" s="7">
        <f>(J2283-M2283)*税费参数!$B$12/(I2283*10000*(1+SUM(税费参数!$B$6:$B$8)))</f>
        <v>0.0161016949152542</v>
      </c>
      <c r="L2283" s="7">
        <f>J2283*税费参数!$B$12/(I2283*10000)</f>
        <v>0.0185</v>
      </c>
      <c r="M2283" s="6">
        <f>I2283*10000*SUM(税费参数!$B$9:$B$10)/税费参数!$B$11</f>
        <v>187.5</v>
      </c>
    </row>
    <row r="2284" ht="21" customHeight="1" spans="1:13">
      <c r="A2284" s="5" t="s">
        <v>16</v>
      </c>
      <c r="B2284" s="6" t="s">
        <v>121</v>
      </c>
      <c r="C2284" s="6" t="s">
        <v>152</v>
      </c>
      <c r="D2284" s="6" t="s">
        <v>153</v>
      </c>
      <c r="E2284" s="6" t="s">
        <v>1417</v>
      </c>
      <c r="F2284" s="6" t="s">
        <v>2037</v>
      </c>
      <c r="G2284" s="6">
        <v>49.13</v>
      </c>
      <c r="H2284" s="6">
        <v>44.21</v>
      </c>
      <c r="I2284" s="6">
        <v>100</v>
      </c>
      <c r="J2284" s="6">
        <v>1800</v>
      </c>
      <c r="K2284" s="7">
        <f>(J2284-M2284)*税费参数!$B$12/(I2284*10000*(1+SUM(税费参数!$B$6:$B$8)))</f>
        <v>0.0156174334140436</v>
      </c>
      <c r="L2284" s="7">
        <f>J2284*税费参数!$B$12/(I2284*10000)</f>
        <v>0.018</v>
      </c>
      <c r="M2284" s="6">
        <f>I2284*10000*SUM(税费参数!$B$9:$B$10)/税费参数!$B$11</f>
        <v>187.5</v>
      </c>
    </row>
    <row r="2285" ht="21" customHeight="1" spans="1:13">
      <c r="A2285" s="5" t="s">
        <v>16</v>
      </c>
      <c r="B2285" s="6" t="s">
        <v>121</v>
      </c>
      <c r="C2285" s="6" t="s">
        <v>152</v>
      </c>
      <c r="D2285" s="6" t="s">
        <v>153</v>
      </c>
      <c r="E2285" s="6" t="s">
        <v>1417</v>
      </c>
      <c r="F2285" s="6" t="s">
        <v>2041</v>
      </c>
      <c r="G2285" s="6">
        <v>49.13</v>
      </c>
      <c r="H2285" s="6">
        <v>42.67</v>
      </c>
      <c r="I2285" s="6">
        <v>100</v>
      </c>
      <c r="J2285" s="6">
        <v>1650</v>
      </c>
      <c r="K2285" s="7">
        <f>(J2285-M2285)*税费参数!$B$12/(I2285*10000*(1+SUM(税费参数!$B$6:$B$8)))</f>
        <v>0.0141646489104116</v>
      </c>
      <c r="L2285" s="7">
        <f>J2285*税费参数!$B$12/(I2285*10000)</f>
        <v>0.0165</v>
      </c>
      <c r="M2285" s="6">
        <f>I2285*10000*SUM(税费参数!$B$9:$B$10)/税费参数!$B$11</f>
        <v>187.5</v>
      </c>
    </row>
    <row r="2286" ht="21" customHeight="1" spans="1:13">
      <c r="A2286" s="5" t="s">
        <v>16</v>
      </c>
      <c r="B2286" s="6" t="s">
        <v>121</v>
      </c>
      <c r="C2286" s="6" t="s">
        <v>152</v>
      </c>
      <c r="D2286" s="6" t="s">
        <v>153</v>
      </c>
      <c r="E2286" s="6" t="s">
        <v>1417</v>
      </c>
      <c r="F2286" s="6" t="s">
        <v>2039</v>
      </c>
      <c r="G2286" s="6">
        <v>49.13</v>
      </c>
      <c r="H2286" s="6">
        <v>47.94</v>
      </c>
      <c r="I2286" s="6">
        <v>100</v>
      </c>
      <c r="J2286" s="6">
        <v>1900</v>
      </c>
      <c r="K2286" s="7">
        <f>(J2286-M2286)*税费参数!$B$12/(I2286*10000*(1+SUM(税费参数!$B$6:$B$8)))</f>
        <v>0.0165859564164649</v>
      </c>
      <c r="L2286" s="7">
        <f>J2286*税费参数!$B$12/(I2286*10000)</f>
        <v>0.019</v>
      </c>
      <c r="M2286" s="6">
        <f>I2286*10000*SUM(税费参数!$B$9:$B$10)/税费参数!$B$11</f>
        <v>187.5</v>
      </c>
    </row>
    <row r="2287" ht="21" customHeight="1" spans="1:13">
      <c r="A2287" s="5" t="s">
        <v>16</v>
      </c>
      <c r="B2287" s="6" t="s">
        <v>121</v>
      </c>
      <c r="C2287" s="6" t="s">
        <v>152</v>
      </c>
      <c r="D2287" s="6" t="s">
        <v>153</v>
      </c>
      <c r="E2287" s="6" t="s">
        <v>1413</v>
      </c>
      <c r="F2287" s="6" t="s">
        <v>2032</v>
      </c>
      <c r="G2287" s="6">
        <v>44.21</v>
      </c>
      <c r="H2287" s="6">
        <v>44.21</v>
      </c>
      <c r="I2287" s="6">
        <v>99</v>
      </c>
      <c r="J2287" s="6">
        <v>2000</v>
      </c>
      <c r="K2287" s="7">
        <f>(J2287-M2287)*税费参数!$B$12/(I2287*10000*(1+SUM(税费参数!$B$6:$B$8)))</f>
        <v>0.0177501406314966</v>
      </c>
      <c r="L2287" s="7">
        <f>J2287*税费参数!$B$12/(I2287*10000)</f>
        <v>0.0202020202020202</v>
      </c>
      <c r="M2287" s="6">
        <f>I2287*10000*SUM(税费参数!$B$9:$B$10)/税费参数!$B$11</f>
        <v>185.625</v>
      </c>
    </row>
    <row r="2288" ht="21" customHeight="1" spans="1:13">
      <c r="A2288" s="5" t="s">
        <v>16</v>
      </c>
      <c r="B2288" s="6" t="s">
        <v>121</v>
      </c>
      <c r="C2288" s="6" t="s">
        <v>152</v>
      </c>
      <c r="D2288" s="6" t="s">
        <v>153</v>
      </c>
      <c r="E2288" s="6" t="s">
        <v>1413</v>
      </c>
      <c r="F2288" s="6" t="s">
        <v>2033</v>
      </c>
      <c r="G2288" s="6">
        <v>44.21</v>
      </c>
      <c r="H2288" s="6">
        <v>44.21</v>
      </c>
      <c r="I2288" s="6">
        <v>99</v>
      </c>
      <c r="J2288" s="6">
        <v>1650</v>
      </c>
      <c r="K2288" s="7">
        <f>(J2288-M2288)*税费参数!$B$12/(I2288*10000*(1+SUM(税费参数!$B$6:$B$8)))</f>
        <v>0.0143260694108152</v>
      </c>
      <c r="L2288" s="7">
        <f>J2288*税费参数!$B$12/(I2288*10000)</f>
        <v>0.0166666666666667</v>
      </c>
      <c r="M2288" s="6">
        <f>I2288*10000*SUM(税费参数!$B$9:$B$10)/税费参数!$B$11</f>
        <v>185.625</v>
      </c>
    </row>
    <row r="2289" ht="21" customHeight="1" spans="1:13">
      <c r="A2289" s="5" t="s">
        <v>16</v>
      </c>
      <c r="B2289" s="6" t="s">
        <v>121</v>
      </c>
      <c r="C2289" s="6" t="s">
        <v>152</v>
      </c>
      <c r="D2289" s="6" t="s">
        <v>153</v>
      </c>
      <c r="E2289" s="6" t="s">
        <v>1413</v>
      </c>
      <c r="F2289" s="6" t="s">
        <v>2034</v>
      </c>
      <c r="G2289" s="6">
        <v>44.21</v>
      </c>
      <c r="H2289" s="6">
        <v>44.21</v>
      </c>
      <c r="I2289" s="6">
        <v>99</v>
      </c>
      <c r="J2289" s="6">
        <v>1700</v>
      </c>
      <c r="K2289" s="7">
        <f>(J2289-M2289)*税费参数!$B$12/(I2289*10000*(1+SUM(税费参数!$B$6:$B$8)))</f>
        <v>0.0148152224423411</v>
      </c>
      <c r="L2289" s="7">
        <f>J2289*税费参数!$B$12/(I2289*10000)</f>
        <v>0.0171717171717172</v>
      </c>
      <c r="M2289" s="6">
        <f>I2289*10000*SUM(税费参数!$B$9:$B$10)/税费参数!$B$11</f>
        <v>185.625</v>
      </c>
    </row>
    <row r="2290" ht="21" customHeight="1" spans="1:13">
      <c r="A2290" s="5" t="s">
        <v>16</v>
      </c>
      <c r="B2290" s="6" t="s">
        <v>121</v>
      </c>
      <c r="C2290" s="6" t="s">
        <v>152</v>
      </c>
      <c r="D2290" s="6" t="s">
        <v>153</v>
      </c>
      <c r="E2290" s="6" t="s">
        <v>1413</v>
      </c>
      <c r="F2290" s="6" t="s">
        <v>2035</v>
      </c>
      <c r="G2290" s="6">
        <v>44.21</v>
      </c>
      <c r="H2290" s="6">
        <v>44.21</v>
      </c>
      <c r="I2290" s="6">
        <v>99</v>
      </c>
      <c r="J2290" s="6">
        <v>1700</v>
      </c>
      <c r="K2290" s="7">
        <f>(J2290-M2290)*税费参数!$B$12/(I2290*10000*(1+SUM(税费参数!$B$6:$B$8)))</f>
        <v>0.0148152224423411</v>
      </c>
      <c r="L2290" s="7">
        <f>J2290*税费参数!$B$12/(I2290*10000)</f>
        <v>0.0171717171717172</v>
      </c>
      <c r="M2290" s="6">
        <f>I2290*10000*SUM(税费参数!$B$9:$B$10)/税费参数!$B$11</f>
        <v>185.625</v>
      </c>
    </row>
    <row r="2291" ht="21" customHeight="1" spans="1:13">
      <c r="A2291" s="5" t="s">
        <v>16</v>
      </c>
      <c r="B2291" s="6" t="s">
        <v>121</v>
      </c>
      <c r="C2291" s="6" t="s">
        <v>152</v>
      </c>
      <c r="D2291" s="6" t="s">
        <v>153</v>
      </c>
      <c r="E2291" s="6" t="s">
        <v>1413</v>
      </c>
      <c r="F2291" s="6" t="s">
        <v>2040</v>
      </c>
      <c r="G2291" s="6">
        <v>44.21</v>
      </c>
      <c r="H2291" s="6">
        <v>42.67</v>
      </c>
      <c r="I2291" s="6">
        <v>99</v>
      </c>
      <c r="J2291" s="6">
        <v>1700</v>
      </c>
      <c r="K2291" s="7">
        <f>(J2291-M2291)*税费参数!$B$12/(I2291*10000*(1+SUM(税费参数!$B$6:$B$8)))</f>
        <v>0.0148152224423411</v>
      </c>
      <c r="L2291" s="7">
        <f>J2291*税费参数!$B$12/(I2291*10000)</f>
        <v>0.0171717171717172</v>
      </c>
      <c r="M2291" s="6">
        <f>I2291*10000*SUM(税费参数!$B$9:$B$10)/税费参数!$B$11</f>
        <v>185.625</v>
      </c>
    </row>
    <row r="2292" ht="21" customHeight="1" spans="1:13">
      <c r="A2292" s="5" t="s">
        <v>16</v>
      </c>
      <c r="B2292" s="6" t="s">
        <v>121</v>
      </c>
      <c r="C2292" s="6" t="s">
        <v>152</v>
      </c>
      <c r="D2292" s="6" t="s">
        <v>153</v>
      </c>
      <c r="E2292" s="6" t="s">
        <v>1413</v>
      </c>
      <c r="F2292" s="6" t="s">
        <v>2036</v>
      </c>
      <c r="G2292" s="6">
        <v>44.21</v>
      </c>
      <c r="H2292" s="6">
        <v>44.21</v>
      </c>
      <c r="I2292" s="6">
        <v>99</v>
      </c>
      <c r="J2292" s="6">
        <v>1850</v>
      </c>
      <c r="K2292" s="7">
        <f>(J2292-M2292)*税费参数!$B$12/(I2292*10000*(1+SUM(税费参数!$B$6:$B$8)))</f>
        <v>0.0162826815369188</v>
      </c>
      <c r="L2292" s="7">
        <f>J2292*税费参数!$B$12/(I2292*10000)</f>
        <v>0.0186868686868687</v>
      </c>
      <c r="M2292" s="6">
        <f>I2292*10000*SUM(税费参数!$B$9:$B$10)/税费参数!$B$11</f>
        <v>185.625</v>
      </c>
    </row>
    <row r="2293" ht="21" customHeight="1" spans="1:13">
      <c r="A2293" s="5" t="s">
        <v>16</v>
      </c>
      <c r="B2293" s="6" t="s">
        <v>121</v>
      </c>
      <c r="C2293" s="6" t="s">
        <v>152</v>
      </c>
      <c r="D2293" s="6" t="s">
        <v>153</v>
      </c>
      <c r="E2293" s="6" t="s">
        <v>1413</v>
      </c>
      <c r="F2293" s="6" t="s">
        <v>2037</v>
      </c>
      <c r="G2293" s="6">
        <v>44.21</v>
      </c>
      <c r="H2293" s="6">
        <v>44.21</v>
      </c>
      <c r="I2293" s="6">
        <v>99</v>
      </c>
      <c r="J2293" s="6">
        <v>1800</v>
      </c>
      <c r="K2293" s="7">
        <f>(J2293-M2293)*税费参数!$B$12/(I2293*10000*(1+SUM(税费参数!$B$6:$B$8)))</f>
        <v>0.0157935285053929</v>
      </c>
      <c r="L2293" s="7">
        <f>J2293*税费参数!$B$12/(I2293*10000)</f>
        <v>0.0181818181818182</v>
      </c>
      <c r="M2293" s="6">
        <f>I2293*10000*SUM(税费参数!$B$9:$B$10)/税费参数!$B$11</f>
        <v>185.625</v>
      </c>
    </row>
    <row r="2294" ht="21" customHeight="1" spans="1:13">
      <c r="A2294" s="5" t="s">
        <v>16</v>
      </c>
      <c r="B2294" s="6" t="s">
        <v>121</v>
      </c>
      <c r="C2294" s="6" t="s">
        <v>152</v>
      </c>
      <c r="D2294" s="6" t="s">
        <v>153</v>
      </c>
      <c r="E2294" s="6" t="s">
        <v>1413</v>
      </c>
      <c r="F2294" s="6" t="s">
        <v>2041</v>
      </c>
      <c r="G2294" s="6">
        <v>44.21</v>
      </c>
      <c r="H2294" s="6">
        <v>42.67</v>
      </c>
      <c r="I2294" s="6">
        <v>99</v>
      </c>
      <c r="J2294" s="6">
        <v>1650</v>
      </c>
      <c r="K2294" s="7">
        <f>(J2294-M2294)*税费参数!$B$12/(I2294*10000*(1+SUM(税费参数!$B$6:$B$8)))</f>
        <v>0.0143260694108152</v>
      </c>
      <c r="L2294" s="7">
        <f>J2294*税费参数!$B$12/(I2294*10000)</f>
        <v>0.0166666666666667</v>
      </c>
      <c r="M2294" s="6">
        <f>I2294*10000*SUM(税费参数!$B$9:$B$10)/税费参数!$B$11</f>
        <v>185.625</v>
      </c>
    </row>
    <row r="2295" ht="21" customHeight="1" spans="1:13">
      <c r="A2295" s="5" t="s">
        <v>16</v>
      </c>
      <c r="B2295" s="6" t="s">
        <v>121</v>
      </c>
      <c r="C2295" s="6" t="s">
        <v>152</v>
      </c>
      <c r="D2295" s="6" t="s">
        <v>153</v>
      </c>
      <c r="E2295" s="6" t="s">
        <v>1413</v>
      </c>
      <c r="F2295" s="6" t="s">
        <v>2039</v>
      </c>
      <c r="G2295" s="6">
        <v>44.21</v>
      </c>
      <c r="H2295" s="6">
        <v>47.94</v>
      </c>
      <c r="I2295" s="6">
        <v>99</v>
      </c>
      <c r="J2295" s="6">
        <v>1900</v>
      </c>
      <c r="K2295" s="7">
        <f>(J2295-M2295)*税费参数!$B$12/(I2295*10000*(1+SUM(税费参数!$B$6:$B$8)))</f>
        <v>0.0167718345684447</v>
      </c>
      <c r="L2295" s="7">
        <f>J2295*税费参数!$B$12/(I2295*10000)</f>
        <v>0.0191919191919192</v>
      </c>
      <c r="M2295" s="6">
        <f>I2295*10000*SUM(税费参数!$B$9:$B$10)/税费参数!$B$11</f>
        <v>185.625</v>
      </c>
    </row>
    <row r="2296" ht="21" customHeight="1" spans="1:13">
      <c r="A2296" s="5" t="s">
        <v>16</v>
      </c>
      <c r="B2296" s="6" t="s">
        <v>121</v>
      </c>
      <c r="C2296" s="6" t="s">
        <v>152</v>
      </c>
      <c r="D2296" s="6" t="s">
        <v>153</v>
      </c>
      <c r="E2296" s="6" t="s">
        <v>1405</v>
      </c>
      <c r="F2296" s="6" t="s">
        <v>2032</v>
      </c>
      <c r="G2296" s="6">
        <v>45.39</v>
      </c>
      <c r="H2296" s="6">
        <v>44.21</v>
      </c>
      <c r="I2296" s="6">
        <v>114</v>
      </c>
      <c r="J2296" s="6">
        <v>2000</v>
      </c>
      <c r="K2296" s="7">
        <f>(J2296-M2296)*税费参数!$B$12/(I2296*10000*(1+SUM(税费参数!$B$6:$B$8)))</f>
        <v>0.0151756509918865</v>
      </c>
      <c r="L2296" s="7">
        <f>J2296*税费参数!$B$12/(I2296*10000)</f>
        <v>0.0175438596491228</v>
      </c>
      <c r="M2296" s="6">
        <f>I2296*10000*SUM(税费参数!$B$9:$B$10)/税费参数!$B$11</f>
        <v>213.75</v>
      </c>
    </row>
    <row r="2297" ht="21" customHeight="1" spans="1:13">
      <c r="A2297" s="5" t="s">
        <v>16</v>
      </c>
      <c r="B2297" s="6" t="s">
        <v>121</v>
      </c>
      <c r="C2297" s="6" t="s">
        <v>152</v>
      </c>
      <c r="D2297" s="6" t="s">
        <v>153</v>
      </c>
      <c r="E2297" s="6" t="s">
        <v>1405</v>
      </c>
      <c r="F2297" s="6" t="s">
        <v>2033</v>
      </c>
      <c r="G2297" s="6">
        <v>45.39</v>
      </c>
      <c r="H2297" s="6">
        <v>44.21</v>
      </c>
      <c r="I2297" s="6">
        <v>114</v>
      </c>
      <c r="J2297" s="6">
        <v>1650</v>
      </c>
      <c r="K2297" s="7">
        <f>(J2297-M2297)*税费参数!$B$12/(I2297*10000*(1+SUM(税费参数!$B$6:$B$8)))</f>
        <v>0.0122021154581369</v>
      </c>
      <c r="L2297" s="7">
        <f>J2297*税费参数!$B$12/(I2297*10000)</f>
        <v>0.0144736842105263</v>
      </c>
      <c r="M2297" s="6">
        <f>I2297*10000*SUM(税费参数!$B$9:$B$10)/税费参数!$B$11</f>
        <v>213.75</v>
      </c>
    </row>
    <row r="2298" ht="21" customHeight="1" spans="1:13">
      <c r="A2298" s="5" t="s">
        <v>16</v>
      </c>
      <c r="B2298" s="6" t="s">
        <v>121</v>
      </c>
      <c r="C2298" s="6" t="s">
        <v>152</v>
      </c>
      <c r="D2298" s="6" t="s">
        <v>153</v>
      </c>
      <c r="E2298" s="6" t="s">
        <v>1405</v>
      </c>
      <c r="F2298" s="6" t="s">
        <v>2034</v>
      </c>
      <c r="G2298" s="6">
        <v>45.39</v>
      </c>
      <c r="H2298" s="6">
        <v>44.21</v>
      </c>
      <c r="I2298" s="6">
        <v>114</v>
      </c>
      <c r="J2298" s="6">
        <v>1700</v>
      </c>
      <c r="K2298" s="7">
        <f>(J2298-M2298)*税费参数!$B$12/(I2298*10000*(1+SUM(税费参数!$B$6:$B$8)))</f>
        <v>0.0126269062486725</v>
      </c>
      <c r="L2298" s="7">
        <f>J2298*税费参数!$B$12/(I2298*10000)</f>
        <v>0.0149122807017544</v>
      </c>
      <c r="M2298" s="6">
        <f>I2298*10000*SUM(税费参数!$B$9:$B$10)/税费参数!$B$11</f>
        <v>213.75</v>
      </c>
    </row>
    <row r="2299" ht="21" customHeight="1" spans="1:13">
      <c r="A2299" s="5" t="s">
        <v>16</v>
      </c>
      <c r="B2299" s="6" t="s">
        <v>121</v>
      </c>
      <c r="C2299" s="6" t="s">
        <v>152</v>
      </c>
      <c r="D2299" s="6" t="s">
        <v>153</v>
      </c>
      <c r="E2299" s="6" t="s">
        <v>1405</v>
      </c>
      <c r="F2299" s="6" t="s">
        <v>2035</v>
      </c>
      <c r="G2299" s="6">
        <v>45.39</v>
      </c>
      <c r="H2299" s="6">
        <v>44.21</v>
      </c>
      <c r="I2299" s="6">
        <v>114</v>
      </c>
      <c r="J2299" s="6">
        <v>1700</v>
      </c>
      <c r="K2299" s="7">
        <f>(J2299-M2299)*税费参数!$B$12/(I2299*10000*(1+SUM(税费参数!$B$6:$B$8)))</f>
        <v>0.0126269062486725</v>
      </c>
      <c r="L2299" s="7">
        <f>J2299*税费参数!$B$12/(I2299*10000)</f>
        <v>0.0149122807017544</v>
      </c>
      <c r="M2299" s="6">
        <f>I2299*10000*SUM(税费参数!$B$9:$B$10)/税费参数!$B$11</f>
        <v>213.75</v>
      </c>
    </row>
    <row r="2300" ht="21" customHeight="1" spans="1:13">
      <c r="A2300" s="5" t="s">
        <v>16</v>
      </c>
      <c r="B2300" s="6" t="s">
        <v>121</v>
      </c>
      <c r="C2300" s="6" t="s">
        <v>152</v>
      </c>
      <c r="D2300" s="6" t="s">
        <v>153</v>
      </c>
      <c r="E2300" s="6" t="s">
        <v>1405</v>
      </c>
      <c r="F2300" s="6" t="s">
        <v>2040</v>
      </c>
      <c r="G2300" s="6">
        <v>45.39</v>
      </c>
      <c r="H2300" s="6">
        <v>42.67</v>
      </c>
      <c r="I2300" s="6">
        <v>114</v>
      </c>
      <c r="J2300" s="6">
        <v>1700</v>
      </c>
      <c r="K2300" s="7">
        <f>(J2300-M2300)*税费参数!$B$12/(I2300*10000*(1+SUM(税费参数!$B$6:$B$8)))</f>
        <v>0.0126269062486725</v>
      </c>
      <c r="L2300" s="7">
        <f>J2300*税费参数!$B$12/(I2300*10000)</f>
        <v>0.0149122807017544</v>
      </c>
      <c r="M2300" s="6">
        <f>I2300*10000*SUM(税费参数!$B$9:$B$10)/税费参数!$B$11</f>
        <v>213.75</v>
      </c>
    </row>
    <row r="2301" ht="21" customHeight="1" spans="1:13">
      <c r="A2301" s="5" t="s">
        <v>16</v>
      </c>
      <c r="B2301" s="6" t="s">
        <v>121</v>
      </c>
      <c r="C2301" s="6" t="s">
        <v>152</v>
      </c>
      <c r="D2301" s="6" t="s">
        <v>153</v>
      </c>
      <c r="E2301" s="6" t="s">
        <v>1405</v>
      </c>
      <c r="F2301" s="6" t="s">
        <v>2036</v>
      </c>
      <c r="G2301" s="6">
        <v>45.39</v>
      </c>
      <c r="H2301" s="6">
        <v>44.21</v>
      </c>
      <c r="I2301" s="6">
        <v>114</v>
      </c>
      <c r="J2301" s="6">
        <v>1850</v>
      </c>
      <c r="K2301" s="7">
        <f>(J2301-M2301)*税费参数!$B$12/(I2301*10000*(1+SUM(税费参数!$B$6:$B$8)))</f>
        <v>0.0139012786202795</v>
      </c>
      <c r="L2301" s="7">
        <f>J2301*税费参数!$B$12/(I2301*10000)</f>
        <v>0.0162280701754386</v>
      </c>
      <c r="M2301" s="6">
        <f>I2301*10000*SUM(税费参数!$B$9:$B$10)/税费参数!$B$11</f>
        <v>213.75</v>
      </c>
    </row>
    <row r="2302" ht="21" customHeight="1" spans="1:13">
      <c r="A2302" s="5" t="s">
        <v>16</v>
      </c>
      <c r="B2302" s="6" t="s">
        <v>121</v>
      </c>
      <c r="C2302" s="6" t="s">
        <v>152</v>
      </c>
      <c r="D2302" s="6" t="s">
        <v>153</v>
      </c>
      <c r="E2302" s="6" t="s">
        <v>1405</v>
      </c>
      <c r="F2302" s="6" t="s">
        <v>2037</v>
      </c>
      <c r="G2302" s="6">
        <v>45.39</v>
      </c>
      <c r="H2302" s="6">
        <v>44.21</v>
      </c>
      <c r="I2302" s="6">
        <v>114</v>
      </c>
      <c r="J2302" s="6">
        <v>1800</v>
      </c>
      <c r="K2302" s="7">
        <f>(J2302-M2302)*税费参数!$B$12/(I2302*10000*(1+SUM(税费参数!$B$6:$B$8)))</f>
        <v>0.0134764878297439</v>
      </c>
      <c r="L2302" s="7">
        <f>J2302*税费参数!$B$12/(I2302*10000)</f>
        <v>0.0157894736842105</v>
      </c>
      <c r="M2302" s="6">
        <f>I2302*10000*SUM(税费参数!$B$9:$B$10)/税费参数!$B$11</f>
        <v>213.75</v>
      </c>
    </row>
    <row r="2303" ht="21" customHeight="1" spans="1:13">
      <c r="A2303" s="5" t="s">
        <v>16</v>
      </c>
      <c r="B2303" s="6" t="s">
        <v>121</v>
      </c>
      <c r="C2303" s="6" t="s">
        <v>152</v>
      </c>
      <c r="D2303" s="6" t="s">
        <v>153</v>
      </c>
      <c r="E2303" s="6" t="s">
        <v>1405</v>
      </c>
      <c r="F2303" s="6" t="s">
        <v>2041</v>
      </c>
      <c r="G2303" s="6">
        <v>45.39</v>
      </c>
      <c r="H2303" s="6">
        <v>42.67</v>
      </c>
      <c r="I2303" s="6">
        <v>114</v>
      </c>
      <c r="J2303" s="6">
        <v>1650</v>
      </c>
      <c r="K2303" s="7">
        <f>(J2303-M2303)*税费参数!$B$12/(I2303*10000*(1+SUM(税费参数!$B$6:$B$8)))</f>
        <v>0.0122021154581369</v>
      </c>
      <c r="L2303" s="7">
        <f>J2303*税费参数!$B$12/(I2303*10000)</f>
        <v>0.0144736842105263</v>
      </c>
      <c r="M2303" s="6">
        <f>I2303*10000*SUM(税费参数!$B$9:$B$10)/税费参数!$B$11</f>
        <v>213.75</v>
      </c>
    </row>
    <row r="2304" ht="21" customHeight="1" spans="1:13">
      <c r="A2304" s="5" t="s">
        <v>16</v>
      </c>
      <c r="B2304" s="6" t="s">
        <v>121</v>
      </c>
      <c r="C2304" s="6" t="s">
        <v>152</v>
      </c>
      <c r="D2304" s="6" t="s">
        <v>153</v>
      </c>
      <c r="E2304" s="6" t="s">
        <v>1405</v>
      </c>
      <c r="F2304" s="6" t="s">
        <v>2039</v>
      </c>
      <c r="G2304" s="6">
        <v>45.39</v>
      </c>
      <c r="H2304" s="6">
        <v>47.94</v>
      </c>
      <c r="I2304" s="6">
        <v>114</v>
      </c>
      <c r="J2304" s="6">
        <v>1900</v>
      </c>
      <c r="K2304" s="7">
        <f>(J2304-M2304)*税费参数!$B$12/(I2304*10000*(1+SUM(税费参数!$B$6:$B$8)))</f>
        <v>0.0143260694108152</v>
      </c>
      <c r="L2304" s="7">
        <f>J2304*税费参数!$B$12/(I2304*10000)</f>
        <v>0.0166666666666667</v>
      </c>
      <c r="M2304" s="6">
        <f>I2304*10000*SUM(税费参数!$B$9:$B$10)/税费参数!$B$11</f>
        <v>213.75</v>
      </c>
    </row>
    <row r="2305" ht="21" customHeight="1" spans="1:13">
      <c r="A2305" s="5" t="s">
        <v>16</v>
      </c>
      <c r="B2305" s="6" t="s">
        <v>121</v>
      </c>
      <c r="C2305" s="6" t="s">
        <v>157</v>
      </c>
      <c r="D2305" s="6" t="s">
        <v>153</v>
      </c>
      <c r="E2305" s="6" t="s">
        <v>1419</v>
      </c>
      <c r="F2305" s="6" t="s">
        <v>2042</v>
      </c>
      <c r="G2305" s="6">
        <v>61.22</v>
      </c>
      <c r="H2305" s="6">
        <v>65</v>
      </c>
      <c r="I2305" s="6">
        <v>106</v>
      </c>
      <c r="J2305" s="6">
        <v>1500</v>
      </c>
      <c r="K2305" s="7">
        <f>(J2305-M2305)*税费参数!$B$12/(I2305*10000*(1+SUM(税费参数!$B$6:$B$8)))</f>
        <v>0.0118895335556672</v>
      </c>
      <c r="L2305" s="7">
        <f>J2305*税费参数!$B$12/(I2305*10000)</f>
        <v>0.0141509433962264</v>
      </c>
      <c r="M2305" s="6">
        <f>I2305*10000*SUM(税费参数!$B$9:$B$10)/税费参数!$B$11</f>
        <v>198.75</v>
      </c>
    </row>
    <row r="2306" ht="21" customHeight="1" spans="1:13">
      <c r="A2306" s="5" t="s">
        <v>16</v>
      </c>
      <c r="B2306" s="6" t="s">
        <v>124</v>
      </c>
      <c r="C2306" s="6" t="s">
        <v>159</v>
      </c>
      <c r="D2306" s="6" t="s">
        <v>160</v>
      </c>
      <c r="E2306" s="6" t="s">
        <v>1443</v>
      </c>
      <c r="F2306" s="6" t="s">
        <v>2043</v>
      </c>
      <c r="G2306" s="6">
        <v>33.11</v>
      </c>
      <c r="H2306" s="6">
        <v>33.11</v>
      </c>
      <c r="I2306" s="6">
        <v>115</v>
      </c>
      <c r="J2306" s="6">
        <v>1550</v>
      </c>
      <c r="K2306" s="7">
        <f>(J2306-M2306)*税费参数!$B$12/(I2306*10000*(1+SUM(税费参数!$B$6:$B$8)))</f>
        <v>0.011238025055269</v>
      </c>
      <c r="L2306" s="7">
        <f>J2306*税费参数!$B$12/(I2306*10000)</f>
        <v>0.0134782608695652</v>
      </c>
      <c r="M2306" s="6">
        <f>I2306*10000*SUM(税费参数!$B$9:$B$10)/税费参数!$B$11</f>
        <v>215.625</v>
      </c>
    </row>
    <row r="2307" ht="21" customHeight="1" spans="1:13">
      <c r="A2307" s="5" t="s">
        <v>16</v>
      </c>
      <c r="B2307" s="6" t="s">
        <v>124</v>
      </c>
      <c r="C2307" s="6" t="s">
        <v>159</v>
      </c>
      <c r="D2307" s="6" t="s">
        <v>160</v>
      </c>
      <c r="E2307" s="6" t="s">
        <v>1443</v>
      </c>
      <c r="F2307" s="6" t="s">
        <v>2044</v>
      </c>
      <c r="G2307" s="6">
        <v>33.11</v>
      </c>
      <c r="H2307" s="6">
        <v>33.11</v>
      </c>
      <c r="I2307" s="6">
        <v>115</v>
      </c>
      <c r="J2307" s="6">
        <v>1800</v>
      </c>
      <c r="K2307" s="7">
        <f>(J2307-M2307)*税费参数!$B$12/(I2307*10000*(1+SUM(税费参数!$B$6:$B$8)))</f>
        <v>0.0133435098431414</v>
      </c>
      <c r="L2307" s="7">
        <f>J2307*税费参数!$B$12/(I2307*10000)</f>
        <v>0.0156521739130435</v>
      </c>
      <c r="M2307" s="6">
        <f>I2307*10000*SUM(税费参数!$B$9:$B$10)/税费参数!$B$11</f>
        <v>215.625</v>
      </c>
    </row>
    <row r="2308" ht="21" customHeight="1" spans="1:13">
      <c r="A2308" s="5" t="s">
        <v>16</v>
      </c>
      <c r="B2308" s="6" t="s">
        <v>124</v>
      </c>
      <c r="C2308" s="6" t="s">
        <v>159</v>
      </c>
      <c r="D2308" s="6" t="s">
        <v>160</v>
      </c>
      <c r="E2308" s="6" t="s">
        <v>1443</v>
      </c>
      <c r="F2308" s="6" t="s">
        <v>2045</v>
      </c>
      <c r="G2308" s="6">
        <v>33.11</v>
      </c>
      <c r="H2308" s="6">
        <v>33.11</v>
      </c>
      <c r="I2308" s="6">
        <v>115</v>
      </c>
      <c r="J2308" s="6">
        <v>1600</v>
      </c>
      <c r="K2308" s="7">
        <f>(J2308-M2308)*税费参数!$B$12/(I2308*10000*(1+SUM(税费参数!$B$6:$B$8)))</f>
        <v>0.0116591220128435</v>
      </c>
      <c r="L2308" s="7">
        <f>J2308*税费参数!$B$12/(I2308*10000)</f>
        <v>0.0139130434782609</v>
      </c>
      <c r="M2308" s="6">
        <f>I2308*10000*SUM(税费参数!$B$9:$B$10)/税费参数!$B$11</f>
        <v>215.625</v>
      </c>
    </row>
    <row r="2309" ht="21" customHeight="1" spans="1:13">
      <c r="A2309" s="5" t="s">
        <v>16</v>
      </c>
      <c r="B2309" s="6" t="s">
        <v>124</v>
      </c>
      <c r="C2309" s="6" t="s">
        <v>159</v>
      </c>
      <c r="D2309" s="6" t="s">
        <v>160</v>
      </c>
      <c r="E2309" s="6" t="s">
        <v>1443</v>
      </c>
      <c r="F2309" s="6" t="s">
        <v>2046</v>
      </c>
      <c r="G2309" s="6">
        <v>33.11</v>
      </c>
      <c r="H2309" s="6">
        <v>33.11</v>
      </c>
      <c r="I2309" s="6">
        <v>115</v>
      </c>
      <c r="J2309" s="6">
        <v>1900</v>
      </c>
      <c r="K2309" s="7">
        <f>(J2309-M2309)*税费参数!$B$12/(I2309*10000*(1+SUM(税费参数!$B$6:$B$8)))</f>
        <v>0.0141857037582903</v>
      </c>
      <c r="L2309" s="7">
        <f>J2309*税费参数!$B$12/(I2309*10000)</f>
        <v>0.0165217391304348</v>
      </c>
      <c r="M2309" s="6">
        <f>I2309*10000*SUM(税费参数!$B$9:$B$10)/税费参数!$B$11</f>
        <v>215.625</v>
      </c>
    </row>
    <row r="2310" ht="21" customHeight="1" spans="1:13">
      <c r="A2310" s="5" t="s">
        <v>16</v>
      </c>
      <c r="B2310" s="6" t="s">
        <v>124</v>
      </c>
      <c r="C2310" s="6" t="s">
        <v>159</v>
      </c>
      <c r="D2310" s="6" t="s">
        <v>160</v>
      </c>
      <c r="E2310" s="6" t="s">
        <v>1443</v>
      </c>
      <c r="F2310" s="6" t="s">
        <v>2047</v>
      </c>
      <c r="G2310" s="6">
        <v>33.11</v>
      </c>
      <c r="H2310" s="6">
        <v>33.11</v>
      </c>
      <c r="I2310" s="6">
        <v>115</v>
      </c>
      <c r="J2310" s="6">
        <v>1750</v>
      </c>
      <c r="K2310" s="7">
        <f>(J2310-M2310)*税费参数!$B$12/(I2310*10000*(1+SUM(税费参数!$B$6:$B$8)))</f>
        <v>0.0129224128855669</v>
      </c>
      <c r="L2310" s="7">
        <f>J2310*税费参数!$B$12/(I2310*10000)</f>
        <v>0.0152173913043478</v>
      </c>
      <c r="M2310" s="6">
        <f>I2310*10000*SUM(税费参数!$B$9:$B$10)/税费参数!$B$11</f>
        <v>215.625</v>
      </c>
    </row>
    <row r="2311" ht="21" customHeight="1" spans="1:13">
      <c r="A2311" s="5" t="s">
        <v>16</v>
      </c>
      <c r="B2311" s="6" t="s">
        <v>124</v>
      </c>
      <c r="C2311" s="6" t="s">
        <v>159</v>
      </c>
      <c r="D2311" s="6" t="s">
        <v>160</v>
      </c>
      <c r="E2311" s="6" t="s">
        <v>1443</v>
      </c>
      <c r="F2311" s="6" t="s">
        <v>2048</v>
      </c>
      <c r="G2311" s="6">
        <v>33.11</v>
      </c>
      <c r="H2311" s="6">
        <v>33.11</v>
      </c>
      <c r="I2311" s="6">
        <v>115</v>
      </c>
      <c r="J2311" s="6">
        <v>1600</v>
      </c>
      <c r="K2311" s="7">
        <f>(J2311-M2311)*税费参数!$B$12/(I2311*10000*(1+SUM(税费参数!$B$6:$B$8)))</f>
        <v>0.0116591220128435</v>
      </c>
      <c r="L2311" s="7">
        <f>J2311*税费参数!$B$12/(I2311*10000)</f>
        <v>0.0139130434782609</v>
      </c>
      <c r="M2311" s="6">
        <f>I2311*10000*SUM(税费参数!$B$9:$B$10)/税费参数!$B$11</f>
        <v>215.625</v>
      </c>
    </row>
    <row r="2312" ht="21" customHeight="1" spans="1:13">
      <c r="A2312" s="5" t="s">
        <v>16</v>
      </c>
      <c r="B2312" s="6" t="s">
        <v>124</v>
      </c>
      <c r="C2312" s="6" t="s">
        <v>159</v>
      </c>
      <c r="D2312" s="6" t="s">
        <v>160</v>
      </c>
      <c r="E2312" s="6" t="s">
        <v>1439</v>
      </c>
      <c r="F2312" s="6" t="s">
        <v>2043</v>
      </c>
      <c r="G2312" s="6">
        <v>33.51</v>
      </c>
      <c r="H2312" s="6">
        <v>33.11</v>
      </c>
      <c r="I2312" s="6">
        <v>102</v>
      </c>
      <c r="J2312" s="6">
        <v>1550</v>
      </c>
      <c r="K2312" s="7">
        <f>(J2312-M2312)*税费参数!$B$12/(I2312*10000*(1+SUM(税费参数!$B$6:$B$8)))</f>
        <v>0.0129017708778427</v>
      </c>
      <c r="L2312" s="7">
        <f>J2312*税费参数!$B$12/(I2312*10000)</f>
        <v>0.0151960784313725</v>
      </c>
      <c r="M2312" s="6">
        <f>I2312*10000*SUM(税费参数!$B$9:$B$10)/税费参数!$B$11</f>
        <v>191.25</v>
      </c>
    </row>
    <row r="2313" ht="21" customHeight="1" spans="1:13">
      <c r="A2313" s="5" t="s">
        <v>16</v>
      </c>
      <c r="B2313" s="6" t="s">
        <v>124</v>
      </c>
      <c r="C2313" s="6" t="s">
        <v>159</v>
      </c>
      <c r="D2313" s="6" t="s">
        <v>160</v>
      </c>
      <c r="E2313" s="6" t="s">
        <v>1439</v>
      </c>
      <c r="F2313" s="6" t="s">
        <v>2044</v>
      </c>
      <c r="G2313" s="6">
        <v>33.51</v>
      </c>
      <c r="H2313" s="6">
        <v>33.11</v>
      </c>
      <c r="I2313" s="6">
        <v>102</v>
      </c>
      <c r="J2313" s="6">
        <v>1800</v>
      </c>
      <c r="K2313" s="7">
        <f>(J2313-M2313)*税费参数!$B$12/(I2313*10000*(1+SUM(税费参数!$B$6:$B$8)))</f>
        <v>0.0152756017661302</v>
      </c>
      <c r="L2313" s="7">
        <f>J2313*税费参数!$B$12/(I2313*10000)</f>
        <v>0.0176470588235294</v>
      </c>
      <c r="M2313" s="6">
        <f>I2313*10000*SUM(税费参数!$B$9:$B$10)/税费参数!$B$11</f>
        <v>191.25</v>
      </c>
    </row>
    <row r="2314" ht="21" customHeight="1" spans="1:13">
      <c r="A2314" s="5" t="s">
        <v>16</v>
      </c>
      <c r="B2314" s="6" t="s">
        <v>124</v>
      </c>
      <c r="C2314" s="6" t="s">
        <v>159</v>
      </c>
      <c r="D2314" s="6" t="s">
        <v>160</v>
      </c>
      <c r="E2314" s="6" t="s">
        <v>1439</v>
      </c>
      <c r="F2314" s="6" t="s">
        <v>2045</v>
      </c>
      <c r="G2314" s="6">
        <v>33.51</v>
      </c>
      <c r="H2314" s="6">
        <v>33.11</v>
      </c>
      <c r="I2314" s="6">
        <v>102</v>
      </c>
      <c r="J2314" s="6">
        <v>1600</v>
      </c>
      <c r="K2314" s="7">
        <f>(J2314-M2314)*税费参数!$B$12/(I2314*10000*(1+SUM(税费参数!$B$6:$B$8)))</f>
        <v>0.0133765370555002</v>
      </c>
      <c r="L2314" s="7">
        <f>J2314*税费参数!$B$12/(I2314*10000)</f>
        <v>0.0156862745098039</v>
      </c>
      <c r="M2314" s="6">
        <f>I2314*10000*SUM(税费参数!$B$9:$B$10)/税费参数!$B$11</f>
        <v>191.25</v>
      </c>
    </row>
    <row r="2315" ht="21" customHeight="1" spans="1:13">
      <c r="A2315" s="5" t="s">
        <v>16</v>
      </c>
      <c r="B2315" s="6" t="s">
        <v>124</v>
      </c>
      <c r="C2315" s="6" t="s">
        <v>159</v>
      </c>
      <c r="D2315" s="6" t="s">
        <v>160</v>
      </c>
      <c r="E2315" s="6" t="s">
        <v>1439</v>
      </c>
      <c r="F2315" s="6" t="s">
        <v>2046</v>
      </c>
      <c r="G2315" s="6">
        <v>33.51</v>
      </c>
      <c r="H2315" s="6">
        <v>33.11</v>
      </c>
      <c r="I2315" s="6">
        <v>102</v>
      </c>
      <c r="J2315" s="6">
        <v>1900</v>
      </c>
      <c r="K2315" s="7">
        <f>(J2315-M2315)*税费参数!$B$12/(I2315*10000*(1+SUM(税费参数!$B$6:$B$8)))</f>
        <v>0.0162251341214452</v>
      </c>
      <c r="L2315" s="7">
        <f>J2315*税费参数!$B$12/(I2315*10000)</f>
        <v>0.0186274509803922</v>
      </c>
      <c r="M2315" s="6">
        <f>I2315*10000*SUM(税费参数!$B$9:$B$10)/税费参数!$B$11</f>
        <v>191.25</v>
      </c>
    </row>
    <row r="2316" ht="21" customHeight="1" spans="1:13">
      <c r="A2316" s="5" t="s">
        <v>16</v>
      </c>
      <c r="B2316" s="6" t="s">
        <v>124</v>
      </c>
      <c r="C2316" s="6" t="s">
        <v>159</v>
      </c>
      <c r="D2316" s="6" t="s">
        <v>160</v>
      </c>
      <c r="E2316" s="6" t="s">
        <v>1439</v>
      </c>
      <c r="F2316" s="6" t="s">
        <v>2047</v>
      </c>
      <c r="G2316" s="6">
        <v>33.51</v>
      </c>
      <c r="H2316" s="6">
        <v>33.11</v>
      </c>
      <c r="I2316" s="6">
        <v>102</v>
      </c>
      <c r="J2316" s="6">
        <v>1750</v>
      </c>
      <c r="K2316" s="7">
        <f>(J2316-M2316)*税费参数!$B$12/(I2316*10000*(1+SUM(税费参数!$B$6:$B$8)))</f>
        <v>0.0148008355884727</v>
      </c>
      <c r="L2316" s="7">
        <f>J2316*税费参数!$B$12/(I2316*10000)</f>
        <v>0.017156862745098</v>
      </c>
      <c r="M2316" s="6">
        <f>I2316*10000*SUM(税费参数!$B$9:$B$10)/税费参数!$B$11</f>
        <v>191.25</v>
      </c>
    </row>
    <row r="2317" ht="21" customHeight="1" spans="1:13">
      <c r="A2317" s="5" t="s">
        <v>16</v>
      </c>
      <c r="B2317" s="6" t="s">
        <v>124</v>
      </c>
      <c r="C2317" s="6" t="s">
        <v>159</v>
      </c>
      <c r="D2317" s="6" t="s">
        <v>160</v>
      </c>
      <c r="E2317" s="6" t="s">
        <v>1439</v>
      </c>
      <c r="F2317" s="6" t="s">
        <v>2048</v>
      </c>
      <c r="G2317" s="6">
        <v>33.51</v>
      </c>
      <c r="H2317" s="6">
        <v>33.11</v>
      </c>
      <c r="I2317" s="6">
        <v>102</v>
      </c>
      <c r="J2317" s="6">
        <v>1600</v>
      </c>
      <c r="K2317" s="7">
        <f>(J2317-M2317)*税费参数!$B$12/(I2317*10000*(1+SUM(税费参数!$B$6:$B$8)))</f>
        <v>0.0133765370555002</v>
      </c>
      <c r="L2317" s="7">
        <f>J2317*税费参数!$B$12/(I2317*10000)</f>
        <v>0.0156862745098039</v>
      </c>
      <c r="M2317" s="6">
        <f>I2317*10000*SUM(税费参数!$B$9:$B$10)/税费参数!$B$11</f>
        <v>191.25</v>
      </c>
    </row>
    <row r="2318" ht="21" customHeight="1" spans="1:13">
      <c r="A2318" s="5" t="s">
        <v>16</v>
      </c>
      <c r="B2318" s="6" t="s">
        <v>124</v>
      </c>
      <c r="C2318" s="6" t="s">
        <v>159</v>
      </c>
      <c r="D2318" s="6" t="s">
        <v>160</v>
      </c>
      <c r="E2318" s="6" t="s">
        <v>1447</v>
      </c>
      <c r="F2318" s="6" t="s">
        <v>2043</v>
      </c>
      <c r="G2318" s="6">
        <v>33.11</v>
      </c>
      <c r="H2318" s="6">
        <v>33.11</v>
      </c>
      <c r="I2318" s="6">
        <v>96</v>
      </c>
      <c r="J2318" s="6">
        <v>1550</v>
      </c>
      <c r="K2318" s="7">
        <f>(J2318-M2318)*税费参数!$B$12/(I2318*10000*(1+SUM(税费参数!$B$6:$B$8)))</f>
        <v>0.0138216303470541</v>
      </c>
      <c r="L2318" s="7">
        <f>J2318*税费参数!$B$12/(I2318*10000)</f>
        <v>0.0161458333333333</v>
      </c>
      <c r="M2318" s="6">
        <f>I2318*10000*SUM(税费参数!$B$9:$B$10)/税费参数!$B$11</f>
        <v>180</v>
      </c>
    </row>
    <row r="2319" ht="21" customHeight="1" spans="1:13">
      <c r="A2319" s="5" t="s">
        <v>16</v>
      </c>
      <c r="B2319" s="6" t="s">
        <v>124</v>
      </c>
      <c r="C2319" s="6" t="s">
        <v>159</v>
      </c>
      <c r="D2319" s="6" t="s">
        <v>160</v>
      </c>
      <c r="E2319" s="6" t="s">
        <v>1447</v>
      </c>
      <c r="F2319" s="6" t="s">
        <v>2044</v>
      </c>
      <c r="G2319" s="6">
        <v>33.11</v>
      </c>
      <c r="H2319" s="6">
        <v>33.11</v>
      </c>
      <c r="I2319" s="6">
        <v>96</v>
      </c>
      <c r="J2319" s="6">
        <v>1800</v>
      </c>
      <c r="K2319" s="7">
        <f>(J2319-M2319)*税费参数!$B$12/(I2319*10000*(1+SUM(税费参数!$B$6:$B$8)))</f>
        <v>0.0163438256658596</v>
      </c>
      <c r="L2319" s="7">
        <f>J2319*税费参数!$B$12/(I2319*10000)</f>
        <v>0.01875</v>
      </c>
      <c r="M2319" s="6">
        <f>I2319*10000*SUM(税费参数!$B$9:$B$10)/税费参数!$B$11</f>
        <v>180</v>
      </c>
    </row>
    <row r="2320" ht="21" customHeight="1" spans="1:13">
      <c r="A2320" s="5" t="s">
        <v>16</v>
      </c>
      <c r="B2320" s="6" t="s">
        <v>124</v>
      </c>
      <c r="C2320" s="6" t="s">
        <v>159</v>
      </c>
      <c r="D2320" s="6" t="s">
        <v>160</v>
      </c>
      <c r="E2320" s="6" t="s">
        <v>1447</v>
      </c>
      <c r="F2320" s="6" t="s">
        <v>2045</v>
      </c>
      <c r="G2320" s="6">
        <v>33.11</v>
      </c>
      <c r="H2320" s="6">
        <v>33.11</v>
      </c>
      <c r="I2320" s="6">
        <v>96</v>
      </c>
      <c r="J2320" s="6">
        <v>1600</v>
      </c>
      <c r="K2320" s="7">
        <f>(J2320-M2320)*税费参数!$B$12/(I2320*10000*(1+SUM(税费参数!$B$6:$B$8)))</f>
        <v>0.0143260694108152</v>
      </c>
      <c r="L2320" s="7">
        <f>J2320*税费参数!$B$12/(I2320*10000)</f>
        <v>0.0166666666666667</v>
      </c>
      <c r="M2320" s="6">
        <f>I2320*10000*SUM(税费参数!$B$9:$B$10)/税费参数!$B$11</f>
        <v>180</v>
      </c>
    </row>
    <row r="2321" ht="21" customHeight="1" spans="1:13">
      <c r="A2321" s="5" t="s">
        <v>16</v>
      </c>
      <c r="B2321" s="6" t="s">
        <v>124</v>
      </c>
      <c r="C2321" s="6" t="s">
        <v>159</v>
      </c>
      <c r="D2321" s="6" t="s">
        <v>160</v>
      </c>
      <c r="E2321" s="6" t="s">
        <v>1447</v>
      </c>
      <c r="F2321" s="6" t="s">
        <v>2046</v>
      </c>
      <c r="G2321" s="6">
        <v>33.11</v>
      </c>
      <c r="H2321" s="6">
        <v>33.11</v>
      </c>
      <c r="I2321" s="6">
        <v>96</v>
      </c>
      <c r="J2321" s="6">
        <v>1900</v>
      </c>
      <c r="K2321" s="7">
        <f>(J2321-M2321)*税费参数!$B$12/(I2321*10000*(1+SUM(税费参数!$B$6:$B$8)))</f>
        <v>0.0173527037933818</v>
      </c>
      <c r="L2321" s="7">
        <f>J2321*税费参数!$B$12/(I2321*10000)</f>
        <v>0.0197916666666667</v>
      </c>
      <c r="M2321" s="6">
        <f>I2321*10000*SUM(税费参数!$B$9:$B$10)/税费参数!$B$11</f>
        <v>180</v>
      </c>
    </row>
    <row r="2322" ht="21" customHeight="1" spans="1:13">
      <c r="A2322" s="5" t="s">
        <v>16</v>
      </c>
      <c r="B2322" s="6" t="s">
        <v>124</v>
      </c>
      <c r="C2322" s="6" t="s">
        <v>159</v>
      </c>
      <c r="D2322" s="6" t="s">
        <v>160</v>
      </c>
      <c r="E2322" s="6" t="s">
        <v>1447</v>
      </c>
      <c r="F2322" s="6" t="s">
        <v>2047</v>
      </c>
      <c r="G2322" s="6">
        <v>33.11</v>
      </c>
      <c r="H2322" s="6">
        <v>33.11</v>
      </c>
      <c r="I2322" s="6">
        <v>96</v>
      </c>
      <c r="J2322" s="6">
        <v>1750</v>
      </c>
      <c r="K2322" s="7">
        <f>(J2322-M2322)*税费参数!$B$12/(I2322*10000*(1+SUM(税费参数!$B$6:$B$8)))</f>
        <v>0.0158393866020985</v>
      </c>
      <c r="L2322" s="7">
        <f>J2322*税费参数!$B$12/(I2322*10000)</f>
        <v>0.0182291666666667</v>
      </c>
      <c r="M2322" s="6">
        <f>I2322*10000*SUM(税费参数!$B$9:$B$10)/税费参数!$B$11</f>
        <v>180</v>
      </c>
    </row>
    <row r="2323" ht="21" customHeight="1" spans="1:13">
      <c r="A2323" s="5" t="s">
        <v>16</v>
      </c>
      <c r="B2323" s="6" t="s">
        <v>124</v>
      </c>
      <c r="C2323" s="6" t="s">
        <v>159</v>
      </c>
      <c r="D2323" s="6" t="s">
        <v>160</v>
      </c>
      <c r="E2323" s="6" t="s">
        <v>1447</v>
      </c>
      <c r="F2323" s="6" t="s">
        <v>2048</v>
      </c>
      <c r="G2323" s="6">
        <v>33.11</v>
      </c>
      <c r="H2323" s="6">
        <v>33.11</v>
      </c>
      <c r="I2323" s="6">
        <v>96</v>
      </c>
      <c r="J2323" s="6">
        <v>1600</v>
      </c>
      <c r="K2323" s="7">
        <f>(J2323-M2323)*税费参数!$B$12/(I2323*10000*(1+SUM(税费参数!$B$6:$B$8)))</f>
        <v>0.0143260694108152</v>
      </c>
      <c r="L2323" s="7">
        <f>J2323*税费参数!$B$12/(I2323*10000)</f>
        <v>0.0166666666666667</v>
      </c>
      <c r="M2323" s="6">
        <f>I2323*10000*SUM(税费参数!$B$9:$B$10)/税费参数!$B$11</f>
        <v>180</v>
      </c>
    </row>
    <row r="2324" ht="21" customHeight="1" spans="1:13">
      <c r="A2324" s="5" t="s">
        <v>16</v>
      </c>
      <c r="B2324" s="6" t="s">
        <v>124</v>
      </c>
      <c r="C2324" s="6" t="s">
        <v>159</v>
      </c>
      <c r="D2324" s="6" t="s">
        <v>160</v>
      </c>
      <c r="E2324" s="6" t="s">
        <v>1437</v>
      </c>
      <c r="F2324" s="6" t="s">
        <v>2043</v>
      </c>
      <c r="G2324" s="6">
        <v>33.11</v>
      </c>
      <c r="H2324" s="6">
        <v>33.11</v>
      </c>
      <c r="I2324" s="6">
        <v>105</v>
      </c>
      <c r="J2324" s="6">
        <v>1550</v>
      </c>
      <c r="K2324" s="7">
        <f>(J2324-M2324)*税费参数!$B$12/(I2324*10000*(1+SUM(税费参数!$B$6:$B$8)))</f>
        <v>0.0124812636919174</v>
      </c>
      <c r="L2324" s="7">
        <f>J2324*税费参数!$B$12/(I2324*10000)</f>
        <v>0.0147619047619048</v>
      </c>
      <c r="M2324" s="6">
        <f>I2324*10000*SUM(税费参数!$B$9:$B$10)/税费参数!$B$11</f>
        <v>196.875</v>
      </c>
    </row>
    <row r="2325" ht="21" customHeight="1" spans="1:13">
      <c r="A2325" s="5" t="s">
        <v>16</v>
      </c>
      <c r="B2325" s="6" t="s">
        <v>124</v>
      </c>
      <c r="C2325" s="6" t="s">
        <v>159</v>
      </c>
      <c r="D2325" s="6" t="s">
        <v>160</v>
      </c>
      <c r="E2325" s="6" t="s">
        <v>1437</v>
      </c>
      <c r="F2325" s="6" t="s">
        <v>2044</v>
      </c>
      <c r="G2325" s="6">
        <v>33.11</v>
      </c>
      <c r="H2325" s="6">
        <v>33.11</v>
      </c>
      <c r="I2325" s="6">
        <v>105</v>
      </c>
      <c r="J2325" s="6">
        <v>1800</v>
      </c>
      <c r="K2325" s="7">
        <f>(J2325-M2325)*税费参数!$B$12/(I2325*10000*(1+SUM(税费参数!$B$6:$B$8)))</f>
        <v>0.0147872708405396</v>
      </c>
      <c r="L2325" s="7">
        <f>J2325*税费参数!$B$12/(I2325*10000)</f>
        <v>0.0171428571428571</v>
      </c>
      <c r="M2325" s="6">
        <f>I2325*10000*SUM(税费参数!$B$9:$B$10)/税费参数!$B$11</f>
        <v>196.875</v>
      </c>
    </row>
    <row r="2326" ht="21" customHeight="1" spans="1:13">
      <c r="A2326" s="5" t="s">
        <v>16</v>
      </c>
      <c r="B2326" s="6" t="s">
        <v>124</v>
      </c>
      <c r="C2326" s="6" t="s">
        <v>159</v>
      </c>
      <c r="D2326" s="6" t="s">
        <v>160</v>
      </c>
      <c r="E2326" s="6" t="s">
        <v>1437</v>
      </c>
      <c r="F2326" s="6" t="s">
        <v>2045</v>
      </c>
      <c r="G2326" s="6">
        <v>33.11</v>
      </c>
      <c r="H2326" s="6">
        <v>33.11</v>
      </c>
      <c r="I2326" s="6">
        <v>105</v>
      </c>
      <c r="J2326" s="6">
        <v>1600</v>
      </c>
      <c r="K2326" s="7">
        <f>(J2326-M2326)*税费参数!$B$12/(I2326*10000*(1+SUM(税费参数!$B$6:$B$8)))</f>
        <v>0.0129424651216419</v>
      </c>
      <c r="L2326" s="7">
        <f>J2326*税费参数!$B$12/(I2326*10000)</f>
        <v>0.0152380952380952</v>
      </c>
      <c r="M2326" s="6">
        <f>I2326*10000*SUM(税费参数!$B$9:$B$10)/税费参数!$B$11</f>
        <v>196.875</v>
      </c>
    </row>
    <row r="2327" ht="21" customHeight="1" spans="1:13">
      <c r="A2327" s="5" t="s">
        <v>16</v>
      </c>
      <c r="B2327" s="6" t="s">
        <v>124</v>
      </c>
      <c r="C2327" s="6" t="s">
        <v>159</v>
      </c>
      <c r="D2327" s="6" t="s">
        <v>160</v>
      </c>
      <c r="E2327" s="6" t="s">
        <v>1437</v>
      </c>
      <c r="F2327" s="6" t="s">
        <v>2046</v>
      </c>
      <c r="G2327" s="6">
        <v>33.11</v>
      </c>
      <c r="H2327" s="6">
        <v>33.11</v>
      </c>
      <c r="I2327" s="6">
        <v>105</v>
      </c>
      <c r="J2327" s="6">
        <v>1900</v>
      </c>
      <c r="K2327" s="7">
        <f>(J2327-M2327)*税费参数!$B$12/(I2327*10000*(1+SUM(税费参数!$B$6:$B$8)))</f>
        <v>0.0157096736999885</v>
      </c>
      <c r="L2327" s="7">
        <f>J2327*税费参数!$B$12/(I2327*10000)</f>
        <v>0.0180952380952381</v>
      </c>
      <c r="M2327" s="6">
        <f>I2327*10000*SUM(税费参数!$B$9:$B$10)/税费参数!$B$11</f>
        <v>196.875</v>
      </c>
    </row>
    <row r="2328" ht="21" customHeight="1" spans="1:13">
      <c r="A2328" s="5" t="s">
        <v>16</v>
      </c>
      <c r="B2328" s="6" t="s">
        <v>124</v>
      </c>
      <c r="C2328" s="6" t="s">
        <v>159</v>
      </c>
      <c r="D2328" s="6" t="s">
        <v>160</v>
      </c>
      <c r="E2328" s="6" t="s">
        <v>1437</v>
      </c>
      <c r="F2328" s="6" t="s">
        <v>2047</v>
      </c>
      <c r="G2328" s="6">
        <v>33.11</v>
      </c>
      <c r="H2328" s="6">
        <v>33.11</v>
      </c>
      <c r="I2328" s="6">
        <v>105</v>
      </c>
      <c r="J2328" s="6">
        <v>1750</v>
      </c>
      <c r="K2328" s="7">
        <f>(J2328-M2328)*税费参数!$B$12/(I2328*10000*(1+SUM(税费参数!$B$6:$B$8)))</f>
        <v>0.0143260694108152</v>
      </c>
      <c r="L2328" s="7">
        <f>J2328*税费参数!$B$12/(I2328*10000)</f>
        <v>0.0166666666666667</v>
      </c>
      <c r="M2328" s="6">
        <f>I2328*10000*SUM(税费参数!$B$9:$B$10)/税费参数!$B$11</f>
        <v>196.875</v>
      </c>
    </row>
    <row r="2329" ht="21" customHeight="1" spans="1:13">
      <c r="A2329" s="5" t="s">
        <v>16</v>
      </c>
      <c r="B2329" s="6" t="s">
        <v>124</v>
      </c>
      <c r="C2329" s="6" t="s">
        <v>159</v>
      </c>
      <c r="D2329" s="6" t="s">
        <v>160</v>
      </c>
      <c r="E2329" s="6" t="s">
        <v>1437</v>
      </c>
      <c r="F2329" s="6" t="s">
        <v>2048</v>
      </c>
      <c r="G2329" s="6">
        <v>33.11</v>
      </c>
      <c r="H2329" s="6">
        <v>33.11</v>
      </c>
      <c r="I2329" s="6">
        <v>105</v>
      </c>
      <c r="J2329" s="6">
        <v>1600</v>
      </c>
      <c r="K2329" s="7">
        <f>(J2329-M2329)*税费参数!$B$12/(I2329*10000*(1+SUM(税费参数!$B$6:$B$8)))</f>
        <v>0.0129424651216419</v>
      </c>
      <c r="L2329" s="7">
        <f>J2329*税费参数!$B$12/(I2329*10000)</f>
        <v>0.0152380952380952</v>
      </c>
      <c r="M2329" s="6">
        <f>I2329*10000*SUM(税费参数!$B$9:$B$10)/税费参数!$B$11</f>
        <v>196.875</v>
      </c>
    </row>
    <row r="2330" ht="21" customHeight="1" spans="1:13">
      <c r="A2330" s="5" t="s">
        <v>16</v>
      </c>
      <c r="B2330" s="6" t="s">
        <v>124</v>
      </c>
      <c r="C2330" s="6" t="s">
        <v>159</v>
      </c>
      <c r="D2330" s="6" t="s">
        <v>160</v>
      </c>
      <c r="E2330" s="6" t="s">
        <v>1441</v>
      </c>
      <c r="F2330" s="6" t="s">
        <v>2043</v>
      </c>
      <c r="G2330" s="6">
        <v>33.11</v>
      </c>
      <c r="H2330" s="6">
        <v>33.11</v>
      </c>
      <c r="I2330" s="6">
        <v>97</v>
      </c>
      <c r="J2330" s="6">
        <v>1550</v>
      </c>
      <c r="K2330" s="7">
        <f>(J2330-M2330)*税费参数!$B$12/(I2330*10000*(1+SUM(税费参数!$B$6:$B$8)))</f>
        <v>0.0136604178627593</v>
      </c>
      <c r="L2330" s="7">
        <f>J2330*税费参数!$B$12/(I2330*10000)</f>
        <v>0.015979381443299</v>
      </c>
      <c r="M2330" s="6">
        <f>I2330*10000*SUM(税费参数!$B$9:$B$10)/税费参数!$B$11</f>
        <v>181.875</v>
      </c>
    </row>
    <row r="2331" ht="21" customHeight="1" spans="1:13">
      <c r="A2331" s="5" t="s">
        <v>16</v>
      </c>
      <c r="B2331" s="6" t="s">
        <v>124</v>
      </c>
      <c r="C2331" s="6" t="s">
        <v>159</v>
      </c>
      <c r="D2331" s="6" t="s">
        <v>160</v>
      </c>
      <c r="E2331" s="6" t="s">
        <v>1441</v>
      </c>
      <c r="F2331" s="6" t="s">
        <v>2044</v>
      </c>
      <c r="G2331" s="6">
        <v>33.11</v>
      </c>
      <c r="H2331" s="6">
        <v>33.11</v>
      </c>
      <c r="I2331" s="6">
        <v>97</v>
      </c>
      <c r="J2331" s="6">
        <v>1800</v>
      </c>
      <c r="K2331" s="7">
        <f>(J2331-M2331)*税费参数!$B$12/(I2331*10000*(1+SUM(税费参数!$B$6:$B$8)))</f>
        <v>0.0161566111679688</v>
      </c>
      <c r="L2331" s="7">
        <f>J2331*税费参数!$B$12/(I2331*10000)</f>
        <v>0.0185567010309278</v>
      </c>
      <c r="M2331" s="6">
        <f>I2331*10000*SUM(税费参数!$B$9:$B$10)/税费参数!$B$11</f>
        <v>181.875</v>
      </c>
    </row>
    <row r="2332" ht="21" customHeight="1" spans="1:13">
      <c r="A2332" s="5" t="s">
        <v>16</v>
      </c>
      <c r="B2332" s="6" t="s">
        <v>124</v>
      </c>
      <c r="C2332" s="6" t="s">
        <v>159</v>
      </c>
      <c r="D2332" s="6" t="s">
        <v>160</v>
      </c>
      <c r="E2332" s="6" t="s">
        <v>1441</v>
      </c>
      <c r="F2332" s="6" t="s">
        <v>2045</v>
      </c>
      <c r="G2332" s="6">
        <v>33.11</v>
      </c>
      <c r="H2332" s="6">
        <v>33.11</v>
      </c>
      <c r="I2332" s="6">
        <v>97</v>
      </c>
      <c r="J2332" s="6">
        <v>1600</v>
      </c>
      <c r="K2332" s="7">
        <f>(J2332-M2332)*税费参数!$B$12/(I2332*10000*(1+SUM(税费参数!$B$6:$B$8)))</f>
        <v>0.0141596565238012</v>
      </c>
      <c r="L2332" s="7">
        <f>J2332*税费参数!$B$12/(I2332*10000)</f>
        <v>0.0164948453608247</v>
      </c>
      <c r="M2332" s="6">
        <f>I2332*10000*SUM(税费参数!$B$9:$B$10)/税费参数!$B$11</f>
        <v>181.875</v>
      </c>
    </row>
    <row r="2333" ht="21" customHeight="1" spans="1:13">
      <c r="A2333" s="5" t="s">
        <v>16</v>
      </c>
      <c r="B2333" s="6" t="s">
        <v>124</v>
      </c>
      <c r="C2333" s="6" t="s">
        <v>159</v>
      </c>
      <c r="D2333" s="6" t="s">
        <v>160</v>
      </c>
      <c r="E2333" s="6" t="s">
        <v>1441</v>
      </c>
      <c r="F2333" s="6" t="s">
        <v>2046</v>
      </c>
      <c r="G2333" s="6">
        <v>33.11</v>
      </c>
      <c r="H2333" s="6">
        <v>33.11</v>
      </c>
      <c r="I2333" s="6">
        <v>97</v>
      </c>
      <c r="J2333" s="6">
        <v>1900</v>
      </c>
      <c r="K2333" s="7">
        <f>(J2333-M2333)*税费参数!$B$12/(I2333*10000*(1+SUM(税费参数!$B$6:$B$8)))</f>
        <v>0.0171550884900527</v>
      </c>
      <c r="L2333" s="7">
        <f>J2333*税费参数!$B$12/(I2333*10000)</f>
        <v>0.0195876288659794</v>
      </c>
      <c r="M2333" s="6">
        <f>I2333*10000*SUM(税费参数!$B$9:$B$10)/税费参数!$B$11</f>
        <v>181.875</v>
      </c>
    </row>
    <row r="2334" ht="21" customHeight="1" spans="1:13">
      <c r="A2334" s="5" t="s">
        <v>16</v>
      </c>
      <c r="B2334" s="6" t="s">
        <v>124</v>
      </c>
      <c r="C2334" s="6" t="s">
        <v>159</v>
      </c>
      <c r="D2334" s="6" t="s">
        <v>160</v>
      </c>
      <c r="E2334" s="6" t="s">
        <v>1441</v>
      </c>
      <c r="F2334" s="6" t="s">
        <v>2047</v>
      </c>
      <c r="G2334" s="6">
        <v>33.11</v>
      </c>
      <c r="H2334" s="6">
        <v>33.11</v>
      </c>
      <c r="I2334" s="6">
        <v>97</v>
      </c>
      <c r="J2334" s="6">
        <v>1750</v>
      </c>
      <c r="K2334" s="7">
        <f>(J2334-M2334)*税费参数!$B$12/(I2334*10000*(1+SUM(税费参数!$B$6:$B$8)))</f>
        <v>0.0156573725069269</v>
      </c>
      <c r="L2334" s="7">
        <f>J2334*税费参数!$B$12/(I2334*10000)</f>
        <v>0.0180412371134021</v>
      </c>
      <c r="M2334" s="6">
        <f>I2334*10000*SUM(税费参数!$B$9:$B$10)/税费参数!$B$11</f>
        <v>181.875</v>
      </c>
    </row>
    <row r="2335" ht="21" customHeight="1" spans="1:13">
      <c r="A2335" s="5" t="s">
        <v>16</v>
      </c>
      <c r="B2335" s="6" t="s">
        <v>124</v>
      </c>
      <c r="C2335" s="6" t="s">
        <v>159</v>
      </c>
      <c r="D2335" s="6" t="s">
        <v>160</v>
      </c>
      <c r="E2335" s="6" t="s">
        <v>1441</v>
      </c>
      <c r="F2335" s="6" t="s">
        <v>2048</v>
      </c>
      <c r="G2335" s="6">
        <v>33.11</v>
      </c>
      <c r="H2335" s="6">
        <v>33.11</v>
      </c>
      <c r="I2335" s="6">
        <v>97</v>
      </c>
      <c r="J2335" s="6">
        <v>1600</v>
      </c>
      <c r="K2335" s="7">
        <f>(J2335-M2335)*税费参数!$B$12/(I2335*10000*(1+SUM(税费参数!$B$6:$B$8)))</f>
        <v>0.0141596565238012</v>
      </c>
      <c r="L2335" s="7">
        <f>J2335*税费参数!$B$12/(I2335*10000)</f>
        <v>0.0164948453608247</v>
      </c>
      <c r="M2335" s="6">
        <f>I2335*10000*SUM(税费参数!$B$9:$B$10)/税费参数!$B$11</f>
        <v>181.875</v>
      </c>
    </row>
    <row r="2336" ht="21" customHeight="1" spans="1:13">
      <c r="A2336" s="5" t="s">
        <v>16</v>
      </c>
      <c r="B2336" s="6" t="s">
        <v>124</v>
      </c>
      <c r="C2336" s="6" t="s">
        <v>159</v>
      </c>
      <c r="D2336" s="6" t="s">
        <v>160</v>
      </c>
      <c r="E2336" s="6" t="s">
        <v>1451</v>
      </c>
      <c r="F2336" s="6" t="s">
        <v>2043</v>
      </c>
      <c r="G2336" s="6">
        <v>33.14</v>
      </c>
      <c r="H2336" s="6">
        <v>33.11</v>
      </c>
      <c r="I2336" s="6">
        <v>115</v>
      </c>
      <c r="J2336" s="6">
        <v>1550</v>
      </c>
      <c r="K2336" s="7">
        <f>(J2336-M2336)*税费参数!$B$12/(I2336*10000*(1+SUM(税费参数!$B$6:$B$8)))</f>
        <v>0.011238025055269</v>
      </c>
      <c r="L2336" s="7">
        <f>J2336*税费参数!$B$12/(I2336*10000)</f>
        <v>0.0134782608695652</v>
      </c>
      <c r="M2336" s="6">
        <f>I2336*10000*SUM(税费参数!$B$9:$B$10)/税费参数!$B$11</f>
        <v>215.625</v>
      </c>
    </row>
    <row r="2337" ht="21" customHeight="1" spans="1:13">
      <c r="A2337" s="5" t="s">
        <v>16</v>
      </c>
      <c r="B2337" s="6" t="s">
        <v>124</v>
      </c>
      <c r="C2337" s="6" t="s">
        <v>159</v>
      </c>
      <c r="D2337" s="6" t="s">
        <v>160</v>
      </c>
      <c r="E2337" s="6" t="s">
        <v>1451</v>
      </c>
      <c r="F2337" s="6" t="s">
        <v>2044</v>
      </c>
      <c r="G2337" s="6">
        <v>33.14</v>
      </c>
      <c r="H2337" s="6">
        <v>33.11</v>
      </c>
      <c r="I2337" s="6">
        <v>115</v>
      </c>
      <c r="J2337" s="6">
        <v>1800</v>
      </c>
      <c r="K2337" s="7">
        <f>(J2337-M2337)*税费参数!$B$12/(I2337*10000*(1+SUM(税费参数!$B$6:$B$8)))</f>
        <v>0.0133435098431414</v>
      </c>
      <c r="L2337" s="7">
        <f>J2337*税费参数!$B$12/(I2337*10000)</f>
        <v>0.0156521739130435</v>
      </c>
      <c r="M2337" s="6">
        <f>I2337*10000*SUM(税费参数!$B$9:$B$10)/税费参数!$B$11</f>
        <v>215.625</v>
      </c>
    </row>
    <row r="2338" ht="21" customHeight="1" spans="1:13">
      <c r="A2338" s="5" t="s">
        <v>16</v>
      </c>
      <c r="B2338" s="6" t="s">
        <v>124</v>
      </c>
      <c r="C2338" s="6" t="s">
        <v>159</v>
      </c>
      <c r="D2338" s="6" t="s">
        <v>160</v>
      </c>
      <c r="E2338" s="6" t="s">
        <v>1451</v>
      </c>
      <c r="F2338" s="6" t="s">
        <v>2045</v>
      </c>
      <c r="G2338" s="6">
        <v>33.14</v>
      </c>
      <c r="H2338" s="6">
        <v>33.11</v>
      </c>
      <c r="I2338" s="6">
        <v>115</v>
      </c>
      <c r="J2338" s="6">
        <v>1600</v>
      </c>
      <c r="K2338" s="7">
        <f>(J2338-M2338)*税费参数!$B$12/(I2338*10000*(1+SUM(税费参数!$B$6:$B$8)))</f>
        <v>0.0116591220128435</v>
      </c>
      <c r="L2338" s="7">
        <f>J2338*税费参数!$B$12/(I2338*10000)</f>
        <v>0.0139130434782609</v>
      </c>
      <c r="M2338" s="6">
        <f>I2338*10000*SUM(税费参数!$B$9:$B$10)/税费参数!$B$11</f>
        <v>215.625</v>
      </c>
    </row>
    <row r="2339" ht="21" customHeight="1" spans="1:13">
      <c r="A2339" s="5" t="s">
        <v>16</v>
      </c>
      <c r="B2339" s="6" t="s">
        <v>124</v>
      </c>
      <c r="C2339" s="6" t="s">
        <v>159</v>
      </c>
      <c r="D2339" s="6" t="s">
        <v>160</v>
      </c>
      <c r="E2339" s="6" t="s">
        <v>1451</v>
      </c>
      <c r="F2339" s="6" t="s">
        <v>2046</v>
      </c>
      <c r="G2339" s="6">
        <v>33.14</v>
      </c>
      <c r="H2339" s="6">
        <v>33.11</v>
      </c>
      <c r="I2339" s="6">
        <v>115</v>
      </c>
      <c r="J2339" s="6">
        <v>1900</v>
      </c>
      <c r="K2339" s="7">
        <f>(J2339-M2339)*税费参数!$B$12/(I2339*10000*(1+SUM(税费参数!$B$6:$B$8)))</f>
        <v>0.0141857037582903</v>
      </c>
      <c r="L2339" s="7">
        <f>J2339*税费参数!$B$12/(I2339*10000)</f>
        <v>0.0165217391304348</v>
      </c>
      <c r="M2339" s="6">
        <f>I2339*10000*SUM(税费参数!$B$9:$B$10)/税费参数!$B$11</f>
        <v>215.625</v>
      </c>
    </row>
    <row r="2340" ht="21" customHeight="1" spans="1:13">
      <c r="A2340" s="5" t="s">
        <v>16</v>
      </c>
      <c r="B2340" s="6" t="s">
        <v>124</v>
      </c>
      <c r="C2340" s="6" t="s">
        <v>159</v>
      </c>
      <c r="D2340" s="6" t="s">
        <v>160</v>
      </c>
      <c r="E2340" s="6" t="s">
        <v>1451</v>
      </c>
      <c r="F2340" s="6" t="s">
        <v>2047</v>
      </c>
      <c r="G2340" s="6">
        <v>33.14</v>
      </c>
      <c r="H2340" s="6">
        <v>33.11</v>
      </c>
      <c r="I2340" s="6">
        <v>115</v>
      </c>
      <c r="J2340" s="6">
        <v>1750</v>
      </c>
      <c r="K2340" s="7">
        <f>(J2340-M2340)*税费参数!$B$12/(I2340*10000*(1+SUM(税费参数!$B$6:$B$8)))</f>
        <v>0.0129224128855669</v>
      </c>
      <c r="L2340" s="7">
        <f>J2340*税费参数!$B$12/(I2340*10000)</f>
        <v>0.0152173913043478</v>
      </c>
      <c r="M2340" s="6">
        <f>I2340*10000*SUM(税费参数!$B$9:$B$10)/税费参数!$B$11</f>
        <v>215.625</v>
      </c>
    </row>
    <row r="2341" ht="21" customHeight="1" spans="1:13">
      <c r="A2341" s="5" t="s">
        <v>16</v>
      </c>
      <c r="B2341" s="6" t="s">
        <v>124</v>
      </c>
      <c r="C2341" s="6" t="s">
        <v>159</v>
      </c>
      <c r="D2341" s="6" t="s">
        <v>160</v>
      </c>
      <c r="E2341" s="6" t="s">
        <v>1451</v>
      </c>
      <c r="F2341" s="6" t="s">
        <v>2048</v>
      </c>
      <c r="G2341" s="6">
        <v>33.14</v>
      </c>
      <c r="H2341" s="6">
        <v>33.11</v>
      </c>
      <c r="I2341" s="6">
        <v>115</v>
      </c>
      <c r="J2341" s="6">
        <v>1600</v>
      </c>
      <c r="K2341" s="7">
        <f>(J2341-M2341)*税费参数!$B$12/(I2341*10000*(1+SUM(税费参数!$B$6:$B$8)))</f>
        <v>0.0116591220128435</v>
      </c>
      <c r="L2341" s="7">
        <f>J2341*税费参数!$B$12/(I2341*10000)</f>
        <v>0.0139130434782609</v>
      </c>
      <c r="M2341" s="6">
        <f>I2341*10000*SUM(税费参数!$B$9:$B$10)/税费参数!$B$11</f>
        <v>215.625</v>
      </c>
    </row>
    <row r="2342" ht="21" customHeight="1" spans="1:13">
      <c r="A2342" s="5" t="s">
        <v>16</v>
      </c>
      <c r="B2342" s="6" t="s">
        <v>124</v>
      </c>
      <c r="C2342" s="6" t="s">
        <v>159</v>
      </c>
      <c r="D2342" s="6" t="s">
        <v>160</v>
      </c>
      <c r="E2342" s="6" t="s">
        <v>1435</v>
      </c>
      <c r="F2342" s="6" t="s">
        <v>2043</v>
      </c>
      <c r="G2342" s="6">
        <v>33.11</v>
      </c>
      <c r="H2342" s="6">
        <v>33.11</v>
      </c>
      <c r="I2342" s="6">
        <v>95</v>
      </c>
      <c r="J2342" s="6">
        <v>1550</v>
      </c>
      <c r="K2342" s="7">
        <f>(J2342-M2342)*税费参数!$B$12/(I2342*10000*(1+SUM(税费参数!$B$6:$B$8)))</f>
        <v>0.0139862367783866</v>
      </c>
      <c r="L2342" s="7">
        <f>J2342*税费参数!$B$12/(I2342*10000)</f>
        <v>0.0163157894736842</v>
      </c>
      <c r="M2342" s="6">
        <f>I2342*10000*SUM(税费参数!$B$9:$B$10)/税费参数!$B$11</f>
        <v>178.125</v>
      </c>
    </row>
    <row r="2343" ht="21" customHeight="1" spans="1:13">
      <c r="A2343" s="5" t="s">
        <v>16</v>
      </c>
      <c r="B2343" s="6" t="s">
        <v>124</v>
      </c>
      <c r="C2343" s="6" t="s">
        <v>159</v>
      </c>
      <c r="D2343" s="6" t="s">
        <v>160</v>
      </c>
      <c r="E2343" s="6" t="s">
        <v>1435</v>
      </c>
      <c r="F2343" s="6" t="s">
        <v>2044</v>
      </c>
      <c r="G2343" s="6">
        <v>33.11</v>
      </c>
      <c r="H2343" s="6">
        <v>33.11</v>
      </c>
      <c r="I2343" s="6">
        <v>95</v>
      </c>
      <c r="J2343" s="6">
        <v>1800</v>
      </c>
      <c r="K2343" s="7">
        <f>(J2343-M2343)*税费参数!$B$12/(I2343*10000*(1+SUM(税费参数!$B$6:$B$8)))</f>
        <v>0.0165349815216006</v>
      </c>
      <c r="L2343" s="7">
        <f>J2343*税费参数!$B$12/(I2343*10000)</f>
        <v>0.0189473684210526</v>
      </c>
      <c r="M2343" s="6">
        <f>I2343*10000*SUM(税费参数!$B$9:$B$10)/税费参数!$B$11</f>
        <v>178.125</v>
      </c>
    </row>
    <row r="2344" ht="21" customHeight="1" spans="1:13">
      <c r="A2344" s="5" t="s">
        <v>16</v>
      </c>
      <c r="B2344" s="6" t="s">
        <v>124</v>
      </c>
      <c r="C2344" s="6" t="s">
        <v>159</v>
      </c>
      <c r="D2344" s="6" t="s">
        <v>160</v>
      </c>
      <c r="E2344" s="6" t="s">
        <v>1435</v>
      </c>
      <c r="F2344" s="6" t="s">
        <v>2045</v>
      </c>
      <c r="G2344" s="6">
        <v>33.11</v>
      </c>
      <c r="H2344" s="6">
        <v>33.11</v>
      </c>
      <c r="I2344" s="6">
        <v>95</v>
      </c>
      <c r="J2344" s="6">
        <v>1600</v>
      </c>
      <c r="K2344" s="7">
        <f>(J2344-M2344)*税费参数!$B$12/(I2344*10000*(1+SUM(税费参数!$B$6:$B$8)))</f>
        <v>0.0144959857270294</v>
      </c>
      <c r="L2344" s="7">
        <f>J2344*税费参数!$B$12/(I2344*10000)</f>
        <v>0.0168421052631579</v>
      </c>
      <c r="M2344" s="6">
        <f>I2344*10000*SUM(税费参数!$B$9:$B$10)/税费参数!$B$11</f>
        <v>178.125</v>
      </c>
    </row>
    <row r="2345" ht="21" customHeight="1" spans="1:13">
      <c r="A2345" s="5" t="s">
        <v>16</v>
      </c>
      <c r="B2345" s="6" t="s">
        <v>124</v>
      </c>
      <c r="C2345" s="6" t="s">
        <v>159</v>
      </c>
      <c r="D2345" s="6" t="s">
        <v>160</v>
      </c>
      <c r="E2345" s="6" t="s">
        <v>1435</v>
      </c>
      <c r="F2345" s="6" t="s">
        <v>2046</v>
      </c>
      <c r="G2345" s="6">
        <v>33.11</v>
      </c>
      <c r="H2345" s="6">
        <v>33.11</v>
      </c>
      <c r="I2345" s="6">
        <v>95</v>
      </c>
      <c r="J2345" s="6">
        <v>1900</v>
      </c>
      <c r="K2345" s="7">
        <f>(J2345-M2345)*税费参数!$B$12/(I2345*10000*(1+SUM(税费参数!$B$6:$B$8)))</f>
        <v>0.0175544794188862</v>
      </c>
      <c r="L2345" s="7">
        <f>J2345*税费参数!$B$12/(I2345*10000)</f>
        <v>0.02</v>
      </c>
      <c r="M2345" s="6">
        <f>I2345*10000*SUM(税费参数!$B$9:$B$10)/税费参数!$B$11</f>
        <v>178.125</v>
      </c>
    </row>
    <row r="2346" ht="21" customHeight="1" spans="1:13">
      <c r="A2346" s="5" t="s">
        <v>16</v>
      </c>
      <c r="B2346" s="6" t="s">
        <v>124</v>
      </c>
      <c r="C2346" s="6" t="s">
        <v>159</v>
      </c>
      <c r="D2346" s="6" t="s">
        <v>160</v>
      </c>
      <c r="E2346" s="6" t="s">
        <v>1435</v>
      </c>
      <c r="F2346" s="6" t="s">
        <v>2047</v>
      </c>
      <c r="G2346" s="6">
        <v>33.11</v>
      </c>
      <c r="H2346" s="6">
        <v>33.11</v>
      </c>
      <c r="I2346" s="6">
        <v>95</v>
      </c>
      <c r="J2346" s="6">
        <v>1750</v>
      </c>
      <c r="K2346" s="7">
        <f>(J2346-M2346)*税费参数!$B$12/(I2346*10000*(1+SUM(税费参数!$B$6:$B$8)))</f>
        <v>0.0160252325729578</v>
      </c>
      <c r="L2346" s="7">
        <f>J2346*税费参数!$B$12/(I2346*10000)</f>
        <v>0.0184210526315789</v>
      </c>
      <c r="M2346" s="6">
        <f>I2346*10000*SUM(税费参数!$B$9:$B$10)/税费参数!$B$11</f>
        <v>178.125</v>
      </c>
    </row>
    <row r="2347" ht="21" customHeight="1" spans="1:13">
      <c r="A2347" s="5" t="s">
        <v>16</v>
      </c>
      <c r="B2347" s="6" t="s">
        <v>124</v>
      </c>
      <c r="C2347" s="6" t="s">
        <v>159</v>
      </c>
      <c r="D2347" s="6" t="s">
        <v>160</v>
      </c>
      <c r="E2347" s="6" t="s">
        <v>1435</v>
      </c>
      <c r="F2347" s="6" t="s">
        <v>2048</v>
      </c>
      <c r="G2347" s="6">
        <v>33.11</v>
      </c>
      <c r="H2347" s="6">
        <v>33.11</v>
      </c>
      <c r="I2347" s="6">
        <v>95</v>
      </c>
      <c r="J2347" s="6">
        <v>1600</v>
      </c>
      <c r="K2347" s="7">
        <f>(J2347-M2347)*税费参数!$B$12/(I2347*10000*(1+SUM(税费参数!$B$6:$B$8)))</f>
        <v>0.0144959857270294</v>
      </c>
      <c r="L2347" s="7">
        <f>J2347*税费参数!$B$12/(I2347*10000)</f>
        <v>0.0168421052631579</v>
      </c>
      <c r="M2347" s="6">
        <f>I2347*10000*SUM(税费参数!$B$9:$B$10)/税费参数!$B$11</f>
        <v>178.125</v>
      </c>
    </row>
    <row r="2348" ht="21" customHeight="1" spans="1:13">
      <c r="A2348" s="5" t="s">
        <v>16</v>
      </c>
      <c r="B2348" s="6" t="s">
        <v>124</v>
      </c>
      <c r="C2348" s="6" t="s">
        <v>159</v>
      </c>
      <c r="D2348" s="6" t="s">
        <v>160</v>
      </c>
      <c r="E2348" s="6" t="s">
        <v>1445</v>
      </c>
      <c r="F2348" s="6" t="s">
        <v>2043</v>
      </c>
      <c r="G2348" s="6">
        <v>33.11</v>
      </c>
      <c r="H2348" s="6">
        <v>33.11</v>
      </c>
      <c r="I2348" s="6">
        <v>102</v>
      </c>
      <c r="J2348" s="6">
        <v>1550</v>
      </c>
      <c r="K2348" s="7">
        <f>(J2348-M2348)*税费参数!$B$12/(I2348*10000*(1+SUM(税费参数!$B$6:$B$8)))</f>
        <v>0.0129017708778427</v>
      </c>
      <c r="L2348" s="7">
        <f>J2348*税费参数!$B$12/(I2348*10000)</f>
        <v>0.0151960784313725</v>
      </c>
      <c r="M2348" s="6">
        <f>I2348*10000*SUM(税费参数!$B$9:$B$10)/税费参数!$B$11</f>
        <v>191.25</v>
      </c>
    </row>
    <row r="2349" ht="21" customHeight="1" spans="1:13">
      <c r="A2349" s="5" t="s">
        <v>16</v>
      </c>
      <c r="B2349" s="6" t="s">
        <v>124</v>
      </c>
      <c r="C2349" s="6" t="s">
        <v>159</v>
      </c>
      <c r="D2349" s="6" t="s">
        <v>160</v>
      </c>
      <c r="E2349" s="6" t="s">
        <v>1445</v>
      </c>
      <c r="F2349" s="6" t="s">
        <v>2044</v>
      </c>
      <c r="G2349" s="6">
        <v>33.11</v>
      </c>
      <c r="H2349" s="6">
        <v>33.11</v>
      </c>
      <c r="I2349" s="6">
        <v>102</v>
      </c>
      <c r="J2349" s="6">
        <v>1800</v>
      </c>
      <c r="K2349" s="7">
        <f>(J2349-M2349)*税费参数!$B$12/(I2349*10000*(1+SUM(税费参数!$B$6:$B$8)))</f>
        <v>0.0152756017661302</v>
      </c>
      <c r="L2349" s="7">
        <f>J2349*税费参数!$B$12/(I2349*10000)</f>
        <v>0.0176470588235294</v>
      </c>
      <c r="M2349" s="6">
        <f>I2349*10000*SUM(税费参数!$B$9:$B$10)/税费参数!$B$11</f>
        <v>191.25</v>
      </c>
    </row>
    <row r="2350" ht="21" customHeight="1" spans="1:13">
      <c r="A2350" s="5" t="s">
        <v>16</v>
      </c>
      <c r="B2350" s="6" t="s">
        <v>124</v>
      </c>
      <c r="C2350" s="6" t="s">
        <v>159</v>
      </c>
      <c r="D2350" s="6" t="s">
        <v>160</v>
      </c>
      <c r="E2350" s="6" t="s">
        <v>1445</v>
      </c>
      <c r="F2350" s="6" t="s">
        <v>2045</v>
      </c>
      <c r="G2350" s="6">
        <v>33.11</v>
      </c>
      <c r="H2350" s="6">
        <v>33.11</v>
      </c>
      <c r="I2350" s="6">
        <v>102</v>
      </c>
      <c r="J2350" s="6">
        <v>1600</v>
      </c>
      <c r="K2350" s="7">
        <f>(J2350-M2350)*税费参数!$B$12/(I2350*10000*(1+SUM(税费参数!$B$6:$B$8)))</f>
        <v>0.0133765370555002</v>
      </c>
      <c r="L2350" s="7">
        <f>J2350*税费参数!$B$12/(I2350*10000)</f>
        <v>0.0156862745098039</v>
      </c>
      <c r="M2350" s="6">
        <f>I2350*10000*SUM(税费参数!$B$9:$B$10)/税费参数!$B$11</f>
        <v>191.25</v>
      </c>
    </row>
    <row r="2351" ht="21" customHeight="1" spans="1:13">
      <c r="A2351" s="5" t="s">
        <v>16</v>
      </c>
      <c r="B2351" s="6" t="s">
        <v>124</v>
      </c>
      <c r="C2351" s="6" t="s">
        <v>159</v>
      </c>
      <c r="D2351" s="6" t="s">
        <v>160</v>
      </c>
      <c r="E2351" s="6" t="s">
        <v>1445</v>
      </c>
      <c r="F2351" s="6" t="s">
        <v>2046</v>
      </c>
      <c r="G2351" s="6">
        <v>33.11</v>
      </c>
      <c r="H2351" s="6">
        <v>33.11</v>
      </c>
      <c r="I2351" s="6">
        <v>102</v>
      </c>
      <c r="J2351" s="6">
        <v>1900</v>
      </c>
      <c r="K2351" s="7">
        <f>(J2351-M2351)*税费参数!$B$12/(I2351*10000*(1+SUM(税费参数!$B$6:$B$8)))</f>
        <v>0.0162251341214452</v>
      </c>
      <c r="L2351" s="7">
        <f>J2351*税费参数!$B$12/(I2351*10000)</f>
        <v>0.0186274509803922</v>
      </c>
      <c r="M2351" s="6">
        <f>I2351*10000*SUM(税费参数!$B$9:$B$10)/税费参数!$B$11</f>
        <v>191.25</v>
      </c>
    </row>
    <row r="2352" ht="21" customHeight="1" spans="1:13">
      <c r="A2352" s="5" t="s">
        <v>16</v>
      </c>
      <c r="B2352" s="6" t="s">
        <v>124</v>
      </c>
      <c r="C2352" s="6" t="s">
        <v>159</v>
      </c>
      <c r="D2352" s="6" t="s">
        <v>160</v>
      </c>
      <c r="E2352" s="6" t="s">
        <v>1445</v>
      </c>
      <c r="F2352" s="6" t="s">
        <v>2047</v>
      </c>
      <c r="G2352" s="6">
        <v>33.11</v>
      </c>
      <c r="H2352" s="6">
        <v>33.11</v>
      </c>
      <c r="I2352" s="6">
        <v>102</v>
      </c>
      <c r="J2352" s="6">
        <v>1750</v>
      </c>
      <c r="K2352" s="7">
        <f>(J2352-M2352)*税费参数!$B$12/(I2352*10000*(1+SUM(税费参数!$B$6:$B$8)))</f>
        <v>0.0148008355884727</v>
      </c>
      <c r="L2352" s="7">
        <f>J2352*税费参数!$B$12/(I2352*10000)</f>
        <v>0.017156862745098</v>
      </c>
      <c r="M2352" s="6">
        <f>I2352*10000*SUM(税费参数!$B$9:$B$10)/税费参数!$B$11</f>
        <v>191.25</v>
      </c>
    </row>
    <row r="2353" ht="21" customHeight="1" spans="1:13">
      <c r="A2353" s="5" t="s">
        <v>16</v>
      </c>
      <c r="B2353" s="6" t="s">
        <v>124</v>
      </c>
      <c r="C2353" s="6" t="s">
        <v>159</v>
      </c>
      <c r="D2353" s="6" t="s">
        <v>160</v>
      </c>
      <c r="E2353" s="6" t="s">
        <v>1445</v>
      </c>
      <c r="F2353" s="6" t="s">
        <v>2048</v>
      </c>
      <c r="G2353" s="6">
        <v>33.11</v>
      </c>
      <c r="H2353" s="6">
        <v>33.11</v>
      </c>
      <c r="I2353" s="6">
        <v>102</v>
      </c>
      <c r="J2353" s="6">
        <v>1600</v>
      </c>
      <c r="K2353" s="7">
        <f>(J2353-M2353)*税费参数!$B$12/(I2353*10000*(1+SUM(税费参数!$B$6:$B$8)))</f>
        <v>0.0133765370555002</v>
      </c>
      <c r="L2353" s="7">
        <f>J2353*税费参数!$B$12/(I2353*10000)</f>
        <v>0.0156862745098039</v>
      </c>
      <c r="M2353" s="6">
        <f>I2353*10000*SUM(税费参数!$B$9:$B$10)/税费参数!$B$11</f>
        <v>191.25</v>
      </c>
    </row>
    <row r="2354" ht="21" customHeight="1" spans="1:13">
      <c r="A2354" s="5" t="s">
        <v>16</v>
      </c>
      <c r="B2354" s="6" t="s">
        <v>124</v>
      </c>
      <c r="C2354" s="6" t="s">
        <v>159</v>
      </c>
      <c r="D2354" s="6" t="s">
        <v>160</v>
      </c>
      <c r="E2354" s="6" t="s">
        <v>1449</v>
      </c>
      <c r="F2354" s="6" t="s">
        <v>2043</v>
      </c>
      <c r="G2354" s="6">
        <v>33.11</v>
      </c>
      <c r="H2354" s="6">
        <v>33.11</v>
      </c>
      <c r="I2354" s="6">
        <v>100</v>
      </c>
      <c r="J2354" s="6">
        <v>1550</v>
      </c>
      <c r="K2354" s="7">
        <f>(J2354-M2354)*税费参数!$B$12/(I2354*10000*(1+SUM(税费参数!$B$6:$B$8)))</f>
        <v>0.0131961259079903</v>
      </c>
      <c r="L2354" s="7">
        <f>J2354*税费参数!$B$12/(I2354*10000)</f>
        <v>0.0155</v>
      </c>
      <c r="M2354" s="6">
        <f>I2354*10000*SUM(税费参数!$B$9:$B$10)/税费参数!$B$11</f>
        <v>187.5</v>
      </c>
    </row>
    <row r="2355" ht="21" customHeight="1" spans="1:13">
      <c r="A2355" s="5" t="s">
        <v>16</v>
      </c>
      <c r="B2355" s="6" t="s">
        <v>124</v>
      </c>
      <c r="C2355" s="6" t="s">
        <v>159</v>
      </c>
      <c r="D2355" s="6" t="s">
        <v>160</v>
      </c>
      <c r="E2355" s="6" t="s">
        <v>1449</v>
      </c>
      <c r="F2355" s="6" t="s">
        <v>2044</v>
      </c>
      <c r="G2355" s="6">
        <v>33.11</v>
      </c>
      <c r="H2355" s="6">
        <v>33.11</v>
      </c>
      <c r="I2355" s="6">
        <v>100</v>
      </c>
      <c r="J2355" s="6">
        <v>1800</v>
      </c>
      <c r="K2355" s="7">
        <f>(J2355-M2355)*税费参数!$B$12/(I2355*10000*(1+SUM(税费参数!$B$6:$B$8)))</f>
        <v>0.0156174334140436</v>
      </c>
      <c r="L2355" s="7">
        <f>J2355*税费参数!$B$12/(I2355*10000)</f>
        <v>0.018</v>
      </c>
      <c r="M2355" s="6">
        <f>I2355*10000*SUM(税费参数!$B$9:$B$10)/税费参数!$B$11</f>
        <v>187.5</v>
      </c>
    </row>
    <row r="2356" ht="21" customHeight="1" spans="1:13">
      <c r="A2356" s="5" t="s">
        <v>16</v>
      </c>
      <c r="B2356" s="6" t="s">
        <v>124</v>
      </c>
      <c r="C2356" s="6" t="s">
        <v>159</v>
      </c>
      <c r="D2356" s="6" t="s">
        <v>160</v>
      </c>
      <c r="E2356" s="6" t="s">
        <v>1449</v>
      </c>
      <c r="F2356" s="6" t="s">
        <v>2045</v>
      </c>
      <c r="G2356" s="6">
        <v>33.11</v>
      </c>
      <c r="H2356" s="6">
        <v>33.11</v>
      </c>
      <c r="I2356" s="6">
        <v>100</v>
      </c>
      <c r="J2356" s="6">
        <v>1600</v>
      </c>
      <c r="K2356" s="7">
        <f>(J2356-M2356)*税费参数!$B$12/(I2356*10000*(1+SUM(税费参数!$B$6:$B$8)))</f>
        <v>0.013680387409201</v>
      </c>
      <c r="L2356" s="7">
        <f>J2356*税费参数!$B$12/(I2356*10000)</f>
        <v>0.016</v>
      </c>
      <c r="M2356" s="6">
        <f>I2356*10000*SUM(税费参数!$B$9:$B$10)/税费参数!$B$11</f>
        <v>187.5</v>
      </c>
    </row>
    <row r="2357" ht="21" customHeight="1" spans="1:13">
      <c r="A2357" s="5" t="s">
        <v>16</v>
      </c>
      <c r="B2357" s="6" t="s">
        <v>124</v>
      </c>
      <c r="C2357" s="6" t="s">
        <v>159</v>
      </c>
      <c r="D2357" s="6" t="s">
        <v>160</v>
      </c>
      <c r="E2357" s="6" t="s">
        <v>1449</v>
      </c>
      <c r="F2357" s="6" t="s">
        <v>2046</v>
      </c>
      <c r="G2357" s="6">
        <v>33.11</v>
      </c>
      <c r="H2357" s="6">
        <v>33.11</v>
      </c>
      <c r="I2357" s="6">
        <v>100</v>
      </c>
      <c r="J2357" s="6">
        <v>1900</v>
      </c>
      <c r="K2357" s="7">
        <f>(J2357-M2357)*税费参数!$B$12/(I2357*10000*(1+SUM(税费参数!$B$6:$B$8)))</f>
        <v>0.0165859564164649</v>
      </c>
      <c r="L2357" s="7">
        <f>J2357*税费参数!$B$12/(I2357*10000)</f>
        <v>0.019</v>
      </c>
      <c r="M2357" s="6">
        <f>I2357*10000*SUM(税费参数!$B$9:$B$10)/税费参数!$B$11</f>
        <v>187.5</v>
      </c>
    </row>
    <row r="2358" ht="21" customHeight="1" spans="1:13">
      <c r="A2358" s="5" t="s">
        <v>16</v>
      </c>
      <c r="B2358" s="6" t="s">
        <v>124</v>
      </c>
      <c r="C2358" s="6" t="s">
        <v>159</v>
      </c>
      <c r="D2358" s="6" t="s">
        <v>160</v>
      </c>
      <c r="E2358" s="6" t="s">
        <v>1449</v>
      </c>
      <c r="F2358" s="6" t="s">
        <v>2047</v>
      </c>
      <c r="G2358" s="6">
        <v>33.11</v>
      </c>
      <c r="H2358" s="6">
        <v>33.11</v>
      </c>
      <c r="I2358" s="6">
        <v>100</v>
      </c>
      <c r="J2358" s="6">
        <v>1750</v>
      </c>
      <c r="K2358" s="7">
        <f>(J2358-M2358)*税费参数!$B$12/(I2358*10000*(1+SUM(税费参数!$B$6:$B$8)))</f>
        <v>0.0151331719128329</v>
      </c>
      <c r="L2358" s="7">
        <f>J2358*税费参数!$B$12/(I2358*10000)</f>
        <v>0.0175</v>
      </c>
      <c r="M2358" s="6">
        <f>I2358*10000*SUM(税费参数!$B$9:$B$10)/税费参数!$B$11</f>
        <v>187.5</v>
      </c>
    </row>
    <row r="2359" ht="21" customHeight="1" spans="1:13">
      <c r="A2359" s="5" t="s">
        <v>16</v>
      </c>
      <c r="B2359" s="6" t="s">
        <v>124</v>
      </c>
      <c r="C2359" s="6" t="s">
        <v>159</v>
      </c>
      <c r="D2359" s="6" t="s">
        <v>160</v>
      </c>
      <c r="E2359" s="6" t="s">
        <v>1449</v>
      </c>
      <c r="F2359" s="6" t="s">
        <v>2048</v>
      </c>
      <c r="G2359" s="6">
        <v>33.11</v>
      </c>
      <c r="H2359" s="6">
        <v>33.11</v>
      </c>
      <c r="I2359" s="6">
        <v>100</v>
      </c>
      <c r="J2359" s="6">
        <v>1600</v>
      </c>
      <c r="K2359" s="7">
        <f>(J2359-M2359)*税费参数!$B$12/(I2359*10000*(1+SUM(税费参数!$B$6:$B$8)))</f>
        <v>0.013680387409201</v>
      </c>
      <c r="L2359" s="7">
        <f>J2359*税费参数!$B$12/(I2359*10000)</f>
        <v>0.016</v>
      </c>
      <c r="M2359" s="6">
        <f>I2359*10000*SUM(税费参数!$B$9:$B$10)/税费参数!$B$11</f>
        <v>187.5</v>
      </c>
    </row>
    <row r="2360" ht="21" customHeight="1" spans="1:13">
      <c r="A2360" s="5" t="s">
        <v>16</v>
      </c>
      <c r="B2360" s="6" t="s">
        <v>124</v>
      </c>
      <c r="C2360" s="6" t="s">
        <v>152</v>
      </c>
      <c r="D2360" s="6" t="s">
        <v>160</v>
      </c>
      <c r="E2360" s="6" t="s">
        <v>1427</v>
      </c>
      <c r="F2360" s="6" t="s">
        <v>2049</v>
      </c>
      <c r="G2360" s="6">
        <v>42.81</v>
      </c>
      <c r="H2360" s="6">
        <v>42.81</v>
      </c>
      <c r="I2360" s="6">
        <v>117</v>
      </c>
      <c r="J2360" s="6">
        <v>1800</v>
      </c>
      <c r="K2360" s="7">
        <f>(J2360-M2360)*税费参数!$B$12/(I2360*10000*(1+SUM(税费参数!$B$6:$B$8)))</f>
        <v>0.0130843732538648</v>
      </c>
      <c r="L2360" s="7">
        <f>J2360*税费参数!$B$12/(I2360*10000)</f>
        <v>0.0153846153846154</v>
      </c>
      <c r="M2360" s="6">
        <f>I2360*10000*SUM(税费参数!$B$9:$B$10)/税费参数!$B$11</f>
        <v>219.375</v>
      </c>
    </row>
    <row r="2361" ht="21" customHeight="1" spans="1:13">
      <c r="A2361" s="5" t="s">
        <v>16</v>
      </c>
      <c r="B2361" s="6" t="s">
        <v>124</v>
      </c>
      <c r="C2361" s="6" t="s">
        <v>152</v>
      </c>
      <c r="D2361" s="6" t="s">
        <v>160</v>
      </c>
      <c r="E2361" s="6" t="s">
        <v>1427</v>
      </c>
      <c r="F2361" s="6" t="s">
        <v>2050</v>
      </c>
      <c r="G2361" s="6">
        <v>42.81</v>
      </c>
      <c r="H2361" s="6">
        <v>42.81</v>
      </c>
      <c r="I2361" s="6">
        <v>117</v>
      </c>
      <c r="J2361" s="6">
        <v>2200</v>
      </c>
      <c r="K2361" s="7">
        <f>(J2361-M2361)*税费参数!$B$12/(I2361*10000*(1+SUM(税费参数!$B$6:$B$8)))</f>
        <v>0.0163955630057325</v>
      </c>
      <c r="L2361" s="7">
        <f>J2361*税费参数!$B$12/(I2361*10000)</f>
        <v>0.0188034188034188</v>
      </c>
      <c r="M2361" s="6">
        <f>I2361*10000*SUM(税费参数!$B$9:$B$10)/税费参数!$B$11</f>
        <v>219.375</v>
      </c>
    </row>
    <row r="2362" ht="21" customHeight="1" spans="1:13">
      <c r="A2362" s="5" t="s">
        <v>16</v>
      </c>
      <c r="B2362" s="6" t="s">
        <v>124</v>
      </c>
      <c r="C2362" s="6" t="s">
        <v>152</v>
      </c>
      <c r="D2362" s="6" t="s">
        <v>160</v>
      </c>
      <c r="E2362" s="6" t="s">
        <v>1427</v>
      </c>
      <c r="F2362" s="6" t="s">
        <v>2051</v>
      </c>
      <c r="G2362" s="6">
        <v>42.81</v>
      </c>
      <c r="H2362" s="6">
        <v>42.8</v>
      </c>
      <c r="I2362" s="6">
        <v>117</v>
      </c>
      <c r="J2362" s="6">
        <v>1800</v>
      </c>
      <c r="K2362" s="7">
        <f>(J2362-M2362)*税费参数!$B$12/(I2362*10000*(1+SUM(税费参数!$B$6:$B$8)))</f>
        <v>0.0130843732538648</v>
      </c>
      <c r="L2362" s="7">
        <f>J2362*税费参数!$B$12/(I2362*10000)</f>
        <v>0.0153846153846154</v>
      </c>
      <c r="M2362" s="6">
        <f>I2362*10000*SUM(税费参数!$B$9:$B$10)/税费参数!$B$11</f>
        <v>219.375</v>
      </c>
    </row>
    <row r="2363" ht="21" customHeight="1" spans="1:13">
      <c r="A2363" s="5" t="s">
        <v>16</v>
      </c>
      <c r="B2363" s="6" t="s">
        <v>124</v>
      </c>
      <c r="C2363" s="6" t="s">
        <v>152</v>
      </c>
      <c r="D2363" s="6" t="s">
        <v>160</v>
      </c>
      <c r="E2363" s="6" t="s">
        <v>1427</v>
      </c>
      <c r="F2363" s="6" t="s">
        <v>2052</v>
      </c>
      <c r="G2363" s="6">
        <v>42.81</v>
      </c>
      <c r="H2363" s="6">
        <v>42.81</v>
      </c>
      <c r="I2363" s="6">
        <v>117</v>
      </c>
      <c r="J2363" s="6">
        <v>1700</v>
      </c>
      <c r="K2363" s="7">
        <f>(J2363-M2363)*税费参数!$B$12/(I2363*10000*(1+SUM(税费参数!$B$6:$B$8)))</f>
        <v>0.0122565758158978</v>
      </c>
      <c r="L2363" s="7">
        <f>J2363*税费参数!$B$12/(I2363*10000)</f>
        <v>0.0145299145299145</v>
      </c>
      <c r="M2363" s="6">
        <f>I2363*10000*SUM(税费参数!$B$9:$B$10)/税费参数!$B$11</f>
        <v>219.375</v>
      </c>
    </row>
    <row r="2364" ht="21" customHeight="1" spans="1:13">
      <c r="A2364" s="5" t="s">
        <v>16</v>
      </c>
      <c r="B2364" s="6" t="s">
        <v>124</v>
      </c>
      <c r="C2364" s="6" t="s">
        <v>152</v>
      </c>
      <c r="D2364" s="6" t="s">
        <v>160</v>
      </c>
      <c r="E2364" s="6" t="s">
        <v>1427</v>
      </c>
      <c r="F2364" s="6" t="s">
        <v>2053</v>
      </c>
      <c r="G2364" s="6">
        <v>42.81</v>
      </c>
      <c r="H2364" s="6">
        <v>42.81</v>
      </c>
      <c r="I2364" s="6">
        <v>117</v>
      </c>
      <c r="J2364" s="6">
        <v>1600</v>
      </c>
      <c r="K2364" s="7">
        <f>(J2364-M2364)*税费参数!$B$12/(I2364*10000*(1+SUM(税费参数!$B$6:$B$8)))</f>
        <v>0.0114287783779309</v>
      </c>
      <c r="L2364" s="7">
        <f>J2364*税费参数!$B$12/(I2364*10000)</f>
        <v>0.0136752136752137</v>
      </c>
      <c r="M2364" s="6">
        <f>I2364*10000*SUM(税费参数!$B$9:$B$10)/税费参数!$B$11</f>
        <v>219.375</v>
      </c>
    </row>
    <row r="2365" ht="21" customHeight="1" spans="1:13">
      <c r="A2365" s="5" t="s">
        <v>16</v>
      </c>
      <c r="B2365" s="6" t="s">
        <v>124</v>
      </c>
      <c r="C2365" s="6" t="s">
        <v>152</v>
      </c>
      <c r="D2365" s="6" t="s">
        <v>160</v>
      </c>
      <c r="E2365" s="6" t="s">
        <v>1427</v>
      </c>
      <c r="F2365" s="6" t="s">
        <v>2054</v>
      </c>
      <c r="G2365" s="6">
        <v>42.81</v>
      </c>
      <c r="H2365" s="6">
        <v>42.81</v>
      </c>
      <c r="I2365" s="6">
        <v>117</v>
      </c>
      <c r="J2365" s="6">
        <v>1900</v>
      </c>
      <c r="K2365" s="7">
        <f>(J2365-M2365)*税费参数!$B$12/(I2365*10000*(1+SUM(税费参数!$B$6:$B$8)))</f>
        <v>0.0139121706918317</v>
      </c>
      <c r="L2365" s="7">
        <f>J2365*税费参数!$B$12/(I2365*10000)</f>
        <v>0.0162393162393162</v>
      </c>
      <c r="M2365" s="6">
        <f>I2365*10000*SUM(税费参数!$B$9:$B$10)/税费参数!$B$11</f>
        <v>219.375</v>
      </c>
    </row>
    <row r="2366" ht="21" customHeight="1" spans="1:13">
      <c r="A2366" s="5" t="s">
        <v>16</v>
      </c>
      <c r="B2366" s="6" t="s">
        <v>124</v>
      </c>
      <c r="C2366" s="6" t="s">
        <v>152</v>
      </c>
      <c r="D2366" s="6" t="s">
        <v>160</v>
      </c>
      <c r="E2366" s="6" t="s">
        <v>1427</v>
      </c>
      <c r="F2366" s="6" t="s">
        <v>2055</v>
      </c>
      <c r="G2366" s="6">
        <v>42.81</v>
      </c>
      <c r="H2366" s="6">
        <v>42.81</v>
      </c>
      <c r="I2366" s="6">
        <v>117</v>
      </c>
      <c r="J2366" s="6">
        <v>3000</v>
      </c>
      <c r="K2366" s="7">
        <f>(J2366-M2366)*税费参数!$B$12/(I2366*10000*(1+SUM(税费参数!$B$6:$B$8)))</f>
        <v>0.0230179425094679</v>
      </c>
      <c r="L2366" s="7">
        <f>J2366*税费参数!$B$12/(I2366*10000)</f>
        <v>0.0256410256410256</v>
      </c>
      <c r="M2366" s="6">
        <f>I2366*10000*SUM(税费参数!$B$9:$B$10)/税费参数!$B$11</f>
        <v>219.375</v>
      </c>
    </row>
    <row r="2367" ht="21" customHeight="1" spans="1:13">
      <c r="A2367" s="5" t="s">
        <v>16</v>
      </c>
      <c r="B2367" s="6" t="s">
        <v>124</v>
      </c>
      <c r="C2367" s="6" t="s">
        <v>152</v>
      </c>
      <c r="D2367" s="6" t="s">
        <v>160</v>
      </c>
      <c r="E2367" s="6" t="s">
        <v>1427</v>
      </c>
      <c r="F2367" s="6" t="s">
        <v>2056</v>
      </c>
      <c r="G2367" s="6">
        <v>42.81</v>
      </c>
      <c r="H2367" s="6">
        <v>42.81</v>
      </c>
      <c r="I2367" s="6">
        <v>117</v>
      </c>
      <c r="J2367" s="6">
        <v>2000</v>
      </c>
      <c r="K2367" s="7">
        <f>(J2367-M2367)*税费参数!$B$12/(I2367*10000*(1+SUM(税费参数!$B$6:$B$8)))</f>
        <v>0.0147399681297986</v>
      </c>
      <c r="L2367" s="7">
        <f>J2367*税费参数!$B$12/(I2367*10000)</f>
        <v>0.0170940170940171</v>
      </c>
      <c r="M2367" s="6">
        <f>I2367*10000*SUM(税费参数!$B$9:$B$10)/税费参数!$B$11</f>
        <v>219.375</v>
      </c>
    </row>
    <row r="2368" ht="21" customHeight="1" spans="1:13">
      <c r="A2368" s="5" t="s">
        <v>16</v>
      </c>
      <c r="B2368" s="6" t="s">
        <v>124</v>
      </c>
      <c r="C2368" s="6" t="s">
        <v>152</v>
      </c>
      <c r="D2368" s="6" t="s">
        <v>160</v>
      </c>
      <c r="E2368" s="6" t="s">
        <v>1431</v>
      </c>
      <c r="F2368" s="6" t="s">
        <v>2049</v>
      </c>
      <c r="G2368" s="6">
        <v>42.81</v>
      </c>
      <c r="H2368" s="6">
        <v>42.81</v>
      </c>
      <c r="I2368" s="6">
        <v>108</v>
      </c>
      <c r="J2368" s="6">
        <v>1800</v>
      </c>
      <c r="K2368" s="7">
        <f>(J2368-M2368)*税费参数!$B$12/(I2368*10000*(1+SUM(税费参数!$B$6:$B$8)))</f>
        <v>0.0143260694108152</v>
      </c>
      <c r="L2368" s="7">
        <f>J2368*税费参数!$B$12/(I2368*10000)</f>
        <v>0.0166666666666667</v>
      </c>
      <c r="M2368" s="6">
        <f>I2368*10000*SUM(税费参数!$B$9:$B$10)/税费参数!$B$11</f>
        <v>202.5</v>
      </c>
    </row>
    <row r="2369" ht="21" customHeight="1" spans="1:13">
      <c r="A2369" s="5" t="s">
        <v>16</v>
      </c>
      <c r="B2369" s="6" t="s">
        <v>124</v>
      </c>
      <c r="C2369" s="6" t="s">
        <v>152</v>
      </c>
      <c r="D2369" s="6" t="s">
        <v>160</v>
      </c>
      <c r="E2369" s="6" t="s">
        <v>1431</v>
      </c>
      <c r="F2369" s="6" t="s">
        <v>2050</v>
      </c>
      <c r="G2369" s="6">
        <v>42.81</v>
      </c>
      <c r="H2369" s="6">
        <v>42.81</v>
      </c>
      <c r="I2369" s="6">
        <v>108</v>
      </c>
      <c r="J2369" s="6">
        <v>2200</v>
      </c>
      <c r="K2369" s="7">
        <f>(J2369-M2369)*税费参数!$B$12/(I2369*10000*(1+SUM(税费参数!$B$6:$B$8)))</f>
        <v>0.0179131916420052</v>
      </c>
      <c r="L2369" s="7">
        <f>J2369*税费参数!$B$12/(I2369*10000)</f>
        <v>0.0203703703703704</v>
      </c>
      <c r="M2369" s="6">
        <f>I2369*10000*SUM(税费参数!$B$9:$B$10)/税费参数!$B$11</f>
        <v>202.5</v>
      </c>
    </row>
    <row r="2370" ht="21" customHeight="1" spans="1:13">
      <c r="A2370" s="5" t="s">
        <v>16</v>
      </c>
      <c r="B2370" s="6" t="s">
        <v>124</v>
      </c>
      <c r="C2370" s="6" t="s">
        <v>152</v>
      </c>
      <c r="D2370" s="6" t="s">
        <v>160</v>
      </c>
      <c r="E2370" s="6" t="s">
        <v>1431</v>
      </c>
      <c r="F2370" s="6" t="s">
        <v>2051</v>
      </c>
      <c r="G2370" s="6">
        <v>42.81</v>
      </c>
      <c r="H2370" s="6">
        <v>42.8</v>
      </c>
      <c r="I2370" s="6">
        <v>108</v>
      </c>
      <c r="J2370" s="6">
        <v>1800</v>
      </c>
      <c r="K2370" s="7">
        <f>(J2370-M2370)*税费参数!$B$12/(I2370*10000*(1+SUM(税费参数!$B$6:$B$8)))</f>
        <v>0.0143260694108152</v>
      </c>
      <c r="L2370" s="7">
        <f>J2370*税费参数!$B$12/(I2370*10000)</f>
        <v>0.0166666666666667</v>
      </c>
      <c r="M2370" s="6">
        <f>I2370*10000*SUM(税费参数!$B$9:$B$10)/税费参数!$B$11</f>
        <v>202.5</v>
      </c>
    </row>
    <row r="2371" ht="21" customHeight="1" spans="1:13">
      <c r="A2371" s="5" t="s">
        <v>16</v>
      </c>
      <c r="B2371" s="6" t="s">
        <v>124</v>
      </c>
      <c r="C2371" s="6" t="s">
        <v>152</v>
      </c>
      <c r="D2371" s="6" t="s">
        <v>160</v>
      </c>
      <c r="E2371" s="6" t="s">
        <v>1431</v>
      </c>
      <c r="F2371" s="6" t="s">
        <v>2052</v>
      </c>
      <c r="G2371" s="6">
        <v>42.81</v>
      </c>
      <c r="H2371" s="6">
        <v>42.81</v>
      </c>
      <c r="I2371" s="6">
        <v>108</v>
      </c>
      <c r="J2371" s="6">
        <v>1700</v>
      </c>
      <c r="K2371" s="7">
        <f>(J2371-M2371)*税费参数!$B$12/(I2371*10000*(1+SUM(税费参数!$B$6:$B$8)))</f>
        <v>0.0134292888530177</v>
      </c>
      <c r="L2371" s="7">
        <f>J2371*税费参数!$B$12/(I2371*10000)</f>
        <v>0.0157407407407407</v>
      </c>
      <c r="M2371" s="6">
        <f>I2371*10000*SUM(税费参数!$B$9:$B$10)/税费参数!$B$11</f>
        <v>202.5</v>
      </c>
    </row>
    <row r="2372" ht="21" customHeight="1" spans="1:13">
      <c r="A2372" s="5" t="s">
        <v>16</v>
      </c>
      <c r="B2372" s="6" t="s">
        <v>124</v>
      </c>
      <c r="C2372" s="6" t="s">
        <v>152</v>
      </c>
      <c r="D2372" s="6" t="s">
        <v>160</v>
      </c>
      <c r="E2372" s="6" t="s">
        <v>1431</v>
      </c>
      <c r="F2372" s="6" t="s">
        <v>2053</v>
      </c>
      <c r="G2372" s="6">
        <v>42.81</v>
      </c>
      <c r="H2372" s="6">
        <v>42.81</v>
      </c>
      <c r="I2372" s="6">
        <v>108</v>
      </c>
      <c r="J2372" s="6">
        <v>1600</v>
      </c>
      <c r="K2372" s="7">
        <f>(J2372-M2372)*税费参数!$B$12/(I2372*10000*(1+SUM(税费参数!$B$6:$B$8)))</f>
        <v>0.0125325082952202</v>
      </c>
      <c r="L2372" s="7">
        <f>J2372*税费参数!$B$12/(I2372*10000)</f>
        <v>0.0148148148148148</v>
      </c>
      <c r="M2372" s="6">
        <f>I2372*10000*SUM(税费参数!$B$9:$B$10)/税费参数!$B$11</f>
        <v>202.5</v>
      </c>
    </row>
    <row r="2373" ht="21" customHeight="1" spans="1:13">
      <c r="A2373" s="5" t="s">
        <v>16</v>
      </c>
      <c r="B2373" s="6" t="s">
        <v>124</v>
      </c>
      <c r="C2373" s="6" t="s">
        <v>152</v>
      </c>
      <c r="D2373" s="6" t="s">
        <v>160</v>
      </c>
      <c r="E2373" s="6" t="s">
        <v>1431</v>
      </c>
      <c r="F2373" s="6" t="s">
        <v>2054</v>
      </c>
      <c r="G2373" s="6">
        <v>42.81</v>
      </c>
      <c r="H2373" s="6">
        <v>42.81</v>
      </c>
      <c r="I2373" s="6">
        <v>108</v>
      </c>
      <c r="J2373" s="6">
        <v>1900</v>
      </c>
      <c r="K2373" s="7">
        <f>(J2373-M2373)*税费参数!$B$12/(I2373*10000*(1+SUM(税费参数!$B$6:$B$8)))</f>
        <v>0.0152228499686127</v>
      </c>
      <c r="L2373" s="7">
        <f>J2373*税费参数!$B$12/(I2373*10000)</f>
        <v>0.0175925925925926</v>
      </c>
      <c r="M2373" s="6">
        <f>I2373*10000*SUM(税费参数!$B$9:$B$10)/税费参数!$B$11</f>
        <v>202.5</v>
      </c>
    </row>
    <row r="2374" ht="21" customHeight="1" spans="1:13">
      <c r="A2374" s="5" t="s">
        <v>16</v>
      </c>
      <c r="B2374" s="6" t="s">
        <v>124</v>
      </c>
      <c r="C2374" s="6" t="s">
        <v>152</v>
      </c>
      <c r="D2374" s="6" t="s">
        <v>160</v>
      </c>
      <c r="E2374" s="6" t="s">
        <v>1431</v>
      </c>
      <c r="F2374" s="6" t="s">
        <v>2055</v>
      </c>
      <c r="G2374" s="6">
        <v>42.81</v>
      </c>
      <c r="H2374" s="6">
        <v>42.81</v>
      </c>
      <c r="I2374" s="6">
        <v>108</v>
      </c>
      <c r="J2374" s="6">
        <v>3000</v>
      </c>
      <c r="K2374" s="7">
        <f>(J2374-M2374)*税费参数!$B$12/(I2374*10000*(1+SUM(税费参数!$B$6:$B$8)))</f>
        <v>0.0250874361043853</v>
      </c>
      <c r="L2374" s="7">
        <f>J2374*税费参数!$B$12/(I2374*10000)</f>
        <v>0.0277777777777778</v>
      </c>
      <c r="M2374" s="6">
        <f>I2374*10000*SUM(税费参数!$B$9:$B$10)/税费参数!$B$11</f>
        <v>202.5</v>
      </c>
    </row>
    <row r="2375" ht="21" customHeight="1" spans="1:13">
      <c r="A2375" s="5" t="s">
        <v>16</v>
      </c>
      <c r="B2375" s="6" t="s">
        <v>124</v>
      </c>
      <c r="C2375" s="6" t="s">
        <v>152</v>
      </c>
      <c r="D2375" s="6" t="s">
        <v>160</v>
      </c>
      <c r="E2375" s="6" t="s">
        <v>1431</v>
      </c>
      <c r="F2375" s="6" t="s">
        <v>2056</v>
      </c>
      <c r="G2375" s="6">
        <v>42.81</v>
      </c>
      <c r="H2375" s="6">
        <v>42.81</v>
      </c>
      <c r="I2375" s="6">
        <v>108</v>
      </c>
      <c r="J2375" s="6">
        <v>2000</v>
      </c>
      <c r="K2375" s="7">
        <f>(J2375-M2375)*税费参数!$B$12/(I2375*10000*(1+SUM(税费参数!$B$6:$B$8)))</f>
        <v>0.0161196305264102</v>
      </c>
      <c r="L2375" s="7">
        <f>J2375*税费参数!$B$12/(I2375*10000)</f>
        <v>0.0185185185185185</v>
      </c>
      <c r="M2375" s="6">
        <f>I2375*10000*SUM(税费参数!$B$9:$B$10)/税费参数!$B$11</f>
        <v>202.5</v>
      </c>
    </row>
    <row r="2376" ht="21" customHeight="1" spans="1:13">
      <c r="A2376" s="5" t="s">
        <v>16</v>
      </c>
      <c r="B2376" s="6" t="s">
        <v>124</v>
      </c>
      <c r="C2376" s="6" t="s">
        <v>152</v>
      </c>
      <c r="D2376" s="6" t="s">
        <v>160</v>
      </c>
      <c r="E2376" s="6" t="s">
        <v>1425</v>
      </c>
      <c r="F2376" s="6" t="s">
        <v>2049</v>
      </c>
      <c r="G2376" s="6">
        <v>42.81</v>
      </c>
      <c r="H2376" s="6">
        <v>42.81</v>
      </c>
      <c r="I2376" s="6">
        <v>110</v>
      </c>
      <c r="J2376" s="6">
        <v>1800</v>
      </c>
      <c r="K2376" s="7">
        <f>(J2376-M2376)*税费参数!$B$12/(I2376*10000*(1+SUM(税费参数!$B$6:$B$8)))</f>
        <v>0.0140325775918996</v>
      </c>
      <c r="L2376" s="7">
        <f>J2376*税费参数!$B$12/(I2376*10000)</f>
        <v>0.0163636363636364</v>
      </c>
      <c r="M2376" s="6">
        <f>I2376*10000*SUM(税费参数!$B$9:$B$10)/税费参数!$B$11</f>
        <v>206.25</v>
      </c>
    </row>
    <row r="2377" ht="21" customHeight="1" spans="1:13">
      <c r="A2377" s="5" t="s">
        <v>16</v>
      </c>
      <c r="B2377" s="6" t="s">
        <v>124</v>
      </c>
      <c r="C2377" s="6" t="s">
        <v>152</v>
      </c>
      <c r="D2377" s="6" t="s">
        <v>160</v>
      </c>
      <c r="E2377" s="6" t="s">
        <v>1425</v>
      </c>
      <c r="F2377" s="6" t="s">
        <v>2050</v>
      </c>
      <c r="G2377" s="6">
        <v>42.81</v>
      </c>
      <c r="H2377" s="6">
        <v>42.81</v>
      </c>
      <c r="I2377" s="6">
        <v>110</v>
      </c>
      <c r="J2377" s="6">
        <v>2200</v>
      </c>
      <c r="K2377" s="7">
        <f>(J2377-M2377)*税费参数!$B$12/(I2377*10000*(1+SUM(税费参数!$B$6:$B$8)))</f>
        <v>0.0175544794188862</v>
      </c>
      <c r="L2377" s="7">
        <f>J2377*税费参数!$B$12/(I2377*10000)</f>
        <v>0.02</v>
      </c>
      <c r="M2377" s="6">
        <f>I2377*10000*SUM(税费参数!$B$9:$B$10)/税费参数!$B$11</f>
        <v>206.25</v>
      </c>
    </row>
    <row r="2378" ht="21" customHeight="1" spans="1:13">
      <c r="A2378" s="5" t="s">
        <v>16</v>
      </c>
      <c r="B2378" s="6" t="s">
        <v>124</v>
      </c>
      <c r="C2378" s="6" t="s">
        <v>152</v>
      </c>
      <c r="D2378" s="6" t="s">
        <v>160</v>
      </c>
      <c r="E2378" s="6" t="s">
        <v>1425</v>
      </c>
      <c r="F2378" s="6" t="s">
        <v>2051</v>
      </c>
      <c r="G2378" s="6">
        <v>42.81</v>
      </c>
      <c r="H2378" s="6">
        <v>42.8</v>
      </c>
      <c r="I2378" s="6">
        <v>110</v>
      </c>
      <c r="J2378" s="6">
        <v>1800</v>
      </c>
      <c r="K2378" s="7">
        <f>(J2378-M2378)*税费参数!$B$12/(I2378*10000*(1+SUM(税费参数!$B$6:$B$8)))</f>
        <v>0.0140325775918996</v>
      </c>
      <c r="L2378" s="7">
        <f>J2378*税费参数!$B$12/(I2378*10000)</f>
        <v>0.0163636363636364</v>
      </c>
      <c r="M2378" s="6">
        <f>I2378*10000*SUM(税费参数!$B$9:$B$10)/税费参数!$B$11</f>
        <v>206.25</v>
      </c>
    </row>
    <row r="2379" ht="21" customHeight="1" spans="1:13">
      <c r="A2379" s="5" t="s">
        <v>16</v>
      </c>
      <c r="B2379" s="6" t="s">
        <v>124</v>
      </c>
      <c r="C2379" s="6" t="s">
        <v>152</v>
      </c>
      <c r="D2379" s="6" t="s">
        <v>160</v>
      </c>
      <c r="E2379" s="6" t="s">
        <v>1425</v>
      </c>
      <c r="F2379" s="6" t="s">
        <v>2052</v>
      </c>
      <c r="G2379" s="6">
        <v>42.81</v>
      </c>
      <c r="H2379" s="6">
        <v>42.81</v>
      </c>
      <c r="I2379" s="6">
        <v>110</v>
      </c>
      <c r="J2379" s="6">
        <v>1700</v>
      </c>
      <c r="K2379" s="7">
        <f>(J2379-M2379)*税费参数!$B$12/(I2379*10000*(1+SUM(税费参数!$B$6:$B$8)))</f>
        <v>0.013152102135153</v>
      </c>
      <c r="L2379" s="7">
        <f>J2379*税费参数!$B$12/(I2379*10000)</f>
        <v>0.0154545454545455</v>
      </c>
      <c r="M2379" s="6">
        <f>I2379*10000*SUM(税费参数!$B$9:$B$10)/税费参数!$B$11</f>
        <v>206.25</v>
      </c>
    </row>
    <row r="2380" ht="21" customHeight="1" spans="1:13">
      <c r="A2380" s="5" t="s">
        <v>16</v>
      </c>
      <c r="B2380" s="6" t="s">
        <v>124</v>
      </c>
      <c r="C2380" s="6" t="s">
        <v>152</v>
      </c>
      <c r="D2380" s="6" t="s">
        <v>160</v>
      </c>
      <c r="E2380" s="6" t="s">
        <v>1425</v>
      </c>
      <c r="F2380" s="6" t="s">
        <v>2053</v>
      </c>
      <c r="G2380" s="6">
        <v>42.81</v>
      </c>
      <c r="H2380" s="6">
        <v>42.81</v>
      </c>
      <c r="I2380" s="6">
        <v>110</v>
      </c>
      <c r="J2380" s="6">
        <v>1600</v>
      </c>
      <c r="K2380" s="7">
        <f>(J2380-M2380)*税费参数!$B$12/(I2380*10000*(1+SUM(税费参数!$B$6:$B$8)))</f>
        <v>0.0122716266784063</v>
      </c>
      <c r="L2380" s="7">
        <f>J2380*税费参数!$B$12/(I2380*10000)</f>
        <v>0.0145454545454545</v>
      </c>
      <c r="M2380" s="6">
        <f>I2380*10000*SUM(税费参数!$B$9:$B$10)/税费参数!$B$11</f>
        <v>206.25</v>
      </c>
    </row>
    <row r="2381" ht="21" customHeight="1" spans="1:13">
      <c r="A2381" s="5" t="s">
        <v>16</v>
      </c>
      <c r="B2381" s="6" t="s">
        <v>124</v>
      </c>
      <c r="C2381" s="6" t="s">
        <v>152</v>
      </c>
      <c r="D2381" s="6" t="s">
        <v>160</v>
      </c>
      <c r="E2381" s="6" t="s">
        <v>1425</v>
      </c>
      <c r="F2381" s="6" t="s">
        <v>2054</v>
      </c>
      <c r="G2381" s="6">
        <v>42.81</v>
      </c>
      <c r="H2381" s="6">
        <v>42.81</v>
      </c>
      <c r="I2381" s="6">
        <v>110</v>
      </c>
      <c r="J2381" s="6">
        <v>1900</v>
      </c>
      <c r="K2381" s="7">
        <f>(J2381-M2381)*税费参数!$B$12/(I2381*10000*(1+SUM(税费参数!$B$6:$B$8)))</f>
        <v>0.0149130530486463</v>
      </c>
      <c r="L2381" s="7">
        <f>J2381*税费参数!$B$12/(I2381*10000)</f>
        <v>0.0172727272727273</v>
      </c>
      <c r="M2381" s="6">
        <f>I2381*10000*SUM(税费参数!$B$9:$B$10)/税费参数!$B$11</f>
        <v>206.25</v>
      </c>
    </row>
    <row r="2382" ht="21" customHeight="1" spans="1:13">
      <c r="A2382" s="5" t="s">
        <v>16</v>
      </c>
      <c r="B2382" s="6" t="s">
        <v>124</v>
      </c>
      <c r="C2382" s="6" t="s">
        <v>152</v>
      </c>
      <c r="D2382" s="6" t="s">
        <v>160</v>
      </c>
      <c r="E2382" s="6" t="s">
        <v>1425</v>
      </c>
      <c r="F2382" s="6" t="s">
        <v>2055</v>
      </c>
      <c r="G2382" s="6">
        <v>42.81</v>
      </c>
      <c r="H2382" s="6">
        <v>42.81</v>
      </c>
      <c r="I2382" s="6">
        <v>110</v>
      </c>
      <c r="J2382" s="6">
        <v>3000</v>
      </c>
      <c r="K2382" s="7">
        <f>(J2382-M2382)*税费参数!$B$12/(I2382*10000*(1+SUM(税费参数!$B$6:$B$8)))</f>
        <v>0.0245982830728593</v>
      </c>
      <c r="L2382" s="7">
        <f>J2382*税费参数!$B$12/(I2382*10000)</f>
        <v>0.0272727272727273</v>
      </c>
      <c r="M2382" s="6">
        <f>I2382*10000*SUM(税费参数!$B$9:$B$10)/税费参数!$B$11</f>
        <v>206.25</v>
      </c>
    </row>
    <row r="2383" ht="21" customHeight="1" spans="1:13">
      <c r="A2383" s="5" t="s">
        <v>16</v>
      </c>
      <c r="B2383" s="6" t="s">
        <v>124</v>
      </c>
      <c r="C2383" s="6" t="s">
        <v>152</v>
      </c>
      <c r="D2383" s="6" t="s">
        <v>160</v>
      </c>
      <c r="E2383" s="6" t="s">
        <v>1425</v>
      </c>
      <c r="F2383" s="6" t="s">
        <v>2056</v>
      </c>
      <c r="G2383" s="6">
        <v>42.81</v>
      </c>
      <c r="H2383" s="6">
        <v>42.81</v>
      </c>
      <c r="I2383" s="6">
        <v>110</v>
      </c>
      <c r="J2383" s="6">
        <v>2000</v>
      </c>
      <c r="K2383" s="7">
        <f>(J2383-M2383)*税费参数!$B$12/(I2383*10000*(1+SUM(税费参数!$B$6:$B$8)))</f>
        <v>0.0157935285053929</v>
      </c>
      <c r="L2383" s="7">
        <f>J2383*税费参数!$B$12/(I2383*10000)</f>
        <v>0.0181818181818182</v>
      </c>
      <c r="M2383" s="6">
        <f>I2383*10000*SUM(税费参数!$B$9:$B$10)/税费参数!$B$11</f>
        <v>206.25</v>
      </c>
    </row>
    <row r="2384" ht="21" customHeight="1" spans="1:13">
      <c r="A2384" s="5" t="s">
        <v>16</v>
      </c>
      <c r="B2384" s="6" t="s">
        <v>124</v>
      </c>
      <c r="C2384" s="6" t="s">
        <v>152</v>
      </c>
      <c r="D2384" s="6" t="s">
        <v>160</v>
      </c>
      <c r="E2384" s="6" t="s">
        <v>1429</v>
      </c>
      <c r="F2384" s="6" t="s">
        <v>2049</v>
      </c>
      <c r="G2384" s="6">
        <v>42.81</v>
      </c>
      <c r="H2384" s="6">
        <v>42.81</v>
      </c>
      <c r="I2384" s="6">
        <v>105</v>
      </c>
      <c r="J2384" s="6">
        <v>1800</v>
      </c>
      <c r="K2384" s="7">
        <f>(J2384-M2384)*税费参数!$B$12/(I2384*10000*(1+SUM(税费参数!$B$6:$B$8)))</f>
        <v>0.0147872708405396</v>
      </c>
      <c r="L2384" s="7">
        <f>J2384*税费参数!$B$12/(I2384*10000)</f>
        <v>0.0171428571428571</v>
      </c>
      <c r="M2384" s="6">
        <f>I2384*10000*SUM(税费参数!$B$9:$B$10)/税费参数!$B$11</f>
        <v>196.875</v>
      </c>
    </row>
    <row r="2385" ht="21" customHeight="1" spans="1:13">
      <c r="A2385" s="5" t="s">
        <v>16</v>
      </c>
      <c r="B2385" s="6" t="s">
        <v>124</v>
      </c>
      <c r="C2385" s="6" t="s">
        <v>152</v>
      </c>
      <c r="D2385" s="6" t="s">
        <v>160</v>
      </c>
      <c r="E2385" s="6" t="s">
        <v>1429</v>
      </c>
      <c r="F2385" s="6" t="s">
        <v>2050</v>
      </c>
      <c r="G2385" s="6">
        <v>42.81</v>
      </c>
      <c r="H2385" s="6">
        <v>42.81</v>
      </c>
      <c r="I2385" s="6">
        <v>105</v>
      </c>
      <c r="J2385" s="6">
        <v>2200</v>
      </c>
      <c r="K2385" s="7">
        <f>(J2385-M2385)*税费参数!$B$12/(I2385*10000*(1+SUM(税费参数!$B$6:$B$8)))</f>
        <v>0.0184768822783351</v>
      </c>
      <c r="L2385" s="7">
        <f>J2385*税费参数!$B$12/(I2385*10000)</f>
        <v>0.020952380952381</v>
      </c>
      <c r="M2385" s="6">
        <f>I2385*10000*SUM(税费参数!$B$9:$B$10)/税费参数!$B$11</f>
        <v>196.875</v>
      </c>
    </row>
    <row r="2386" ht="21" customHeight="1" spans="1:13">
      <c r="A2386" s="5" t="s">
        <v>16</v>
      </c>
      <c r="B2386" s="6" t="s">
        <v>124</v>
      </c>
      <c r="C2386" s="6" t="s">
        <v>152</v>
      </c>
      <c r="D2386" s="6" t="s">
        <v>160</v>
      </c>
      <c r="E2386" s="6" t="s">
        <v>1429</v>
      </c>
      <c r="F2386" s="6" t="s">
        <v>2051</v>
      </c>
      <c r="G2386" s="6">
        <v>42.81</v>
      </c>
      <c r="H2386" s="6">
        <v>42.8</v>
      </c>
      <c r="I2386" s="6">
        <v>105</v>
      </c>
      <c r="J2386" s="6">
        <v>1800</v>
      </c>
      <c r="K2386" s="7">
        <f>(J2386-M2386)*税费参数!$B$12/(I2386*10000*(1+SUM(税费参数!$B$6:$B$8)))</f>
        <v>0.0147872708405396</v>
      </c>
      <c r="L2386" s="7">
        <f>J2386*税费参数!$B$12/(I2386*10000)</f>
        <v>0.0171428571428571</v>
      </c>
      <c r="M2386" s="6">
        <f>I2386*10000*SUM(税费参数!$B$9:$B$10)/税费参数!$B$11</f>
        <v>196.875</v>
      </c>
    </row>
    <row r="2387" ht="21" customHeight="1" spans="1:13">
      <c r="A2387" s="5" t="s">
        <v>16</v>
      </c>
      <c r="B2387" s="6" t="s">
        <v>124</v>
      </c>
      <c r="C2387" s="6" t="s">
        <v>152</v>
      </c>
      <c r="D2387" s="6" t="s">
        <v>160</v>
      </c>
      <c r="E2387" s="6" t="s">
        <v>1429</v>
      </c>
      <c r="F2387" s="6" t="s">
        <v>2052</v>
      </c>
      <c r="G2387" s="6">
        <v>42.81</v>
      </c>
      <c r="H2387" s="6">
        <v>42.81</v>
      </c>
      <c r="I2387" s="6">
        <v>105</v>
      </c>
      <c r="J2387" s="6">
        <v>1700</v>
      </c>
      <c r="K2387" s="7">
        <f>(J2387-M2387)*税费参数!$B$12/(I2387*10000*(1+SUM(税费参数!$B$6:$B$8)))</f>
        <v>0.0138648679810907</v>
      </c>
      <c r="L2387" s="7">
        <f>J2387*税费参数!$B$12/(I2387*10000)</f>
        <v>0.0161904761904762</v>
      </c>
      <c r="M2387" s="6">
        <f>I2387*10000*SUM(税费参数!$B$9:$B$10)/税费参数!$B$11</f>
        <v>196.875</v>
      </c>
    </row>
    <row r="2388" ht="21" customHeight="1" spans="1:13">
      <c r="A2388" s="5" t="s">
        <v>16</v>
      </c>
      <c r="B2388" s="6" t="s">
        <v>124</v>
      </c>
      <c r="C2388" s="6" t="s">
        <v>152</v>
      </c>
      <c r="D2388" s="6" t="s">
        <v>160</v>
      </c>
      <c r="E2388" s="6" t="s">
        <v>1429</v>
      </c>
      <c r="F2388" s="6" t="s">
        <v>2053</v>
      </c>
      <c r="G2388" s="6">
        <v>42.81</v>
      </c>
      <c r="H2388" s="6">
        <v>42.81</v>
      </c>
      <c r="I2388" s="6">
        <v>105</v>
      </c>
      <c r="J2388" s="6">
        <v>1600</v>
      </c>
      <c r="K2388" s="7">
        <f>(J2388-M2388)*税费参数!$B$12/(I2388*10000*(1+SUM(税费参数!$B$6:$B$8)))</f>
        <v>0.0129424651216419</v>
      </c>
      <c r="L2388" s="7">
        <f>J2388*税费参数!$B$12/(I2388*10000)</f>
        <v>0.0152380952380952</v>
      </c>
      <c r="M2388" s="6">
        <f>I2388*10000*SUM(税费参数!$B$9:$B$10)/税费参数!$B$11</f>
        <v>196.875</v>
      </c>
    </row>
    <row r="2389" ht="21" customHeight="1" spans="1:13">
      <c r="A2389" s="5" t="s">
        <v>16</v>
      </c>
      <c r="B2389" s="6" t="s">
        <v>124</v>
      </c>
      <c r="C2389" s="6" t="s">
        <v>152</v>
      </c>
      <c r="D2389" s="6" t="s">
        <v>160</v>
      </c>
      <c r="E2389" s="6" t="s">
        <v>1429</v>
      </c>
      <c r="F2389" s="6" t="s">
        <v>2054</v>
      </c>
      <c r="G2389" s="6">
        <v>42.81</v>
      </c>
      <c r="H2389" s="6">
        <v>42.81</v>
      </c>
      <c r="I2389" s="6">
        <v>105</v>
      </c>
      <c r="J2389" s="6">
        <v>1900</v>
      </c>
      <c r="K2389" s="7">
        <f>(J2389-M2389)*税费参数!$B$12/(I2389*10000*(1+SUM(税费参数!$B$6:$B$8)))</f>
        <v>0.0157096736999885</v>
      </c>
      <c r="L2389" s="7">
        <f>J2389*税费参数!$B$12/(I2389*10000)</f>
        <v>0.0180952380952381</v>
      </c>
      <c r="M2389" s="6">
        <f>I2389*10000*SUM(税费参数!$B$9:$B$10)/税费参数!$B$11</f>
        <v>196.875</v>
      </c>
    </row>
    <row r="2390" ht="21" customHeight="1" spans="1:13">
      <c r="A2390" s="5" t="s">
        <v>16</v>
      </c>
      <c r="B2390" s="6" t="s">
        <v>124</v>
      </c>
      <c r="C2390" s="6" t="s">
        <v>152</v>
      </c>
      <c r="D2390" s="6" t="s">
        <v>160</v>
      </c>
      <c r="E2390" s="6" t="s">
        <v>1429</v>
      </c>
      <c r="F2390" s="6" t="s">
        <v>2055</v>
      </c>
      <c r="G2390" s="6">
        <v>42.81</v>
      </c>
      <c r="H2390" s="6">
        <v>42.81</v>
      </c>
      <c r="I2390" s="6">
        <v>105</v>
      </c>
      <c r="J2390" s="6">
        <v>3000</v>
      </c>
      <c r="K2390" s="7">
        <f>(J2390-M2390)*税费参数!$B$12/(I2390*10000*(1+SUM(税费参数!$B$6:$B$8)))</f>
        <v>0.025856105153926</v>
      </c>
      <c r="L2390" s="7">
        <f>J2390*税费参数!$B$12/(I2390*10000)</f>
        <v>0.0285714285714286</v>
      </c>
      <c r="M2390" s="6">
        <f>I2390*10000*SUM(税费参数!$B$9:$B$10)/税费参数!$B$11</f>
        <v>196.875</v>
      </c>
    </row>
    <row r="2391" ht="21" customHeight="1" spans="1:13">
      <c r="A2391" s="5" t="s">
        <v>16</v>
      </c>
      <c r="B2391" s="6" t="s">
        <v>124</v>
      </c>
      <c r="C2391" s="6" t="s">
        <v>152</v>
      </c>
      <c r="D2391" s="6" t="s">
        <v>160</v>
      </c>
      <c r="E2391" s="6" t="s">
        <v>1429</v>
      </c>
      <c r="F2391" s="6" t="s">
        <v>2056</v>
      </c>
      <c r="G2391" s="6">
        <v>42.81</v>
      </c>
      <c r="H2391" s="6">
        <v>42.81</v>
      </c>
      <c r="I2391" s="6">
        <v>105</v>
      </c>
      <c r="J2391" s="6">
        <v>2000</v>
      </c>
      <c r="K2391" s="7">
        <f>(J2391-M2391)*税费参数!$B$12/(I2391*10000*(1+SUM(税费参数!$B$6:$B$8)))</f>
        <v>0.0166320765594373</v>
      </c>
      <c r="L2391" s="7">
        <f>J2391*税费参数!$B$12/(I2391*10000)</f>
        <v>0.019047619047619</v>
      </c>
      <c r="M2391" s="6">
        <f>I2391*10000*SUM(税费参数!$B$9:$B$10)/税费参数!$B$11</f>
        <v>196.875</v>
      </c>
    </row>
    <row r="2392" ht="21" customHeight="1" spans="1:13">
      <c r="A2392" s="5" t="s">
        <v>16</v>
      </c>
      <c r="B2392" s="6" t="s">
        <v>124</v>
      </c>
      <c r="C2392" s="6" t="s">
        <v>152</v>
      </c>
      <c r="D2392" s="6" t="s">
        <v>153</v>
      </c>
      <c r="E2392" s="6" t="s">
        <v>1433</v>
      </c>
      <c r="F2392" s="6" t="s">
        <v>2057</v>
      </c>
      <c r="G2392" s="6">
        <v>42.81</v>
      </c>
      <c r="H2392" s="6">
        <v>42.8</v>
      </c>
      <c r="I2392" s="6">
        <v>105</v>
      </c>
      <c r="J2392" s="6">
        <v>1807</v>
      </c>
      <c r="K2392" s="7">
        <f>(J2392-M2392)*税费参数!$B$12/(I2392*10000*(1+SUM(税费参数!$B$6:$B$8)))</f>
        <v>0.014851839040701</v>
      </c>
      <c r="L2392" s="7">
        <f>J2392*税费参数!$B$12/(I2392*10000)</f>
        <v>0.0172095238095238</v>
      </c>
      <c r="M2392" s="6">
        <f>I2392*10000*SUM(税费参数!$B$9:$B$10)/税费参数!$B$11</f>
        <v>196.875</v>
      </c>
    </row>
    <row r="2393" ht="21" customHeight="1" spans="1:13">
      <c r="A2393" s="5" t="s">
        <v>11</v>
      </c>
      <c r="B2393" s="6" t="s">
        <v>138</v>
      </c>
      <c r="C2393" s="6" t="s">
        <v>152</v>
      </c>
      <c r="D2393" s="6" t="s">
        <v>160</v>
      </c>
      <c r="E2393" s="6" t="s">
        <v>1457</v>
      </c>
      <c r="F2393" s="6" t="s">
        <v>2058</v>
      </c>
      <c r="G2393" s="6">
        <v>47.04</v>
      </c>
      <c r="H2393" s="6">
        <v>47.04</v>
      </c>
      <c r="I2393" s="6">
        <v>51</v>
      </c>
      <c r="J2393" s="6">
        <v>1500</v>
      </c>
      <c r="K2393" s="7">
        <f>(J2393-M2393)*税费参数!$B$12/(I2393*10000*(1+SUM(税费参数!$B$6:$B$8)))</f>
        <v>0.0266699900299103</v>
      </c>
      <c r="L2393" s="7">
        <f>J2393*税费参数!$B$12/(I2393*10000)</f>
        <v>0.0294117647058824</v>
      </c>
      <c r="M2393" s="6">
        <f>I2393*10000*SUM(税费参数!$B$9:$B$10)/税费参数!$B$11</f>
        <v>95.625</v>
      </c>
    </row>
    <row r="2394" ht="21" customHeight="1" spans="1:13">
      <c r="A2394" s="5" t="s">
        <v>11</v>
      </c>
      <c r="B2394" s="6" t="s">
        <v>138</v>
      </c>
      <c r="C2394" s="6" t="s">
        <v>152</v>
      </c>
      <c r="D2394" s="6" t="s">
        <v>160</v>
      </c>
      <c r="E2394" s="6" t="s">
        <v>1457</v>
      </c>
      <c r="F2394" s="6" t="s">
        <v>2059</v>
      </c>
      <c r="G2394" s="6">
        <v>47.04</v>
      </c>
      <c r="H2394" s="6">
        <v>47</v>
      </c>
      <c r="I2394" s="6">
        <v>51</v>
      </c>
      <c r="J2394" s="6">
        <v>1700</v>
      </c>
      <c r="K2394" s="7">
        <f>(J2394-M2394)*税费参数!$B$12/(I2394*10000*(1+SUM(税费参数!$B$6:$B$8)))</f>
        <v>0.0304681194511703</v>
      </c>
      <c r="L2394" s="7">
        <f>J2394*税费参数!$B$12/(I2394*10000)</f>
        <v>0.0333333333333333</v>
      </c>
      <c r="M2394" s="6">
        <f>I2394*10000*SUM(税费参数!$B$9:$B$10)/税费参数!$B$11</f>
        <v>95.625</v>
      </c>
    </row>
    <row r="2395" ht="21" customHeight="1" spans="1:13">
      <c r="A2395" s="5" t="s">
        <v>11</v>
      </c>
      <c r="B2395" s="6" t="s">
        <v>138</v>
      </c>
      <c r="C2395" s="6" t="s">
        <v>152</v>
      </c>
      <c r="D2395" s="6" t="s">
        <v>160</v>
      </c>
      <c r="E2395" s="6" t="s">
        <v>1457</v>
      </c>
      <c r="F2395" s="6" t="s">
        <v>2060</v>
      </c>
      <c r="G2395" s="6">
        <v>47.04</v>
      </c>
      <c r="H2395" s="6">
        <v>51</v>
      </c>
      <c r="I2395" s="6">
        <v>51</v>
      </c>
      <c r="J2395" s="6">
        <v>1750</v>
      </c>
      <c r="K2395" s="7">
        <f>(J2395-M2395)*税费参数!$B$12/(I2395*10000*(1+SUM(税费参数!$B$6:$B$8)))</f>
        <v>0.0314176518064853</v>
      </c>
      <c r="L2395" s="7">
        <f>J2395*税费参数!$B$12/(I2395*10000)</f>
        <v>0.0343137254901961</v>
      </c>
      <c r="M2395" s="6">
        <f>I2395*10000*SUM(税费参数!$B$9:$B$10)/税费参数!$B$11</f>
        <v>95.625</v>
      </c>
    </row>
    <row r="2396" ht="21" customHeight="1" spans="1:13">
      <c r="A2396" s="5" t="s">
        <v>11</v>
      </c>
      <c r="B2396" s="6" t="s">
        <v>138</v>
      </c>
      <c r="C2396" s="6" t="s">
        <v>152</v>
      </c>
      <c r="D2396" s="6" t="s">
        <v>160</v>
      </c>
      <c r="E2396" s="6" t="s">
        <v>1457</v>
      </c>
      <c r="F2396" s="6" t="s">
        <v>2061</v>
      </c>
      <c r="G2396" s="6">
        <v>47.04</v>
      </c>
      <c r="H2396" s="6">
        <v>47.04</v>
      </c>
      <c r="I2396" s="6">
        <v>51</v>
      </c>
      <c r="J2396" s="6">
        <v>1600</v>
      </c>
      <c r="K2396" s="7">
        <f>(J2396-M2396)*税费参数!$B$12/(I2396*10000*(1+SUM(税费参数!$B$6:$B$8)))</f>
        <v>0.0285690547405403</v>
      </c>
      <c r="L2396" s="7">
        <f>J2396*税费参数!$B$12/(I2396*10000)</f>
        <v>0.0313725490196078</v>
      </c>
      <c r="M2396" s="6">
        <f>I2396*10000*SUM(税费参数!$B$9:$B$10)/税费参数!$B$11</f>
        <v>95.625</v>
      </c>
    </row>
    <row r="2397" ht="21" customHeight="1" spans="1:13">
      <c r="A2397" s="5" t="s">
        <v>11</v>
      </c>
      <c r="B2397" s="6" t="s">
        <v>138</v>
      </c>
      <c r="C2397" s="6" t="s">
        <v>152</v>
      </c>
      <c r="D2397" s="6" t="s">
        <v>160</v>
      </c>
      <c r="E2397" s="6" t="s">
        <v>1457</v>
      </c>
      <c r="F2397" s="6" t="s">
        <v>2062</v>
      </c>
      <c r="G2397" s="6">
        <v>47.04</v>
      </c>
      <c r="H2397" s="6">
        <v>47.04</v>
      </c>
      <c r="I2397" s="6">
        <v>51</v>
      </c>
      <c r="J2397" s="6">
        <v>1400</v>
      </c>
      <c r="K2397" s="7">
        <f>(J2397-M2397)*税费参数!$B$12/(I2397*10000*(1+SUM(税费参数!$B$6:$B$8)))</f>
        <v>0.0247709253192803</v>
      </c>
      <c r="L2397" s="7">
        <f>J2397*税费参数!$B$12/(I2397*10000)</f>
        <v>0.0274509803921569</v>
      </c>
      <c r="M2397" s="6">
        <f>I2397*10000*SUM(税费参数!$B$9:$B$10)/税费参数!$B$11</f>
        <v>95.625</v>
      </c>
    </row>
    <row r="2398" ht="21" customHeight="1" spans="1:13">
      <c r="A2398" s="5" t="s">
        <v>11</v>
      </c>
      <c r="B2398" s="6" t="s">
        <v>138</v>
      </c>
      <c r="C2398" s="6" t="s">
        <v>152</v>
      </c>
      <c r="D2398" s="6" t="s">
        <v>160</v>
      </c>
      <c r="E2398" s="6" t="s">
        <v>1457</v>
      </c>
      <c r="F2398" s="6" t="s">
        <v>2063</v>
      </c>
      <c r="G2398" s="6">
        <v>47.04</v>
      </c>
      <c r="H2398" s="6">
        <v>47.04</v>
      </c>
      <c r="I2398" s="6">
        <v>51</v>
      </c>
      <c r="J2398" s="6">
        <v>1600</v>
      </c>
      <c r="K2398" s="7">
        <f>(J2398-M2398)*税费参数!$B$12/(I2398*10000*(1+SUM(税费参数!$B$6:$B$8)))</f>
        <v>0.0285690547405403</v>
      </c>
      <c r="L2398" s="7">
        <f>J2398*税费参数!$B$12/(I2398*10000)</f>
        <v>0.0313725490196078</v>
      </c>
      <c r="M2398" s="6">
        <f>I2398*10000*SUM(税费参数!$B$9:$B$10)/税费参数!$B$11</f>
        <v>95.625</v>
      </c>
    </row>
    <row r="2399" ht="21" customHeight="1" spans="1:13">
      <c r="A2399" s="5" t="s">
        <v>11</v>
      </c>
      <c r="B2399" s="6" t="s">
        <v>138</v>
      </c>
      <c r="C2399" s="6" t="s">
        <v>152</v>
      </c>
      <c r="D2399" s="6" t="s">
        <v>160</v>
      </c>
      <c r="E2399" s="6" t="s">
        <v>1457</v>
      </c>
      <c r="F2399" s="6" t="s">
        <v>2064</v>
      </c>
      <c r="G2399" s="6">
        <v>47.04</v>
      </c>
      <c r="H2399" s="6">
        <v>41.83</v>
      </c>
      <c r="I2399" s="6">
        <v>51</v>
      </c>
      <c r="J2399" s="6">
        <v>1500</v>
      </c>
      <c r="K2399" s="7">
        <f>(J2399-M2399)*税费参数!$B$12/(I2399*10000*(1+SUM(税费参数!$B$6:$B$8)))</f>
        <v>0.0266699900299103</v>
      </c>
      <c r="L2399" s="7">
        <f>J2399*税费参数!$B$12/(I2399*10000)</f>
        <v>0.0294117647058824</v>
      </c>
      <c r="M2399" s="6">
        <f>I2399*10000*SUM(税费参数!$B$9:$B$10)/税费参数!$B$11</f>
        <v>95.625</v>
      </c>
    </row>
    <row r="2400" ht="21" customHeight="1" spans="1:13">
      <c r="A2400" s="5" t="s">
        <v>11</v>
      </c>
      <c r="B2400" s="6" t="s">
        <v>138</v>
      </c>
      <c r="C2400" s="6" t="s">
        <v>152</v>
      </c>
      <c r="D2400" s="6" t="s">
        <v>160</v>
      </c>
      <c r="E2400" s="6" t="s">
        <v>1457</v>
      </c>
      <c r="F2400" s="6" t="s">
        <v>2065</v>
      </c>
      <c r="G2400" s="6">
        <v>47.04</v>
      </c>
      <c r="H2400" s="6">
        <v>45.98</v>
      </c>
      <c r="I2400" s="6">
        <v>51</v>
      </c>
      <c r="J2400" s="6">
        <v>1800</v>
      </c>
      <c r="K2400" s="7">
        <f>(J2400-M2400)*税费参数!$B$12/(I2400*10000*(1+SUM(税费参数!$B$6:$B$8)))</f>
        <v>0.0323671841618003</v>
      </c>
      <c r="L2400" s="7">
        <f>J2400*税费参数!$B$12/(I2400*10000)</f>
        <v>0.0352941176470588</v>
      </c>
      <c r="M2400" s="6">
        <f>I2400*10000*SUM(税费参数!$B$9:$B$10)/税费参数!$B$11</f>
        <v>95.625</v>
      </c>
    </row>
    <row r="2401" ht="21" customHeight="1" spans="1:13">
      <c r="A2401" s="5" t="s">
        <v>11</v>
      </c>
      <c r="B2401" s="6" t="s">
        <v>138</v>
      </c>
      <c r="C2401" s="6" t="s">
        <v>152</v>
      </c>
      <c r="D2401" s="6" t="s">
        <v>160</v>
      </c>
      <c r="E2401" s="6" t="s">
        <v>1459</v>
      </c>
      <c r="F2401" s="6" t="s">
        <v>2058</v>
      </c>
      <c r="G2401" s="6">
        <v>47.04</v>
      </c>
      <c r="H2401" s="6">
        <v>47.04</v>
      </c>
      <c r="I2401" s="6">
        <v>53</v>
      </c>
      <c r="J2401" s="6">
        <v>1500</v>
      </c>
      <c r="K2401" s="7">
        <f>(J2401-M2401)*税费参数!$B$12/(I2401*10000*(1+SUM(税费参数!$B$6:$B$8)))</f>
        <v>0.0255950477408744</v>
      </c>
      <c r="L2401" s="7">
        <f>J2401*税费参数!$B$12/(I2401*10000)</f>
        <v>0.0283018867924528</v>
      </c>
      <c r="M2401" s="6">
        <f>I2401*10000*SUM(税费参数!$B$9:$B$10)/税费参数!$B$11</f>
        <v>99.375</v>
      </c>
    </row>
    <row r="2402" ht="21" customHeight="1" spans="1:13">
      <c r="A2402" s="5" t="s">
        <v>11</v>
      </c>
      <c r="B2402" s="6" t="s">
        <v>138</v>
      </c>
      <c r="C2402" s="6" t="s">
        <v>152</v>
      </c>
      <c r="D2402" s="6" t="s">
        <v>160</v>
      </c>
      <c r="E2402" s="6" t="s">
        <v>1459</v>
      </c>
      <c r="F2402" s="6" t="s">
        <v>2059</v>
      </c>
      <c r="G2402" s="6">
        <v>47.04</v>
      </c>
      <c r="H2402" s="6">
        <v>47</v>
      </c>
      <c r="I2402" s="6">
        <v>53</v>
      </c>
      <c r="J2402" s="6">
        <v>1700</v>
      </c>
      <c r="K2402" s="7">
        <f>(J2402-M2402)*税费参数!$B$12/(I2402*10000*(1+SUM(税费参数!$B$6:$B$8)))</f>
        <v>0.0292498515235963</v>
      </c>
      <c r="L2402" s="7">
        <f>J2402*税费参数!$B$12/(I2402*10000)</f>
        <v>0.0320754716981132</v>
      </c>
      <c r="M2402" s="6">
        <f>I2402*10000*SUM(税费参数!$B$9:$B$10)/税费参数!$B$11</f>
        <v>99.375</v>
      </c>
    </row>
    <row r="2403" ht="21" customHeight="1" spans="1:13">
      <c r="A2403" s="5" t="s">
        <v>11</v>
      </c>
      <c r="B2403" s="6" t="s">
        <v>138</v>
      </c>
      <c r="C2403" s="6" t="s">
        <v>152</v>
      </c>
      <c r="D2403" s="6" t="s">
        <v>160</v>
      </c>
      <c r="E2403" s="6" t="s">
        <v>1459</v>
      </c>
      <c r="F2403" s="6" t="s">
        <v>2060</v>
      </c>
      <c r="G2403" s="6">
        <v>47.04</v>
      </c>
      <c r="H2403" s="6">
        <v>51</v>
      </c>
      <c r="I2403" s="6">
        <v>53</v>
      </c>
      <c r="J2403" s="6">
        <v>1750</v>
      </c>
      <c r="K2403" s="7">
        <f>(J2403-M2403)*税费参数!$B$12/(I2403*10000*(1+SUM(税费参数!$B$6:$B$8)))</f>
        <v>0.0301635524692768</v>
      </c>
      <c r="L2403" s="7">
        <f>J2403*税费参数!$B$12/(I2403*10000)</f>
        <v>0.0330188679245283</v>
      </c>
      <c r="M2403" s="6">
        <f>I2403*10000*SUM(税费参数!$B$9:$B$10)/税费参数!$B$11</f>
        <v>99.375</v>
      </c>
    </row>
    <row r="2404" ht="21" customHeight="1" spans="1:13">
      <c r="A2404" s="5" t="s">
        <v>11</v>
      </c>
      <c r="B2404" s="6" t="s">
        <v>138</v>
      </c>
      <c r="C2404" s="6" t="s">
        <v>152</v>
      </c>
      <c r="D2404" s="6" t="s">
        <v>160</v>
      </c>
      <c r="E2404" s="6" t="s">
        <v>1459</v>
      </c>
      <c r="F2404" s="6" t="s">
        <v>2061</v>
      </c>
      <c r="G2404" s="6">
        <v>47.04</v>
      </c>
      <c r="H2404" s="6">
        <v>47.04</v>
      </c>
      <c r="I2404" s="6">
        <v>53</v>
      </c>
      <c r="J2404" s="6">
        <v>1600</v>
      </c>
      <c r="K2404" s="7">
        <f>(J2404-M2404)*税费参数!$B$12/(I2404*10000*(1+SUM(税费参数!$B$6:$B$8)))</f>
        <v>0.0274224496322354</v>
      </c>
      <c r="L2404" s="7">
        <f>J2404*税费参数!$B$12/(I2404*10000)</f>
        <v>0.030188679245283</v>
      </c>
      <c r="M2404" s="6">
        <f>I2404*10000*SUM(税费参数!$B$9:$B$10)/税费参数!$B$11</f>
        <v>99.375</v>
      </c>
    </row>
    <row r="2405" ht="21" customHeight="1" spans="1:13">
      <c r="A2405" s="5" t="s">
        <v>11</v>
      </c>
      <c r="B2405" s="6" t="s">
        <v>138</v>
      </c>
      <c r="C2405" s="6" t="s">
        <v>152</v>
      </c>
      <c r="D2405" s="6" t="s">
        <v>160</v>
      </c>
      <c r="E2405" s="6" t="s">
        <v>1459</v>
      </c>
      <c r="F2405" s="6" t="s">
        <v>2062</v>
      </c>
      <c r="G2405" s="6">
        <v>47.04</v>
      </c>
      <c r="H2405" s="6">
        <v>47.04</v>
      </c>
      <c r="I2405" s="6">
        <v>53</v>
      </c>
      <c r="J2405" s="6">
        <v>1400</v>
      </c>
      <c r="K2405" s="7">
        <f>(J2405-M2405)*税费参数!$B$12/(I2405*10000*(1+SUM(税费参数!$B$6:$B$8)))</f>
        <v>0.0237676458495135</v>
      </c>
      <c r="L2405" s="7">
        <f>J2405*税费参数!$B$12/(I2405*10000)</f>
        <v>0.0264150943396226</v>
      </c>
      <c r="M2405" s="6">
        <f>I2405*10000*SUM(税费参数!$B$9:$B$10)/税费参数!$B$11</f>
        <v>99.375</v>
      </c>
    </row>
    <row r="2406" ht="21" customHeight="1" spans="1:13">
      <c r="A2406" s="5" t="s">
        <v>11</v>
      </c>
      <c r="B2406" s="6" t="s">
        <v>138</v>
      </c>
      <c r="C2406" s="6" t="s">
        <v>152</v>
      </c>
      <c r="D2406" s="6" t="s">
        <v>160</v>
      </c>
      <c r="E2406" s="6" t="s">
        <v>1459</v>
      </c>
      <c r="F2406" s="6" t="s">
        <v>2063</v>
      </c>
      <c r="G2406" s="6">
        <v>47.04</v>
      </c>
      <c r="H2406" s="6">
        <v>47.04</v>
      </c>
      <c r="I2406" s="6">
        <v>53</v>
      </c>
      <c r="J2406" s="6">
        <v>1600</v>
      </c>
      <c r="K2406" s="7">
        <f>(J2406-M2406)*税费参数!$B$12/(I2406*10000*(1+SUM(税费参数!$B$6:$B$8)))</f>
        <v>0.0274224496322354</v>
      </c>
      <c r="L2406" s="7">
        <f>J2406*税费参数!$B$12/(I2406*10000)</f>
        <v>0.030188679245283</v>
      </c>
      <c r="M2406" s="6">
        <f>I2406*10000*SUM(税费参数!$B$9:$B$10)/税费参数!$B$11</f>
        <v>99.375</v>
      </c>
    </row>
    <row r="2407" ht="21" customHeight="1" spans="1:13">
      <c r="A2407" s="5" t="s">
        <v>11</v>
      </c>
      <c r="B2407" s="6" t="s">
        <v>138</v>
      </c>
      <c r="C2407" s="6" t="s">
        <v>152</v>
      </c>
      <c r="D2407" s="6" t="s">
        <v>160</v>
      </c>
      <c r="E2407" s="6" t="s">
        <v>1459</v>
      </c>
      <c r="F2407" s="6" t="s">
        <v>2064</v>
      </c>
      <c r="G2407" s="6">
        <v>47.04</v>
      </c>
      <c r="H2407" s="6">
        <v>41.83</v>
      </c>
      <c r="I2407" s="6">
        <v>53</v>
      </c>
      <c r="J2407" s="6">
        <v>1500</v>
      </c>
      <c r="K2407" s="7">
        <f>(J2407-M2407)*税费参数!$B$12/(I2407*10000*(1+SUM(税费参数!$B$6:$B$8)))</f>
        <v>0.0255950477408744</v>
      </c>
      <c r="L2407" s="7">
        <f>J2407*税费参数!$B$12/(I2407*10000)</f>
        <v>0.0283018867924528</v>
      </c>
      <c r="M2407" s="6">
        <f>I2407*10000*SUM(税费参数!$B$9:$B$10)/税费参数!$B$11</f>
        <v>99.375</v>
      </c>
    </row>
    <row r="2408" ht="21" customHeight="1" spans="1:13">
      <c r="A2408" s="5" t="s">
        <v>11</v>
      </c>
      <c r="B2408" s="6" t="s">
        <v>138</v>
      </c>
      <c r="C2408" s="6" t="s">
        <v>152</v>
      </c>
      <c r="D2408" s="6" t="s">
        <v>160</v>
      </c>
      <c r="E2408" s="6" t="s">
        <v>1459</v>
      </c>
      <c r="F2408" s="6" t="s">
        <v>2065</v>
      </c>
      <c r="G2408" s="6">
        <v>47.04</v>
      </c>
      <c r="H2408" s="6">
        <v>45.98</v>
      </c>
      <c r="I2408" s="6">
        <v>53</v>
      </c>
      <c r="J2408" s="6">
        <v>1800</v>
      </c>
      <c r="K2408" s="7">
        <f>(J2408-M2408)*税费参数!$B$12/(I2408*10000*(1+SUM(税费参数!$B$6:$B$8)))</f>
        <v>0.0310772534149573</v>
      </c>
      <c r="L2408" s="7">
        <f>J2408*税费参数!$B$12/(I2408*10000)</f>
        <v>0.0339622641509434</v>
      </c>
      <c r="M2408" s="6">
        <f>I2408*10000*SUM(税费参数!$B$9:$B$10)/税费参数!$B$11</f>
        <v>99.375</v>
      </c>
    </row>
    <row r="2409" ht="21" customHeight="1" spans="1:13">
      <c r="A2409" s="5" t="s">
        <v>11</v>
      </c>
      <c r="B2409" s="6" t="s">
        <v>138</v>
      </c>
      <c r="C2409" s="6" t="s">
        <v>152</v>
      </c>
      <c r="D2409" s="6" t="s">
        <v>160</v>
      </c>
      <c r="E2409" s="6" t="s">
        <v>1461</v>
      </c>
      <c r="F2409" s="6" t="s">
        <v>2058</v>
      </c>
      <c r="G2409" s="6">
        <v>41.83</v>
      </c>
      <c r="H2409" s="6">
        <v>47.04</v>
      </c>
      <c r="I2409" s="6">
        <v>45</v>
      </c>
      <c r="J2409" s="6">
        <v>1500</v>
      </c>
      <c r="K2409" s="7">
        <f>(J2409-M2409)*税费参数!$B$12/(I2409*10000*(1+SUM(税费参数!$B$6:$B$8)))</f>
        <v>0.0304681194511703</v>
      </c>
      <c r="L2409" s="7">
        <f>J2409*税费参数!$B$12/(I2409*10000)</f>
        <v>0.0333333333333333</v>
      </c>
      <c r="M2409" s="6">
        <f>I2409*10000*SUM(税费参数!$B$9:$B$10)/税费参数!$B$11</f>
        <v>84.375</v>
      </c>
    </row>
    <row r="2410" ht="21" customHeight="1" spans="1:13">
      <c r="A2410" s="5" t="s">
        <v>11</v>
      </c>
      <c r="B2410" s="6" t="s">
        <v>138</v>
      </c>
      <c r="C2410" s="6" t="s">
        <v>152</v>
      </c>
      <c r="D2410" s="6" t="s">
        <v>160</v>
      </c>
      <c r="E2410" s="6" t="s">
        <v>1461</v>
      </c>
      <c r="F2410" s="6" t="s">
        <v>2059</v>
      </c>
      <c r="G2410" s="6">
        <v>41.83</v>
      </c>
      <c r="H2410" s="6">
        <v>47</v>
      </c>
      <c r="I2410" s="6">
        <v>45</v>
      </c>
      <c r="J2410" s="6">
        <v>1700</v>
      </c>
      <c r="K2410" s="7">
        <f>(J2410-M2410)*税费参数!$B$12/(I2410*10000*(1+SUM(税费参数!$B$6:$B$8)))</f>
        <v>0.0347726661285983</v>
      </c>
      <c r="L2410" s="7">
        <f>J2410*税费参数!$B$12/(I2410*10000)</f>
        <v>0.0377777777777778</v>
      </c>
      <c r="M2410" s="6">
        <f>I2410*10000*SUM(税费参数!$B$9:$B$10)/税费参数!$B$11</f>
        <v>84.375</v>
      </c>
    </row>
    <row r="2411" ht="21" customHeight="1" spans="1:13">
      <c r="A2411" s="5" t="s">
        <v>11</v>
      </c>
      <c r="B2411" s="6" t="s">
        <v>138</v>
      </c>
      <c r="C2411" s="6" t="s">
        <v>152</v>
      </c>
      <c r="D2411" s="6" t="s">
        <v>160</v>
      </c>
      <c r="E2411" s="6" t="s">
        <v>1461</v>
      </c>
      <c r="F2411" s="6" t="s">
        <v>2061</v>
      </c>
      <c r="G2411" s="6">
        <v>41.83</v>
      </c>
      <c r="H2411" s="6">
        <v>47.04</v>
      </c>
      <c r="I2411" s="6">
        <v>45</v>
      </c>
      <c r="J2411" s="6">
        <v>1600</v>
      </c>
      <c r="K2411" s="7">
        <f>(J2411-M2411)*税费参数!$B$12/(I2411*10000*(1+SUM(税费参数!$B$6:$B$8)))</f>
        <v>0.0326203927898843</v>
      </c>
      <c r="L2411" s="7">
        <f>J2411*税费参数!$B$12/(I2411*10000)</f>
        <v>0.0355555555555556</v>
      </c>
      <c r="M2411" s="6">
        <f>I2411*10000*SUM(税费参数!$B$9:$B$10)/税费参数!$B$11</f>
        <v>84.375</v>
      </c>
    </row>
    <row r="2412" ht="21" customHeight="1" spans="1:13">
      <c r="A2412" s="5" t="s">
        <v>11</v>
      </c>
      <c r="B2412" s="6" t="s">
        <v>138</v>
      </c>
      <c r="C2412" s="6" t="s">
        <v>152</v>
      </c>
      <c r="D2412" s="6" t="s">
        <v>160</v>
      </c>
      <c r="E2412" s="6" t="s">
        <v>1461</v>
      </c>
      <c r="F2412" s="6" t="s">
        <v>2062</v>
      </c>
      <c r="G2412" s="6">
        <v>41.83</v>
      </c>
      <c r="H2412" s="6">
        <v>47.04</v>
      </c>
      <c r="I2412" s="6">
        <v>45</v>
      </c>
      <c r="J2412" s="6">
        <v>1400</v>
      </c>
      <c r="K2412" s="7">
        <f>(J2412-M2412)*税费参数!$B$12/(I2412*10000*(1+SUM(税费参数!$B$6:$B$8)))</f>
        <v>0.0283158461124563</v>
      </c>
      <c r="L2412" s="7">
        <f>J2412*税费参数!$B$12/(I2412*10000)</f>
        <v>0.0311111111111111</v>
      </c>
      <c r="M2412" s="6">
        <f>I2412*10000*SUM(税费参数!$B$9:$B$10)/税费参数!$B$11</f>
        <v>84.375</v>
      </c>
    </row>
    <row r="2413" ht="21" customHeight="1" spans="1:13">
      <c r="A2413" s="5" t="s">
        <v>11</v>
      </c>
      <c r="B2413" s="6" t="s">
        <v>138</v>
      </c>
      <c r="C2413" s="6" t="s">
        <v>152</v>
      </c>
      <c r="D2413" s="6" t="s">
        <v>160</v>
      </c>
      <c r="E2413" s="6" t="s">
        <v>1461</v>
      </c>
      <c r="F2413" s="6" t="s">
        <v>2063</v>
      </c>
      <c r="G2413" s="6">
        <v>41.83</v>
      </c>
      <c r="H2413" s="6">
        <v>47.04</v>
      </c>
      <c r="I2413" s="6">
        <v>45</v>
      </c>
      <c r="J2413" s="6">
        <v>1600</v>
      </c>
      <c r="K2413" s="7">
        <f>(J2413-M2413)*税费参数!$B$12/(I2413*10000*(1+SUM(税费参数!$B$6:$B$8)))</f>
        <v>0.0326203927898843</v>
      </c>
      <c r="L2413" s="7">
        <f>J2413*税费参数!$B$12/(I2413*10000)</f>
        <v>0.0355555555555556</v>
      </c>
      <c r="M2413" s="6">
        <f>I2413*10000*SUM(税费参数!$B$9:$B$10)/税费参数!$B$11</f>
        <v>84.375</v>
      </c>
    </row>
    <row r="2414" ht="21" customHeight="1" spans="1:13">
      <c r="A2414" s="5" t="s">
        <v>11</v>
      </c>
      <c r="B2414" s="6" t="s">
        <v>138</v>
      </c>
      <c r="C2414" s="6" t="s">
        <v>152</v>
      </c>
      <c r="D2414" s="6" t="s">
        <v>160</v>
      </c>
      <c r="E2414" s="6" t="s">
        <v>1461</v>
      </c>
      <c r="F2414" s="6" t="s">
        <v>2064</v>
      </c>
      <c r="G2414" s="6">
        <v>41.83</v>
      </c>
      <c r="H2414" s="6">
        <v>41.83</v>
      </c>
      <c r="I2414" s="6">
        <v>45</v>
      </c>
      <c r="J2414" s="6">
        <v>1500</v>
      </c>
      <c r="K2414" s="7">
        <f>(J2414-M2414)*税费参数!$B$12/(I2414*10000*(1+SUM(税费参数!$B$6:$B$8)))</f>
        <v>0.0304681194511703</v>
      </c>
      <c r="L2414" s="7">
        <f>J2414*税费参数!$B$12/(I2414*10000)</f>
        <v>0.0333333333333333</v>
      </c>
      <c r="M2414" s="6">
        <f>I2414*10000*SUM(税费参数!$B$9:$B$10)/税费参数!$B$11</f>
        <v>84.375</v>
      </c>
    </row>
    <row r="2415" ht="21" customHeight="1" spans="1:13">
      <c r="A2415" s="5" t="s">
        <v>11</v>
      </c>
      <c r="B2415" s="6" t="s">
        <v>138</v>
      </c>
      <c r="C2415" s="6" t="s">
        <v>152</v>
      </c>
      <c r="D2415" s="6" t="s">
        <v>160</v>
      </c>
      <c r="E2415" s="6" t="s">
        <v>1461</v>
      </c>
      <c r="F2415" s="6" t="s">
        <v>2065</v>
      </c>
      <c r="G2415" s="6">
        <v>41.83</v>
      </c>
      <c r="H2415" s="6">
        <v>45.98</v>
      </c>
      <c r="I2415" s="6">
        <v>45</v>
      </c>
      <c r="J2415" s="6">
        <v>1800</v>
      </c>
      <c r="K2415" s="7">
        <f>(J2415-M2415)*税费参数!$B$12/(I2415*10000*(1+SUM(税费参数!$B$6:$B$8)))</f>
        <v>0.0369249394673123</v>
      </c>
      <c r="L2415" s="7">
        <f>J2415*税费参数!$B$12/(I2415*10000)</f>
        <v>0.04</v>
      </c>
      <c r="M2415" s="6">
        <f>I2415*10000*SUM(税费参数!$B$9:$B$10)/税费参数!$B$11</f>
        <v>84.375</v>
      </c>
    </row>
    <row r="2416" ht="21" customHeight="1" spans="1:13">
      <c r="A2416" s="5" t="s">
        <v>11</v>
      </c>
      <c r="B2416" s="6" t="s">
        <v>136</v>
      </c>
      <c r="C2416" s="6" t="s">
        <v>152</v>
      </c>
      <c r="D2416" s="6" t="s">
        <v>160</v>
      </c>
      <c r="E2416" s="6" t="s">
        <v>1465</v>
      </c>
      <c r="F2416" s="6" t="s">
        <v>2066</v>
      </c>
      <c r="G2416" s="6">
        <v>58.76</v>
      </c>
      <c r="H2416" s="6">
        <v>51.22</v>
      </c>
      <c r="I2416" s="6">
        <v>65</v>
      </c>
      <c r="J2416" s="6">
        <v>2300</v>
      </c>
      <c r="K2416" s="7">
        <f>(J2416-M2416)*税费参数!$B$12/(I2416*10000*(1+SUM(税费参数!$B$6:$B$8)))</f>
        <v>0.0324548333022909</v>
      </c>
      <c r="L2416" s="7">
        <f>J2416*税费参数!$B$12/(I2416*10000)</f>
        <v>0.0353846153846154</v>
      </c>
      <c r="M2416" s="6">
        <f>I2416*10000*SUM(税费参数!$B$9:$B$10)/税费参数!$B$11</f>
        <v>121.875</v>
      </c>
    </row>
    <row r="2417" ht="21" customHeight="1" spans="1:13">
      <c r="A2417" s="5" t="s">
        <v>11</v>
      </c>
      <c r="B2417" s="6" t="s">
        <v>136</v>
      </c>
      <c r="C2417" s="6" t="s">
        <v>152</v>
      </c>
      <c r="D2417" s="6" t="s">
        <v>160</v>
      </c>
      <c r="E2417" s="6" t="s">
        <v>1467</v>
      </c>
      <c r="F2417" s="6" t="s">
        <v>2066</v>
      </c>
      <c r="G2417" s="6">
        <v>51.22</v>
      </c>
      <c r="H2417" s="6">
        <v>51.22</v>
      </c>
      <c r="I2417" s="6">
        <v>50</v>
      </c>
      <c r="J2417" s="6">
        <v>2300</v>
      </c>
      <c r="K2417" s="7">
        <f>(J2417-M2417)*税费参数!$B$12/(I2417*10000*(1+SUM(税费参数!$B$6:$B$8)))</f>
        <v>0.0427360774818402</v>
      </c>
      <c r="L2417" s="7">
        <f>J2417*税费参数!$B$12/(I2417*10000)</f>
        <v>0.046</v>
      </c>
      <c r="M2417" s="6">
        <f>I2417*10000*SUM(税费参数!$B$9:$B$10)/税费参数!$B$11</f>
        <v>93.75</v>
      </c>
    </row>
    <row r="2418" ht="21" customHeight="1" spans="1:13">
      <c r="A2418" s="5" t="s">
        <v>11</v>
      </c>
      <c r="B2418" s="6" t="s">
        <v>136</v>
      </c>
      <c r="C2418" s="6" t="s">
        <v>166</v>
      </c>
      <c r="D2418" s="6" t="s">
        <v>153</v>
      </c>
      <c r="E2418" s="6" t="s">
        <v>1473</v>
      </c>
      <c r="F2418" s="6" t="s">
        <v>2067</v>
      </c>
      <c r="G2418" s="6">
        <v>96.6</v>
      </c>
      <c r="H2418" s="6">
        <v>96.7</v>
      </c>
      <c r="I2418" s="6">
        <v>79.9</v>
      </c>
      <c r="J2418" s="6">
        <v>4000</v>
      </c>
      <c r="K2418" s="7">
        <f>(J2418-M2418)*税费参数!$B$12/(I2418*10000*(1+SUM(税费参数!$B$6:$B$8)))</f>
        <v>0.046670777939737</v>
      </c>
      <c r="L2418" s="7">
        <f>J2418*税费参数!$B$12/(I2418*10000)</f>
        <v>0.0500625782227785</v>
      </c>
      <c r="M2418" s="6">
        <f>I2418*10000*SUM(税费参数!$B$9:$B$10)/税费参数!$B$11</f>
        <v>149.8125</v>
      </c>
    </row>
    <row r="2419" ht="21" customHeight="1" spans="1:13">
      <c r="A2419" s="5" t="s">
        <v>11</v>
      </c>
      <c r="B2419" s="6" t="s">
        <v>136</v>
      </c>
      <c r="C2419" s="6" t="s">
        <v>166</v>
      </c>
      <c r="D2419" s="6" t="s">
        <v>153</v>
      </c>
      <c r="E2419" s="6" t="s">
        <v>1473</v>
      </c>
      <c r="F2419" s="6" t="s">
        <v>2068</v>
      </c>
      <c r="G2419" s="6">
        <v>96.6</v>
      </c>
      <c r="H2419" s="6">
        <v>96.7</v>
      </c>
      <c r="I2419" s="6">
        <v>79.9</v>
      </c>
      <c r="J2419" s="6">
        <v>4000</v>
      </c>
      <c r="K2419" s="7">
        <f>(J2419-M2419)*税费参数!$B$12/(I2419*10000*(1+SUM(税费参数!$B$6:$B$8)))</f>
        <v>0.046670777939737</v>
      </c>
      <c r="L2419" s="7">
        <f>J2419*税费参数!$B$12/(I2419*10000)</f>
        <v>0.0500625782227785</v>
      </c>
      <c r="M2419" s="6">
        <f>I2419*10000*SUM(税费参数!$B$9:$B$10)/税费参数!$B$11</f>
        <v>149.8125</v>
      </c>
    </row>
    <row r="2420" ht="21" customHeight="1" spans="1:13">
      <c r="A2420" s="5" t="s">
        <v>11</v>
      </c>
      <c r="B2420" s="6" t="s">
        <v>136</v>
      </c>
      <c r="C2420" s="6" t="s">
        <v>166</v>
      </c>
      <c r="D2420" s="6" t="s">
        <v>155</v>
      </c>
      <c r="E2420" s="6" t="s">
        <v>1475</v>
      </c>
      <c r="F2420" s="6" t="s">
        <v>2069</v>
      </c>
      <c r="G2420" s="6">
        <v>96.6</v>
      </c>
      <c r="H2420" s="6">
        <v>96.6</v>
      </c>
      <c r="I2420" s="6">
        <v>90</v>
      </c>
      <c r="J2420" s="6">
        <v>3400</v>
      </c>
      <c r="K2420" s="7">
        <f>(J2420-M2420)*税费参数!$B$12/(I2420*10000*(1+SUM(税费参数!$B$6:$B$8)))</f>
        <v>0.0347726661285983</v>
      </c>
      <c r="L2420" s="7">
        <f>J2420*税费参数!$B$12/(I2420*10000)</f>
        <v>0.0377777777777778</v>
      </c>
      <c r="M2420" s="6">
        <f>I2420*10000*SUM(税费参数!$B$9:$B$10)/税费参数!$B$11</f>
        <v>168.75</v>
      </c>
    </row>
    <row r="2421" ht="21" customHeight="1" spans="1:13">
      <c r="A2421" s="5" t="s">
        <v>11</v>
      </c>
      <c r="B2421" s="6" t="s">
        <v>136</v>
      </c>
      <c r="C2421" s="6" t="s">
        <v>166</v>
      </c>
      <c r="D2421" s="6" t="s">
        <v>155</v>
      </c>
      <c r="E2421" s="6" t="s">
        <v>1477</v>
      </c>
      <c r="F2421" s="6" t="s">
        <v>2069</v>
      </c>
      <c r="G2421" s="6">
        <v>96.6</v>
      </c>
      <c r="H2421" s="6">
        <v>96.6</v>
      </c>
      <c r="I2421" s="6">
        <v>85</v>
      </c>
      <c r="J2421" s="6">
        <v>3400</v>
      </c>
      <c r="K2421" s="7">
        <f>(J2421-M2421)*税费参数!$B$12/(I2421*10000*(1+SUM(税费参数!$B$6:$B$8)))</f>
        <v>0.0369249394673123</v>
      </c>
      <c r="L2421" s="7">
        <f>J2421*税费参数!$B$12/(I2421*10000)</f>
        <v>0.04</v>
      </c>
      <c r="M2421" s="6">
        <f>I2421*10000*SUM(税费参数!$B$9:$B$10)/税费参数!$B$11</f>
        <v>159.375</v>
      </c>
    </row>
    <row r="2422" ht="21" customHeight="1" spans="1:13">
      <c r="A2422" s="5" t="s">
        <v>11</v>
      </c>
      <c r="B2422" s="6" t="s">
        <v>141</v>
      </c>
      <c r="C2422" s="6" t="s">
        <v>152</v>
      </c>
      <c r="D2422" s="6" t="s">
        <v>153</v>
      </c>
      <c r="E2422" s="6" t="s">
        <v>1479</v>
      </c>
      <c r="F2422" s="6" t="s">
        <v>2070</v>
      </c>
      <c r="G2422" s="6">
        <v>54.88</v>
      </c>
      <c r="H2422" s="6">
        <v>54.88</v>
      </c>
      <c r="I2422" s="6">
        <v>79.8</v>
      </c>
      <c r="J2422" s="6">
        <v>1900</v>
      </c>
      <c r="K2422" s="7">
        <f>(J2422-M2422)*税费参数!$B$12/(I2422*10000*(1+SUM(税费参数!$B$6:$B$8)))</f>
        <v>0.0212440908566817</v>
      </c>
      <c r="L2422" s="7">
        <f>J2422*税费参数!$B$12/(I2422*10000)</f>
        <v>0.0238095238095238</v>
      </c>
      <c r="M2422" s="6">
        <f>I2422*10000*SUM(税费参数!$B$9:$B$10)/税费参数!$B$11</f>
        <v>149.625</v>
      </c>
    </row>
    <row r="2423" ht="21" customHeight="1" spans="1:13">
      <c r="A2423" s="5" t="s">
        <v>11</v>
      </c>
      <c r="B2423" s="6" t="s">
        <v>141</v>
      </c>
      <c r="C2423" s="6" t="s">
        <v>152</v>
      </c>
      <c r="D2423" s="6" t="s">
        <v>153</v>
      </c>
      <c r="E2423" s="6" t="s">
        <v>1479</v>
      </c>
      <c r="F2423" s="6" t="s">
        <v>2071</v>
      </c>
      <c r="G2423" s="6">
        <v>54.88</v>
      </c>
      <c r="H2423" s="6">
        <v>55.72</v>
      </c>
      <c r="I2423" s="6">
        <v>79.8</v>
      </c>
      <c r="J2423" s="6">
        <v>1900</v>
      </c>
      <c r="K2423" s="7">
        <f>(J2423-M2423)*税费参数!$B$12/(I2423*10000*(1+SUM(税费参数!$B$6:$B$8)))</f>
        <v>0.0212440908566817</v>
      </c>
      <c r="L2423" s="7">
        <f>J2423*税费参数!$B$12/(I2423*10000)</f>
        <v>0.0238095238095238</v>
      </c>
      <c r="M2423" s="6">
        <f>I2423*10000*SUM(税费参数!$B$9:$B$10)/税费参数!$B$11</f>
        <v>149.625</v>
      </c>
    </row>
    <row r="2424" ht="21" customHeight="1" spans="1:13">
      <c r="A2424" s="5" t="s">
        <v>11</v>
      </c>
      <c r="B2424" s="6" t="s">
        <v>141</v>
      </c>
      <c r="C2424" s="6" t="s">
        <v>152</v>
      </c>
      <c r="D2424" s="6" t="s">
        <v>153</v>
      </c>
      <c r="E2424" s="6" t="s">
        <v>1479</v>
      </c>
      <c r="F2424" s="6" t="s">
        <v>2072</v>
      </c>
      <c r="G2424" s="6">
        <v>54.88</v>
      </c>
      <c r="H2424" s="6">
        <v>55.96</v>
      </c>
      <c r="I2424" s="6">
        <v>79.8</v>
      </c>
      <c r="J2424" s="6">
        <v>2100</v>
      </c>
      <c r="K2424" s="7">
        <f>(J2424-M2424)*税费参数!$B$12/(I2424*10000*(1+SUM(税费参数!$B$6:$B$8)))</f>
        <v>0.0236714668025997</v>
      </c>
      <c r="L2424" s="7">
        <f>J2424*税费参数!$B$12/(I2424*10000)</f>
        <v>0.0263157894736842</v>
      </c>
      <c r="M2424" s="6">
        <f>I2424*10000*SUM(税费参数!$B$9:$B$10)/税费参数!$B$11</f>
        <v>149.625</v>
      </c>
    </row>
    <row r="2425" ht="21" customHeight="1" spans="1:13">
      <c r="A2425" s="5" t="s">
        <v>11</v>
      </c>
      <c r="B2425" s="6" t="s">
        <v>141</v>
      </c>
      <c r="C2425" s="6" t="s">
        <v>152</v>
      </c>
      <c r="D2425" s="6" t="s">
        <v>153</v>
      </c>
      <c r="E2425" s="6" t="s">
        <v>1479</v>
      </c>
      <c r="F2425" s="6" t="s">
        <v>2073</v>
      </c>
      <c r="G2425" s="6">
        <v>54.88</v>
      </c>
      <c r="H2425" s="6">
        <v>54.93</v>
      </c>
      <c r="I2425" s="6">
        <v>79.8</v>
      </c>
      <c r="J2425" s="6">
        <v>1950</v>
      </c>
      <c r="K2425" s="7">
        <f>(J2425-M2425)*税费参数!$B$12/(I2425*10000*(1+SUM(税费参数!$B$6:$B$8)))</f>
        <v>0.0218509348431612</v>
      </c>
      <c r="L2425" s="7">
        <f>J2425*税费参数!$B$12/(I2425*10000)</f>
        <v>0.0244360902255639</v>
      </c>
      <c r="M2425" s="6">
        <f>I2425*10000*SUM(税费参数!$B$9:$B$10)/税费参数!$B$11</f>
        <v>149.625</v>
      </c>
    </row>
    <row r="2426" ht="21" customHeight="1" spans="1:13">
      <c r="A2426" s="5" t="s">
        <v>11</v>
      </c>
      <c r="B2426" s="6" t="s">
        <v>141</v>
      </c>
      <c r="C2426" s="6" t="s">
        <v>152</v>
      </c>
      <c r="D2426" s="6" t="s">
        <v>153</v>
      </c>
      <c r="E2426" s="6" t="s">
        <v>1479</v>
      </c>
      <c r="F2426" s="6" t="s">
        <v>2074</v>
      </c>
      <c r="G2426" s="6">
        <v>54.88</v>
      </c>
      <c r="H2426" s="6">
        <v>55.11</v>
      </c>
      <c r="I2426" s="6">
        <v>79.8</v>
      </c>
      <c r="J2426" s="6">
        <v>2000</v>
      </c>
      <c r="K2426" s="7">
        <f>(J2426-M2426)*税费参数!$B$12/(I2426*10000*(1+SUM(税费参数!$B$6:$B$8)))</f>
        <v>0.0224577788296407</v>
      </c>
      <c r="L2426" s="7">
        <f>J2426*税费参数!$B$12/(I2426*10000)</f>
        <v>0.025062656641604</v>
      </c>
      <c r="M2426" s="6">
        <f>I2426*10000*SUM(税费参数!$B$9:$B$10)/税费参数!$B$11</f>
        <v>149.625</v>
      </c>
    </row>
    <row r="2427" ht="21" customHeight="1" spans="1:13">
      <c r="A2427" s="5" t="s">
        <v>11</v>
      </c>
      <c r="B2427" s="6" t="s">
        <v>141</v>
      </c>
      <c r="C2427" s="6" t="s">
        <v>152</v>
      </c>
      <c r="D2427" s="6" t="s">
        <v>153</v>
      </c>
      <c r="E2427" s="6" t="s">
        <v>1479</v>
      </c>
      <c r="F2427" s="6" t="s">
        <v>2075</v>
      </c>
      <c r="G2427" s="6">
        <v>54.88</v>
      </c>
      <c r="H2427" s="6">
        <v>53.74</v>
      </c>
      <c r="I2427" s="6">
        <v>79.8</v>
      </c>
      <c r="J2427" s="6">
        <v>2000</v>
      </c>
      <c r="K2427" s="7">
        <f>(J2427-M2427)*税费参数!$B$12/(I2427*10000*(1+SUM(税费参数!$B$6:$B$8)))</f>
        <v>0.0224577788296407</v>
      </c>
      <c r="L2427" s="7">
        <f>J2427*税费参数!$B$12/(I2427*10000)</f>
        <v>0.025062656641604</v>
      </c>
      <c r="M2427" s="6">
        <f>I2427*10000*SUM(税费参数!$B$9:$B$10)/税费参数!$B$11</f>
        <v>149.625</v>
      </c>
    </row>
    <row r="2428" ht="21" customHeight="1" spans="1:13">
      <c r="A2428" s="5" t="s">
        <v>11</v>
      </c>
      <c r="B2428" s="6" t="s">
        <v>141</v>
      </c>
      <c r="C2428" s="6" t="s">
        <v>157</v>
      </c>
      <c r="D2428" s="6" t="s">
        <v>155</v>
      </c>
      <c r="E2428" s="6" t="s">
        <v>1483</v>
      </c>
      <c r="F2428" s="6" t="s">
        <v>2076</v>
      </c>
      <c r="G2428" s="6">
        <v>83.33</v>
      </c>
      <c r="H2428" s="6">
        <v>83.3</v>
      </c>
      <c r="I2428" s="6">
        <v>118</v>
      </c>
      <c r="J2428" s="6">
        <v>2400</v>
      </c>
      <c r="K2428" s="7">
        <f>(J2428-M2428)*税费参数!$B$12/(I2428*10000*(1+SUM(税费参数!$B$6:$B$8)))</f>
        <v>0.0178827923010629</v>
      </c>
      <c r="L2428" s="7">
        <f>J2428*税费参数!$B$12/(I2428*10000)</f>
        <v>0.0203389830508475</v>
      </c>
      <c r="M2428" s="6">
        <f>I2428*10000*SUM(税费参数!$B$9:$B$10)/税费参数!$B$11</f>
        <v>221.25</v>
      </c>
    </row>
    <row r="2429" ht="21" customHeight="1" spans="1:13">
      <c r="A2429" s="5" t="s">
        <v>11</v>
      </c>
      <c r="B2429" s="6" t="s">
        <v>141</v>
      </c>
      <c r="C2429" s="6" t="s">
        <v>157</v>
      </c>
      <c r="D2429" s="6" t="s">
        <v>155</v>
      </c>
      <c r="E2429" s="6" t="s">
        <v>1483</v>
      </c>
      <c r="F2429" s="6" t="s">
        <v>2077</v>
      </c>
      <c r="G2429" s="6">
        <v>83.33</v>
      </c>
      <c r="H2429" s="6">
        <v>80.68</v>
      </c>
      <c r="I2429" s="6">
        <v>118</v>
      </c>
      <c r="J2429" s="6">
        <v>2400</v>
      </c>
      <c r="K2429" s="7">
        <f>(J2429-M2429)*税费参数!$B$12/(I2429*10000*(1+SUM(税费参数!$B$6:$B$8)))</f>
        <v>0.0178827923010629</v>
      </c>
      <c r="L2429" s="7">
        <f>J2429*税费参数!$B$12/(I2429*10000)</f>
        <v>0.0203389830508475</v>
      </c>
      <c r="M2429" s="6">
        <f>I2429*10000*SUM(税费参数!$B$9:$B$10)/税费参数!$B$11</f>
        <v>221.25</v>
      </c>
    </row>
    <row r="2430" ht="21" customHeight="1" spans="1:13">
      <c r="A2430" s="5" t="s">
        <v>11</v>
      </c>
      <c r="B2430" s="6" t="s">
        <v>141</v>
      </c>
      <c r="C2430" s="6" t="s">
        <v>157</v>
      </c>
      <c r="D2430" s="6" t="s">
        <v>155</v>
      </c>
      <c r="E2430" s="6" t="s">
        <v>1483</v>
      </c>
      <c r="F2430" s="6" t="s">
        <v>2078</v>
      </c>
      <c r="G2430" s="6">
        <v>83.33</v>
      </c>
      <c r="H2430" s="6">
        <v>80.95</v>
      </c>
      <c r="I2430" s="6">
        <v>118</v>
      </c>
      <c r="J2430" s="6">
        <v>2400</v>
      </c>
      <c r="K2430" s="7">
        <f>(J2430-M2430)*税费参数!$B$12/(I2430*10000*(1+SUM(税费参数!$B$6:$B$8)))</f>
        <v>0.0178827923010629</v>
      </c>
      <c r="L2430" s="7">
        <f>J2430*税费参数!$B$12/(I2430*10000)</f>
        <v>0.0203389830508475</v>
      </c>
      <c r="M2430" s="6">
        <f>I2430*10000*SUM(税费参数!$B$9:$B$10)/税费参数!$B$11</f>
        <v>221.25</v>
      </c>
    </row>
    <row r="2431" ht="21" customHeight="1" spans="1:13">
      <c r="A2431" s="5" t="s">
        <v>11</v>
      </c>
      <c r="B2431" s="6" t="s">
        <v>141</v>
      </c>
      <c r="C2431" s="6" t="s">
        <v>157</v>
      </c>
      <c r="D2431" s="6" t="s">
        <v>155</v>
      </c>
      <c r="E2431" s="6" t="s">
        <v>1483</v>
      </c>
      <c r="F2431" s="6" t="s">
        <v>2079</v>
      </c>
      <c r="G2431" s="6">
        <v>83.33</v>
      </c>
      <c r="H2431" s="6">
        <v>80.53</v>
      </c>
      <c r="I2431" s="6">
        <v>118</v>
      </c>
      <c r="J2431" s="6">
        <v>2200</v>
      </c>
      <c r="K2431" s="7">
        <f>(J2431-M2431)*税费参数!$B$12/(I2431*10000*(1+SUM(税费参数!$B$6:$B$8)))</f>
        <v>0.0162412278901793</v>
      </c>
      <c r="L2431" s="7">
        <f>J2431*税费参数!$B$12/(I2431*10000)</f>
        <v>0.0186440677966102</v>
      </c>
      <c r="M2431" s="6">
        <f>I2431*10000*SUM(税费参数!$B$9:$B$10)/税费参数!$B$11</f>
        <v>221.25</v>
      </c>
    </row>
    <row r="2432" ht="21" customHeight="1" spans="1:13">
      <c r="A2432" s="5" t="s">
        <v>11</v>
      </c>
      <c r="B2432" s="6" t="s">
        <v>141</v>
      </c>
      <c r="C2432" s="6" t="s">
        <v>157</v>
      </c>
      <c r="D2432" s="6" t="s">
        <v>155</v>
      </c>
      <c r="E2432" s="6" t="s">
        <v>1483</v>
      </c>
      <c r="F2432" s="6" t="s">
        <v>2080</v>
      </c>
      <c r="G2432" s="6">
        <v>83.33</v>
      </c>
      <c r="H2432" s="6">
        <v>80.78</v>
      </c>
      <c r="I2432" s="6">
        <v>118</v>
      </c>
      <c r="J2432" s="6">
        <v>2400</v>
      </c>
      <c r="K2432" s="7">
        <f>(J2432-M2432)*税费参数!$B$12/(I2432*10000*(1+SUM(税费参数!$B$6:$B$8)))</f>
        <v>0.0178827923010629</v>
      </c>
      <c r="L2432" s="7">
        <f>J2432*税费参数!$B$12/(I2432*10000)</f>
        <v>0.0203389830508475</v>
      </c>
      <c r="M2432" s="6">
        <f>I2432*10000*SUM(税费参数!$B$9:$B$10)/税费参数!$B$11</f>
        <v>221.25</v>
      </c>
    </row>
    <row r="2433" ht="21" customHeight="1" spans="1:13">
      <c r="A2433" s="5" t="s">
        <v>11</v>
      </c>
      <c r="B2433" s="6" t="s">
        <v>141</v>
      </c>
      <c r="C2433" s="6" t="s">
        <v>157</v>
      </c>
      <c r="D2433" s="6" t="s">
        <v>155</v>
      </c>
      <c r="E2433" s="6" t="s">
        <v>1483</v>
      </c>
      <c r="F2433" s="6" t="s">
        <v>2081</v>
      </c>
      <c r="G2433" s="6">
        <v>83.33</v>
      </c>
      <c r="H2433" s="6">
        <v>81.33</v>
      </c>
      <c r="I2433" s="6">
        <v>118</v>
      </c>
      <c r="J2433" s="6">
        <v>2100</v>
      </c>
      <c r="K2433" s="7">
        <f>(J2433-M2433)*税费参数!$B$12/(I2433*10000*(1+SUM(税费参数!$B$6:$B$8)))</f>
        <v>0.0154204456847376</v>
      </c>
      <c r="L2433" s="7">
        <f>J2433*税费参数!$B$12/(I2433*10000)</f>
        <v>0.0177966101694915</v>
      </c>
      <c r="M2433" s="6">
        <f>I2433*10000*SUM(税费参数!$B$9:$B$10)/税费参数!$B$11</f>
        <v>221.25</v>
      </c>
    </row>
    <row r="2434" ht="21" customHeight="1" spans="1:13">
      <c r="A2434" s="5" t="s">
        <v>11</v>
      </c>
      <c r="B2434" s="6" t="s">
        <v>141</v>
      </c>
      <c r="C2434" s="6" t="s">
        <v>157</v>
      </c>
      <c r="D2434" s="6" t="s">
        <v>155</v>
      </c>
      <c r="E2434" s="6" t="s">
        <v>1483</v>
      </c>
      <c r="F2434" s="6" t="s">
        <v>2082</v>
      </c>
      <c r="G2434" s="6">
        <v>83.33</v>
      </c>
      <c r="H2434" s="6">
        <v>80.86</v>
      </c>
      <c r="I2434" s="6">
        <v>118</v>
      </c>
      <c r="J2434" s="6">
        <v>2400</v>
      </c>
      <c r="K2434" s="7">
        <f>(J2434-M2434)*税费参数!$B$12/(I2434*10000*(1+SUM(税费参数!$B$6:$B$8)))</f>
        <v>0.0178827923010629</v>
      </c>
      <c r="L2434" s="7">
        <f>J2434*税费参数!$B$12/(I2434*10000)</f>
        <v>0.0203389830508475</v>
      </c>
      <c r="M2434" s="6">
        <f>I2434*10000*SUM(税费参数!$B$9:$B$10)/税费参数!$B$11</f>
        <v>221.25</v>
      </c>
    </row>
    <row r="2435" ht="21" customHeight="1" spans="1:13">
      <c r="A2435" s="5" t="s">
        <v>11</v>
      </c>
      <c r="B2435" s="6" t="s">
        <v>141</v>
      </c>
      <c r="C2435" s="6" t="s">
        <v>157</v>
      </c>
      <c r="D2435" s="6" t="s">
        <v>155</v>
      </c>
      <c r="E2435" s="6" t="s">
        <v>1483</v>
      </c>
      <c r="F2435" s="6" t="s">
        <v>2083</v>
      </c>
      <c r="G2435" s="6">
        <v>83.33</v>
      </c>
      <c r="H2435" s="6">
        <v>80.78</v>
      </c>
      <c r="I2435" s="6">
        <v>118</v>
      </c>
      <c r="J2435" s="6">
        <v>2500</v>
      </c>
      <c r="K2435" s="7">
        <f>(J2435-M2435)*税费参数!$B$12/(I2435*10000*(1+SUM(税费参数!$B$6:$B$8)))</f>
        <v>0.0187035745065047</v>
      </c>
      <c r="L2435" s="7">
        <f>J2435*税费参数!$B$12/(I2435*10000)</f>
        <v>0.0211864406779661</v>
      </c>
      <c r="M2435" s="6">
        <f>I2435*10000*SUM(税费参数!$B$9:$B$10)/税费参数!$B$11</f>
        <v>221.25</v>
      </c>
    </row>
    <row r="2436" ht="21" customHeight="1" spans="1:13">
      <c r="A2436" s="5" t="s">
        <v>11</v>
      </c>
      <c r="B2436" s="6" t="s">
        <v>141</v>
      </c>
      <c r="C2436" s="6" t="s">
        <v>157</v>
      </c>
      <c r="D2436" s="6" t="s">
        <v>155</v>
      </c>
      <c r="E2436" s="6" t="s">
        <v>1483</v>
      </c>
      <c r="F2436" s="6" t="s">
        <v>2084</v>
      </c>
      <c r="G2436" s="6">
        <v>83.33</v>
      </c>
      <c r="H2436" s="6">
        <v>80.84</v>
      </c>
      <c r="I2436" s="6">
        <v>118</v>
      </c>
      <c r="J2436" s="6">
        <v>2400</v>
      </c>
      <c r="K2436" s="7">
        <f>(J2436-M2436)*税费参数!$B$12/(I2436*10000*(1+SUM(税费参数!$B$6:$B$8)))</f>
        <v>0.0178827923010629</v>
      </c>
      <c r="L2436" s="7">
        <f>J2436*税费参数!$B$12/(I2436*10000)</f>
        <v>0.0203389830508475</v>
      </c>
      <c r="M2436" s="6">
        <f>I2436*10000*SUM(税费参数!$B$9:$B$10)/税费参数!$B$11</f>
        <v>221.25</v>
      </c>
    </row>
    <row r="2437" ht="21" customHeight="1" spans="1:13">
      <c r="A2437" s="5" t="s">
        <v>11</v>
      </c>
      <c r="B2437" s="6" t="s">
        <v>141</v>
      </c>
      <c r="C2437" s="6" t="s">
        <v>157</v>
      </c>
      <c r="D2437" s="6" t="s">
        <v>155</v>
      </c>
      <c r="E2437" s="6" t="s">
        <v>1483</v>
      </c>
      <c r="F2437" s="6" t="s">
        <v>2085</v>
      </c>
      <c r="G2437" s="6">
        <v>83.33</v>
      </c>
      <c r="H2437" s="6">
        <v>83.29</v>
      </c>
      <c r="I2437" s="6">
        <v>118</v>
      </c>
      <c r="J2437" s="6">
        <v>2300</v>
      </c>
      <c r="K2437" s="7">
        <f>(J2437-M2437)*税费参数!$B$12/(I2437*10000*(1+SUM(税费参数!$B$6:$B$8)))</f>
        <v>0.0170620100956211</v>
      </c>
      <c r="L2437" s="7">
        <f>J2437*税费参数!$B$12/(I2437*10000)</f>
        <v>0.0194915254237288</v>
      </c>
      <c r="M2437" s="6">
        <f>I2437*10000*SUM(税费参数!$B$9:$B$10)/税费参数!$B$11</f>
        <v>221.25</v>
      </c>
    </row>
    <row r="2438" ht="21" customHeight="1" spans="1:13">
      <c r="A2438" s="5" t="s">
        <v>11</v>
      </c>
      <c r="B2438" s="6" t="s">
        <v>141</v>
      </c>
      <c r="C2438" s="6" t="s">
        <v>157</v>
      </c>
      <c r="D2438" s="6" t="s">
        <v>155</v>
      </c>
      <c r="E2438" s="6" t="s">
        <v>1483</v>
      </c>
      <c r="F2438" s="6" t="s">
        <v>2086</v>
      </c>
      <c r="G2438" s="6">
        <v>83.33</v>
      </c>
      <c r="H2438" s="6">
        <v>81.29</v>
      </c>
      <c r="I2438" s="6">
        <v>118</v>
      </c>
      <c r="J2438" s="6">
        <v>2000</v>
      </c>
      <c r="K2438" s="7">
        <f>(J2438-M2438)*税费参数!$B$12/(I2438*10000*(1+SUM(税费参数!$B$6:$B$8)))</f>
        <v>0.0145996634792958</v>
      </c>
      <c r="L2438" s="7">
        <f>J2438*税费参数!$B$12/(I2438*10000)</f>
        <v>0.0169491525423729</v>
      </c>
      <c r="M2438" s="6">
        <f>I2438*10000*SUM(税费参数!$B$9:$B$10)/税费参数!$B$11</f>
        <v>221.25</v>
      </c>
    </row>
    <row r="2439" ht="21" customHeight="1" spans="1:13">
      <c r="A2439" s="5" t="s">
        <v>11</v>
      </c>
      <c r="B2439" s="6" t="s">
        <v>141</v>
      </c>
      <c r="C2439" s="6" t="s">
        <v>157</v>
      </c>
      <c r="D2439" s="6" t="s">
        <v>155</v>
      </c>
      <c r="E2439" s="6" t="s">
        <v>1483</v>
      </c>
      <c r="F2439" s="6" t="s">
        <v>2087</v>
      </c>
      <c r="G2439" s="6">
        <v>83.33</v>
      </c>
      <c r="H2439" s="6">
        <v>82.47</v>
      </c>
      <c r="I2439" s="6">
        <v>118</v>
      </c>
      <c r="J2439" s="6">
        <v>2400</v>
      </c>
      <c r="K2439" s="7">
        <f>(J2439-M2439)*税费参数!$B$12/(I2439*10000*(1+SUM(税费参数!$B$6:$B$8)))</f>
        <v>0.0178827923010629</v>
      </c>
      <c r="L2439" s="7">
        <f>J2439*税费参数!$B$12/(I2439*10000)</f>
        <v>0.0203389830508475</v>
      </c>
      <c r="M2439" s="6">
        <f>I2439*10000*SUM(税费参数!$B$9:$B$10)/税费参数!$B$11</f>
        <v>221.25</v>
      </c>
    </row>
    <row r="2440" ht="21" customHeight="1" spans="1:13">
      <c r="A2440" s="5" t="s">
        <v>11</v>
      </c>
      <c r="B2440" s="6" t="s">
        <v>141</v>
      </c>
      <c r="C2440" s="6" t="s">
        <v>157</v>
      </c>
      <c r="D2440" s="6" t="s">
        <v>155</v>
      </c>
      <c r="E2440" s="6" t="s">
        <v>1483</v>
      </c>
      <c r="F2440" s="6" t="s">
        <v>2088</v>
      </c>
      <c r="G2440" s="6">
        <v>83.33</v>
      </c>
      <c r="H2440" s="6">
        <v>80.92</v>
      </c>
      <c r="I2440" s="6">
        <v>118</v>
      </c>
      <c r="J2440" s="6">
        <v>2400</v>
      </c>
      <c r="K2440" s="7">
        <f>(J2440-M2440)*税费参数!$B$12/(I2440*10000*(1+SUM(税费参数!$B$6:$B$8)))</f>
        <v>0.0178827923010629</v>
      </c>
      <c r="L2440" s="7">
        <f>J2440*税费参数!$B$12/(I2440*10000)</f>
        <v>0.0203389830508475</v>
      </c>
      <c r="M2440" s="6">
        <f>I2440*10000*SUM(税费参数!$B$9:$B$10)/税费参数!$B$11</f>
        <v>221.25</v>
      </c>
    </row>
    <row r="2441" ht="21" customHeight="1" spans="1:13">
      <c r="A2441" s="5" t="s">
        <v>11</v>
      </c>
      <c r="B2441" s="6" t="s">
        <v>141</v>
      </c>
      <c r="C2441" s="6" t="s">
        <v>157</v>
      </c>
      <c r="D2441" s="6" t="s">
        <v>155</v>
      </c>
      <c r="E2441" s="6" t="s">
        <v>1485</v>
      </c>
      <c r="F2441" s="6" t="s">
        <v>2076</v>
      </c>
      <c r="G2441" s="6">
        <v>82.99</v>
      </c>
      <c r="H2441" s="6">
        <v>83.3</v>
      </c>
      <c r="I2441" s="6">
        <v>118</v>
      </c>
      <c r="J2441" s="6">
        <v>2400</v>
      </c>
      <c r="K2441" s="7">
        <f>(J2441-M2441)*税费参数!$B$12/(I2441*10000*(1+SUM(税费参数!$B$6:$B$8)))</f>
        <v>0.0178827923010629</v>
      </c>
      <c r="L2441" s="7">
        <f>J2441*税费参数!$B$12/(I2441*10000)</f>
        <v>0.0203389830508475</v>
      </c>
      <c r="M2441" s="6">
        <f>I2441*10000*SUM(税费参数!$B$9:$B$10)/税费参数!$B$11</f>
        <v>221.25</v>
      </c>
    </row>
    <row r="2442" ht="21" customHeight="1" spans="1:13">
      <c r="A2442" s="5" t="s">
        <v>11</v>
      </c>
      <c r="B2442" s="6" t="s">
        <v>141</v>
      </c>
      <c r="C2442" s="6" t="s">
        <v>157</v>
      </c>
      <c r="D2442" s="6" t="s">
        <v>155</v>
      </c>
      <c r="E2442" s="6" t="s">
        <v>1485</v>
      </c>
      <c r="F2442" s="6" t="s">
        <v>2077</v>
      </c>
      <c r="G2442" s="6">
        <v>82.99</v>
      </c>
      <c r="H2442" s="6">
        <v>80.68</v>
      </c>
      <c r="I2442" s="6">
        <v>118</v>
      </c>
      <c r="J2442" s="6">
        <v>2400</v>
      </c>
      <c r="K2442" s="7">
        <f>(J2442-M2442)*税费参数!$B$12/(I2442*10000*(1+SUM(税费参数!$B$6:$B$8)))</f>
        <v>0.0178827923010629</v>
      </c>
      <c r="L2442" s="7">
        <f>J2442*税费参数!$B$12/(I2442*10000)</f>
        <v>0.0203389830508475</v>
      </c>
      <c r="M2442" s="6">
        <f>I2442*10000*SUM(税费参数!$B$9:$B$10)/税费参数!$B$11</f>
        <v>221.25</v>
      </c>
    </row>
    <row r="2443" ht="21" customHeight="1" spans="1:13">
      <c r="A2443" s="5" t="s">
        <v>11</v>
      </c>
      <c r="B2443" s="6" t="s">
        <v>141</v>
      </c>
      <c r="C2443" s="6" t="s">
        <v>157</v>
      </c>
      <c r="D2443" s="6" t="s">
        <v>155</v>
      </c>
      <c r="E2443" s="6" t="s">
        <v>1485</v>
      </c>
      <c r="F2443" s="6" t="s">
        <v>2078</v>
      </c>
      <c r="G2443" s="6">
        <v>82.99</v>
      </c>
      <c r="H2443" s="6">
        <v>80.95</v>
      </c>
      <c r="I2443" s="6">
        <v>118</v>
      </c>
      <c r="J2443" s="6">
        <v>2400</v>
      </c>
      <c r="K2443" s="7">
        <f>(J2443-M2443)*税费参数!$B$12/(I2443*10000*(1+SUM(税费参数!$B$6:$B$8)))</f>
        <v>0.0178827923010629</v>
      </c>
      <c r="L2443" s="7">
        <f>J2443*税费参数!$B$12/(I2443*10000)</f>
        <v>0.0203389830508475</v>
      </c>
      <c r="M2443" s="6">
        <f>I2443*10000*SUM(税费参数!$B$9:$B$10)/税费参数!$B$11</f>
        <v>221.25</v>
      </c>
    </row>
    <row r="2444" ht="21" customHeight="1" spans="1:13">
      <c r="A2444" s="5" t="s">
        <v>11</v>
      </c>
      <c r="B2444" s="6" t="s">
        <v>141</v>
      </c>
      <c r="C2444" s="6" t="s">
        <v>157</v>
      </c>
      <c r="D2444" s="6" t="s">
        <v>155</v>
      </c>
      <c r="E2444" s="6" t="s">
        <v>1485</v>
      </c>
      <c r="F2444" s="6" t="s">
        <v>2079</v>
      </c>
      <c r="G2444" s="6">
        <v>82.99</v>
      </c>
      <c r="H2444" s="6">
        <v>80.53</v>
      </c>
      <c r="I2444" s="6">
        <v>118</v>
      </c>
      <c r="J2444" s="6">
        <v>2200</v>
      </c>
      <c r="K2444" s="7">
        <f>(J2444-M2444)*税费参数!$B$12/(I2444*10000*(1+SUM(税费参数!$B$6:$B$8)))</f>
        <v>0.0162412278901793</v>
      </c>
      <c r="L2444" s="7">
        <f>J2444*税费参数!$B$12/(I2444*10000)</f>
        <v>0.0186440677966102</v>
      </c>
      <c r="M2444" s="6">
        <f>I2444*10000*SUM(税费参数!$B$9:$B$10)/税费参数!$B$11</f>
        <v>221.25</v>
      </c>
    </row>
    <row r="2445" ht="21" customHeight="1" spans="1:13">
      <c r="A2445" s="5" t="s">
        <v>11</v>
      </c>
      <c r="B2445" s="6" t="s">
        <v>141</v>
      </c>
      <c r="C2445" s="6" t="s">
        <v>157</v>
      </c>
      <c r="D2445" s="6" t="s">
        <v>155</v>
      </c>
      <c r="E2445" s="6" t="s">
        <v>1485</v>
      </c>
      <c r="F2445" s="6" t="s">
        <v>2080</v>
      </c>
      <c r="G2445" s="6">
        <v>82.99</v>
      </c>
      <c r="H2445" s="6">
        <v>80.78</v>
      </c>
      <c r="I2445" s="6">
        <v>118</v>
      </c>
      <c r="J2445" s="6">
        <v>2400</v>
      </c>
      <c r="K2445" s="7">
        <f>(J2445-M2445)*税费参数!$B$12/(I2445*10000*(1+SUM(税费参数!$B$6:$B$8)))</f>
        <v>0.0178827923010629</v>
      </c>
      <c r="L2445" s="7">
        <f>J2445*税费参数!$B$12/(I2445*10000)</f>
        <v>0.0203389830508475</v>
      </c>
      <c r="M2445" s="6">
        <f>I2445*10000*SUM(税费参数!$B$9:$B$10)/税费参数!$B$11</f>
        <v>221.25</v>
      </c>
    </row>
    <row r="2446" ht="21" customHeight="1" spans="1:13">
      <c r="A2446" s="5" t="s">
        <v>11</v>
      </c>
      <c r="B2446" s="6" t="s">
        <v>141</v>
      </c>
      <c r="C2446" s="6" t="s">
        <v>157</v>
      </c>
      <c r="D2446" s="6" t="s">
        <v>155</v>
      </c>
      <c r="E2446" s="6" t="s">
        <v>1485</v>
      </c>
      <c r="F2446" s="6" t="s">
        <v>2081</v>
      </c>
      <c r="G2446" s="6">
        <v>82.99</v>
      </c>
      <c r="H2446" s="6">
        <v>81.33</v>
      </c>
      <c r="I2446" s="6">
        <v>118</v>
      </c>
      <c r="J2446" s="6">
        <v>2100</v>
      </c>
      <c r="K2446" s="7">
        <f>(J2446-M2446)*税费参数!$B$12/(I2446*10000*(1+SUM(税费参数!$B$6:$B$8)))</f>
        <v>0.0154204456847376</v>
      </c>
      <c r="L2446" s="7">
        <f>J2446*税费参数!$B$12/(I2446*10000)</f>
        <v>0.0177966101694915</v>
      </c>
      <c r="M2446" s="6">
        <f>I2446*10000*SUM(税费参数!$B$9:$B$10)/税费参数!$B$11</f>
        <v>221.25</v>
      </c>
    </row>
    <row r="2447" ht="21" customHeight="1" spans="1:13">
      <c r="A2447" s="5" t="s">
        <v>11</v>
      </c>
      <c r="B2447" s="6" t="s">
        <v>141</v>
      </c>
      <c r="C2447" s="6" t="s">
        <v>157</v>
      </c>
      <c r="D2447" s="6" t="s">
        <v>155</v>
      </c>
      <c r="E2447" s="6" t="s">
        <v>1485</v>
      </c>
      <c r="F2447" s="6" t="s">
        <v>2082</v>
      </c>
      <c r="G2447" s="6">
        <v>82.99</v>
      </c>
      <c r="H2447" s="6">
        <v>80.86</v>
      </c>
      <c r="I2447" s="6">
        <v>118</v>
      </c>
      <c r="J2447" s="6">
        <v>2400</v>
      </c>
      <c r="K2447" s="7">
        <f>(J2447-M2447)*税费参数!$B$12/(I2447*10000*(1+SUM(税费参数!$B$6:$B$8)))</f>
        <v>0.0178827923010629</v>
      </c>
      <c r="L2447" s="7">
        <f>J2447*税费参数!$B$12/(I2447*10000)</f>
        <v>0.0203389830508475</v>
      </c>
      <c r="M2447" s="6">
        <f>I2447*10000*SUM(税费参数!$B$9:$B$10)/税费参数!$B$11</f>
        <v>221.25</v>
      </c>
    </row>
    <row r="2448" ht="21" customHeight="1" spans="1:13">
      <c r="A2448" s="5" t="s">
        <v>11</v>
      </c>
      <c r="B2448" s="6" t="s">
        <v>141</v>
      </c>
      <c r="C2448" s="6" t="s">
        <v>157</v>
      </c>
      <c r="D2448" s="6" t="s">
        <v>155</v>
      </c>
      <c r="E2448" s="6" t="s">
        <v>1485</v>
      </c>
      <c r="F2448" s="6" t="s">
        <v>2083</v>
      </c>
      <c r="G2448" s="6">
        <v>82.99</v>
      </c>
      <c r="H2448" s="6">
        <v>80.78</v>
      </c>
      <c r="I2448" s="6">
        <v>118</v>
      </c>
      <c r="J2448" s="6">
        <v>2500</v>
      </c>
      <c r="K2448" s="7">
        <f>(J2448-M2448)*税费参数!$B$12/(I2448*10000*(1+SUM(税费参数!$B$6:$B$8)))</f>
        <v>0.0187035745065047</v>
      </c>
      <c r="L2448" s="7">
        <f>J2448*税费参数!$B$12/(I2448*10000)</f>
        <v>0.0211864406779661</v>
      </c>
      <c r="M2448" s="6">
        <f>I2448*10000*SUM(税费参数!$B$9:$B$10)/税费参数!$B$11</f>
        <v>221.25</v>
      </c>
    </row>
    <row r="2449" ht="21" customHeight="1" spans="1:13">
      <c r="A2449" s="5" t="s">
        <v>11</v>
      </c>
      <c r="B2449" s="6" t="s">
        <v>141</v>
      </c>
      <c r="C2449" s="6" t="s">
        <v>157</v>
      </c>
      <c r="D2449" s="6" t="s">
        <v>155</v>
      </c>
      <c r="E2449" s="6" t="s">
        <v>1485</v>
      </c>
      <c r="F2449" s="6" t="s">
        <v>2084</v>
      </c>
      <c r="G2449" s="6">
        <v>82.99</v>
      </c>
      <c r="H2449" s="6">
        <v>80.84</v>
      </c>
      <c r="I2449" s="6">
        <v>118</v>
      </c>
      <c r="J2449" s="6">
        <v>2400</v>
      </c>
      <c r="K2449" s="7">
        <f>(J2449-M2449)*税费参数!$B$12/(I2449*10000*(1+SUM(税费参数!$B$6:$B$8)))</f>
        <v>0.0178827923010629</v>
      </c>
      <c r="L2449" s="7">
        <f>J2449*税费参数!$B$12/(I2449*10000)</f>
        <v>0.0203389830508475</v>
      </c>
      <c r="M2449" s="6">
        <f>I2449*10000*SUM(税费参数!$B$9:$B$10)/税费参数!$B$11</f>
        <v>221.25</v>
      </c>
    </row>
    <row r="2450" ht="21" customHeight="1" spans="1:13">
      <c r="A2450" s="5" t="s">
        <v>11</v>
      </c>
      <c r="B2450" s="6" t="s">
        <v>141</v>
      </c>
      <c r="C2450" s="6" t="s">
        <v>157</v>
      </c>
      <c r="D2450" s="6" t="s">
        <v>155</v>
      </c>
      <c r="E2450" s="6" t="s">
        <v>1485</v>
      </c>
      <c r="F2450" s="6" t="s">
        <v>2085</v>
      </c>
      <c r="G2450" s="6">
        <v>82.99</v>
      </c>
      <c r="H2450" s="6">
        <v>83.29</v>
      </c>
      <c r="I2450" s="6">
        <v>118</v>
      </c>
      <c r="J2450" s="6">
        <v>2300</v>
      </c>
      <c r="K2450" s="7">
        <f>(J2450-M2450)*税费参数!$B$12/(I2450*10000*(1+SUM(税费参数!$B$6:$B$8)))</f>
        <v>0.0170620100956211</v>
      </c>
      <c r="L2450" s="7">
        <f>J2450*税费参数!$B$12/(I2450*10000)</f>
        <v>0.0194915254237288</v>
      </c>
      <c r="M2450" s="6">
        <f>I2450*10000*SUM(税费参数!$B$9:$B$10)/税费参数!$B$11</f>
        <v>221.25</v>
      </c>
    </row>
    <row r="2451" ht="21" customHeight="1" spans="1:13">
      <c r="A2451" s="5" t="s">
        <v>11</v>
      </c>
      <c r="B2451" s="6" t="s">
        <v>141</v>
      </c>
      <c r="C2451" s="6" t="s">
        <v>157</v>
      </c>
      <c r="D2451" s="6" t="s">
        <v>155</v>
      </c>
      <c r="E2451" s="6" t="s">
        <v>1485</v>
      </c>
      <c r="F2451" s="6" t="s">
        <v>2086</v>
      </c>
      <c r="G2451" s="6">
        <v>82.99</v>
      </c>
      <c r="H2451" s="6">
        <v>81.29</v>
      </c>
      <c r="I2451" s="6">
        <v>118</v>
      </c>
      <c r="J2451" s="6">
        <v>2000</v>
      </c>
      <c r="K2451" s="7">
        <f>(J2451-M2451)*税费参数!$B$12/(I2451*10000*(1+SUM(税费参数!$B$6:$B$8)))</f>
        <v>0.0145996634792958</v>
      </c>
      <c r="L2451" s="7">
        <f>J2451*税费参数!$B$12/(I2451*10000)</f>
        <v>0.0169491525423729</v>
      </c>
      <c r="M2451" s="6">
        <f>I2451*10000*SUM(税费参数!$B$9:$B$10)/税费参数!$B$11</f>
        <v>221.25</v>
      </c>
    </row>
    <row r="2452" ht="21" customHeight="1" spans="1:13">
      <c r="A2452" s="5" t="s">
        <v>11</v>
      </c>
      <c r="B2452" s="6" t="s">
        <v>141</v>
      </c>
      <c r="C2452" s="6" t="s">
        <v>157</v>
      </c>
      <c r="D2452" s="6" t="s">
        <v>155</v>
      </c>
      <c r="E2452" s="6" t="s">
        <v>1485</v>
      </c>
      <c r="F2452" s="6" t="s">
        <v>2087</v>
      </c>
      <c r="G2452" s="6">
        <v>82.99</v>
      </c>
      <c r="H2452" s="6">
        <v>82.47</v>
      </c>
      <c r="I2452" s="6">
        <v>118</v>
      </c>
      <c r="J2452" s="6">
        <v>2400</v>
      </c>
      <c r="K2452" s="7">
        <f>(J2452-M2452)*税费参数!$B$12/(I2452*10000*(1+SUM(税费参数!$B$6:$B$8)))</f>
        <v>0.0178827923010629</v>
      </c>
      <c r="L2452" s="7">
        <f>J2452*税费参数!$B$12/(I2452*10000)</f>
        <v>0.0203389830508475</v>
      </c>
      <c r="M2452" s="6">
        <f>I2452*10000*SUM(税费参数!$B$9:$B$10)/税费参数!$B$11</f>
        <v>221.25</v>
      </c>
    </row>
    <row r="2453" ht="21" customHeight="1" spans="1:13">
      <c r="A2453" s="5" t="s">
        <v>11</v>
      </c>
      <c r="B2453" s="6" t="s">
        <v>141</v>
      </c>
      <c r="C2453" s="6" t="s">
        <v>157</v>
      </c>
      <c r="D2453" s="6" t="s">
        <v>155</v>
      </c>
      <c r="E2453" s="6" t="s">
        <v>1485</v>
      </c>
      <c r="F2453" s="6" t="s">
        <v>2088</v>
      </c>
      <c r="G2453" s="6">
        <v>82.99</v>
      </c>
      <c r="H2453" s="6">
        <v>80.92</v>
      </c>
      <c r="I2453" s="6">
        <v>118</v>
      </c>
      <c r="J2453" s="6">
        <v>2400</v>
      </c>
      <c r="K2453" s="7">
        <f>(J2453-M2453)*税费参数!$B$12/(I2453*10000*(1+SUM(税费参数!$B$6:$B$8)))</f>
        <v>0.0178827923010629</v>
      </c>
      <c r="L2453" s="7">
        <f>J2453*税费参数!$B$12/(I2453*10000)</f>
        <v>0.0203389830508475</v>
      </c>
      <c r="M2453" s="6">
        <f>I2453*10000*SUM(税费参数!$B$9:$B$10)/税费参数!$B$11</f>
        <v>221.25</v>
      </c>
    </row>
    <row r="2454" ht="21" customHeight="1" spans="1:13">
      <c r="A2454" s="5" t="s">
        <v>11</v>
      </c>
      <c r="B2454" s="6" t="s">
        <v>141</v>
      </c>
      <c r="C2454" s="6" t="s">
        <v>157</v>
      </c>
      <c r="D2454" s="6" t="s">
        <v>155</v>
      </c>
      <c r="E2454" s="6" t="s">
        <v>1481</v>
      </c>
      <c r="F2454" s="6" t="s">
        <v>2076</v>
      </c>
      <c r="G2454" s="6">
        <v>82.5</v>
      </c>
      <c r="H2454" s="6">
        <v>83.3</v>
      </c>
      <c r="I2454" s="6">
        <v>117</v>
      </c>
      <c r="J2454" s="6">
        <v>2400</v>
      </c>
      <c r="K2454" s="7">
        <f>(J2454-M2454)*税费参数!$B$12/(I2454*10000*(1+SUM(税费参数!$B$6:$B$8)))</f>
        <v>0.0180511578816664</v>
      </c>
      <c r="L2454" s="7">
        <f>J2454*税费参数!$B$12/(I2454*10000)</f>
        <v>0.0205128205128205</v>
      </c>
      <c r="M2454" s="6">
        <f>I2454*10000*SUM(税费参数!$B$9:$B$10)/税费参数!$B$11</f>
        <v>219.375</v>
      </c>
    </row>
    <row r="2455" ht="21" customHeight="1" spans="1:13">
      <c r="A2455" s="5" t="s">
        <v>11</v>
      </c>
      <c r="B2455" s="6" t="s">
        <v>141</v>
      </c>
      <c r="C2455" s="6" t="s">
        <v>157</v>
      </c>
      <c r="D2455" s="6" t="s">
        <v>155</v>
      </c>
      <c r="E2455" s="6" t="s">
        <v>1481</v>
      </c>
      <c r="F2455" s="6" t="s">
        <v>2077</v>
      </c>
      <c r="G2455" s="6">
        <v>82.5</v>
      </c>
      <c r="H2455" s="6">
        <v>80.68</v>
      </c>
      <c r="I2455" s="6">
        <v>117</v>
      </c>
      <c r="J2455" s="6">
        <v>2400</v>
      </c>
      <c r="K2455" s="7">
        <f>(J2455-M2455)*税费参数!$B$12/(I2455*10000*(1+SUM(税费参数!$B$6:$B$8)))</f>
        <v>0.0180511578816664</v>
      </c>
      <c r="L2455" s="7">
        <f>J2455*税费参数!$B$12/(I2455*10000)</f>
        <v>0.0205128205128205</v>
      </c>
      <c r="M2455" s="6">
        <f>I2455*10000*SUM(税费参数!$B$9:$B$10)/税费参数!$B$11</f>
        <v>219.375</v>
      </c>
    </row>
    <row r="2456" ht="21" customHeight="1" spans="1:13">
      <c r="A2456" s="5" t="s">
        <v>11</v>
      </c>
      <c r="B2456" s="6" t="s">
        <v>141</v>
      </c>
      <c r="C2456" s="6" t="s">
        <v>157</v>
      </c>
      <c r="D2456" s="6" t="s">
        <v>155</v>
      </c>
      <c r="E2456" s="6" t="s">
        <v>1481</v>
      </c>
      <c r="F2456" s="6" t="s">
        <v>2078</v>
      </c>
      <c r="G2456" s="6">
        <v>82.5</v>
      </c>
      <c r="H2456" s="6">
        <v>80.95</v>
      </c>
      <c r="I2456" s="6">
        <v>117</v>
      </c>
      <c r="J2456" s="6">
        <v>2400</v>
      </c>
      <c r="K2456" s="7">
        <f>(J2456-M2456)*税费参数!$B$12/(I2456*10000*(1+SUM(税费参数!$B$6:$B$8)))</f>
        <v>0.0180511578816664</v>
      </c>
      <c r="L2456" s="7">
        <f>J2456*税费参数!$B$12/(I2456*10000)</f>
        <v>0.0205128205128205</v>
      </c>
      <c r="M2456" s="6">
        <f>I2456*10000*SUM(税费参数!$B$9:$B$10)/税费参数!$B$11</f>
        <v>219.375</v>
      </c>
    </row>
    <row r="2457" ht="21" customHeight="1" spans="1:13">
      <c r="A2457" s="5" t="s">
        <v>11</v>
      </c>
      <c r="B2457" s="6" t="s">
        <v>141</v>
      </c>
      <c r="C2457" s="6" t="s">
        <v>157</v>
      </c>
      <c r="D2457" s="6" t="s">
        <v>155</v>
      </c>
      <c r="E2457" s="6" t="s">
        <v>1481</v>
      </c>
      <c r="F2457" s="6" t="s">
        <v>2079</v>
      </c>
      <c r="G2457" s="6">
        <v>82.5</v>
      </c>
      <c r="H2457" s="6">
        <v>80.53</v>
      </c>
      <c r="I2457" s="6">
        <v>117</v>
      </c>
      <c r="J2457" s="6">
        <v>2200</v>
      </c>
      <c r="K2457" s="7">
        <f>(J2457-M2457)*税费参数!$B$12/(I2457*10000*(1+SUM(税费参数!$B$6:$B$8)))</f>
        <v>0.0163955630057325</v>
      </c>
      <c r="L2457" s="7">
        <f>J2457*税费参数!$B$12/(I2457*10000)</f>
        <v>0.0188034188034188</v>
      </c>
      <c r="M2457" s="6">
        <f>I2457*10000*SUM(税费参数!$B$9:$B$10)/税费参数!$B$11</f>
        <v>219.375</v>
      </c>
    </row>
    <row r="2458" ht="21" customHeight="1" spans="1:13">
      <c r="A2458" s="5" t="s">
        <v>11</v>
      </c>
      <c r="B2458" s="6" t="s">
        <v>141</v>
      </c>
      <c r="C2458" s="6" t="s">
        <v>157</v>
      </c>
      <c r="D2458" s="6" t="s">
        <v>155</v>
      </c>
      <c r="E2458" s="6" t="s">
        <v>1481</v>
      </c>
      <c r="F2458" s="6" t="s">
        <v>2080</v>
      </c>
      <c r="G2458" s="6">
        <v>82.5</v>
      </c>
      <c r="H2458" s="6">
        <v>80.78</v>
      </c>
      <c r="I2458" s="6">
        <v>117</v>
      </c>
      <c r="J2458" s="6">
        <v>2400</v>
      </c>
      <c r="K2458" s="7">
        <f>(J2458-M2458)*税费参数!$B$12/(I2458*10000*(1+SUM(税费参数!$B$6:$B$8)))</f>
        <v>0.0180511578816664</v>
      </c>
      <c r="L2458" s="7">
        <f>J2458*税费参数!$B$12/(I2458*10000)</f>
        <v>0.0205128205128205</v>
      </c>
      <c r="M2458" s="6">
        <f>I2458*10000*SUM(税费参数!$B$9:$B$10)/税费参数!$B$11</f>
        <v>219.375</v>
      </c>
    </row>
    <row r="2459" ht="21" customHeight="1" spans="1:13">
      <c r="A2459" s="5" t="s">
        <v>11</v>
      </c>
      <c r="B2459" s="6" t="s">
        <v>141</v>
      </c>
      <c r="C2459" s="6" t="s">
        <v>157</v>
      </c>
      <c r="D2459" s="6" t="s">
        <v>155</v>
      </c>
      <c r="E2459" s="6" t="s">
        <v>1481</v>
      </c>
      <c r="F2459" s="6" t="s">
        <v>2081</v>
      </c>
      <c r="G2459" s="6">
        <v>82.5</v>
      </c>
      <c r="H2459" s="6">
        <v>81.33</v>
      </c>
      <c r="I2459" s="6">
        <v>117</v>
      </c>
      <c r="J2459" s="6">
        <v>2100</v>
      </c>
      <c r="K2459" s="7">
        <f>(J2459-M2459)*税费参数!$B$12/(I2459*10000*(1+SUM(税费参数!$B$6:$B$8)))</f>
        <v>0.0155677655677656</v>
      </c>
      <c r="L2459" s="7">
        <f>J2459*税费参数!$B$12/(I2459*10000)</f>
        <v>0.0179487179487179</v>
      </c>
      <c r="M2459" s="6">
        <f>I2459*10000*SUM(税费参数!$B$9:$B$10)/税费参数!$B$11</f>
        <v>219.375</v>
      </c>
    </row>
    <row r="2460" ht="21" customHeight="1" spans="1:13">
      <c r="A2460" s="5" t="s">
        <v>11</v>
      </c>
      <c r="B2460" s="6" t="s">
        <v>141</v>
      </c>
      <c r="C2460" s="6" t="s">
        <v>157</v>
      </c>
      <c r="D2460" s="6" t="s">
        <v>155</v>
      </c>
      <c r="E2460" s="6" t="s">
        <v>1481</v>
      </c>
      <c r="F2460" s="6" t="s">
        <v>2082</v>
      </c>
      <c r="G2460" s="6">
        <v>82.5</v>
      </c>
      <c r="H2460" s="6">
        <v>80.86</v>
      </c>
      <c r="I2460" s="6">
        <v>117</v>
      </c>
      <c r="J2460" s="6">
        <v>2400</v>
      </c>
      <c r="K2460" s="7">
        <f>(J2460-M2460)*税费参数!$B$12/(I2460*10000*(1+SUM(税费参数!$B$6:$B$8)))</f>
        <v>0.0180511578816664</v>
      </c>
      <c r="L2460" s="7">
        <f>J2460*税费参数!$B$12/(I2460*10000)</f>
        <v>0.0205128205128205</v>
      </c>
      <c r="M2460" s="6">
        <f>I2460*10000*SUM(税费参数!$B$9:$B$10)/税费参数!$B$11</f>
        <v>219.375</v>
      </c>
    </row>
    <row r="2461" ht="21" customHeight="1" spans="1:13">
      <c r="A2461" s="5" t="s">
        <v>11</v>
      </c>
      <c r="B2461" s="6" t="s">
        <v>141</v>
      </c>
      <c r="C2461" s="6" t="s">
        <v>157</v>
      </c>
      <c r="D2461" s="6" t="s">
        <v>155</v>
      </c>
      <c r="E2461" s="6" t="s">
        <v>1481</v>
      </c>
      <c r="F2461" s="6" t="s">
        <v>2083</v>
      </c>
      <c r="G2461" s="6">
        <v>82.5</v>
      </c>
      <c r="H2461" s="6">
        <v>80.78</v>
      </c>
      <c r="I2461" s="6">
        <v>117</v>
      </c>
      <c r="J2461" s="6">
        <v>2500</v>
      </c>
      <c r="K2461" s="7">
        <f>(J2461-M2461)*税费参数!$B$12/(I2461*10000*(1+SUM(税费参数!$B$6:$B$8)))</f>
        <v>0.0188789553196333</v>
      </c>
      <c r="L2461" s="7">
        <f>J2461*税费参数!$B$12/(I2461*10000)</f>
        <v>0.0213675213675214</v>
      </c>
      <c r="M2461" s="6">
        <f>I2461*10000*SUM(税费参数!$B$9:$B$10)/税费参数!$B$11</f>
        <v>219.375</v>
      </c>
    </row>
    <row r="2462" ht="21" customHeight="1" spans="1:13">
      <c r="A2462" s="5" t="s">
        <v>11</v>
      </c>
      <c r="B2462" s="6" t="s">
        <v>141</v>
      </c>
      <c r="C2462" s="6" t="s">
        <v>157</v>
      </c>
      <c r="D2462" s="6" t="s">
        <v>155</v>
      </c>
      <c r="E2462" s="6" t="s">
        <v>1481</v>
      </c>
      <c r="F2462" s="6" t="s">
        <v>2084</v>
      </c>
      <c r="G2462" s="6">
        <v>82.5</v>
      </c>
      <c r="H2462" s="6">
        <v>80.84</v>
      </c>
      <c r="I2462" s="6">
        <v>117</v>
      </c>
      <c r="J2462" s="6">
        <v>2400</v>
      </c>
      <c r="K2462" s="7">
        <f>(J2462-M2462)*税费参数!$B$12/(I2462*10000*(1+SUM(税费参数!$B$6:$B$8)))</f>
        <v>0.0180511578816664</v>
      </c>
      <c r="L2462" s="7">
        <f>J2462*税费参数!$B$12/(I2462*10000)</f>
        <v>0.0205128205128205</v>
      </c>
      <c r="M2462" s="6">
        <f>I2462*10000*SUM(税费参数!$B$9:$B$10)/税费参数!$B$11</f>
        <v>219.375</v>
      </c>
    </row>
    <row r="2463" ht="21" customHeight="1" spans="1:13">
      <c r="A2463" s="5" t="s">
        <v>11</v>
      </c>
      <c r="B2463" s="6" t="s">
        <v>141</v>
      </c>
      <c r="C2463" s="6" t="s">
        <v>157</v>
      </c>
      <c r="D2463" s="6" t="s">
        <v>155</v>
      </c>
      <c r="E2463" s="6" t="s">
        <v>1481</v>
      </c>
      <c r="F2463" s="6" t="s">
        <v>2085</v>
      </c>
      <c r="G2463" s="6">
        <v>82.5</v>
      </c>
      <c r="H2463" s="6">
        <v>83.29</v>
      </c>
      <c r="I2463" s="6">
        <v>117</v>
      </c>
      <c r="J2463" s="6">
        <v>2300</v>
      </c>
      <c r="K2463" s="7">
        <f>(J2463-M2463)*税费参数!$B$12/(I2463*10000*(1+SUM(税费参数!$B$6:$B$8)))</f>
        <v>0.0172233604436994</v>
      </c>
      <c r="L2463" s="7">
        <f>J2463*税费参数!$B$12/(I2463*10000)</f>
        <v>0.0196581196581197</v>
      </c>
      <c r="M2463" s="6">
        <f>I2463*10000*SUM(税费参数!$B$9:$B$10)/税费参数!$B$11</f>
        <v>219.375</v>
      </c>
    </row>
    <row r="2464" ht="21" customHeight="1" spans="1:13">
      <c r="A2464" s="5" t="s">
        <v>11</v>
      </c>
      <c r="B2464" s="6" t="s">
        <v>141</v>
      </c>
      <c r="C2464" s="6" t="s">
        <v>157</v>
      </c>
      <c r="D2464" s="6" t="s">
        <v>155</v>
      </c>
      <c r="E2464" s="6" t="s">
        <v>1481</v>
      </c>
      <c r="F2464" s="6" t="s">
        <v>2086</v>
      </c>
      <c r="G2464" s="6">
        <v>82.5</v>
      </c>
      <c r="H2464" s="6">
        <v>81.29</v>
      </c>
      <c r="I2464" s="6">
        <v>117</v>
      </c>
      <c r="J2464" s="6">
        <v>2000</v>
      </c>
      <c r="K2464" s="7">
        <f>(J2464-M2464)*税费参数!$B$12/(I2464*10000*(1+SUM(税费参数!$B$6:$B$8)))</f>
        <v>0.0147399681297986</v>
      </c>
      <c r="L2464" s="7">
        <f>J2464*税费参数!$B$12/(I2464*10000)</f>
        <v>0.0170940170940171</v>
      </c>
      <c r="M2464" s="6">
        <f>I2464*10000*SUM(税费参数!$B$9:$B$10)/税费参数!$B$11</f>
        <v>219.375</v>
      </c>
    </row>
    <row r="2465" ht="21" customHeight="1" spans="1:13">
      <c r="A2465" s="5" t="s">
        <v>11</v>
      </c>
      <c r="B2465" s="6" t="s">
        <v>141</v>
      </c>
      <c r="C2465" s="6" t="s">
        <v>157</v>
      </c>
      <c r="D2465" s="6" t="s">
        <v>155</v>
      </c>
      <c r="E2465" s="6" t="s">
        <v>1481</v>
      </c>
      <c r="F2465" s="6" t="s">
        <v>2087</v>
      </c>
      <c r="G2465" s="6">
        <v>82.5</v>
      </c>
      <c r="H2465" s="6">
        <v>82.47</v>
      </c>
      <c r="I2465" s="6">
        <v>117</v>
      </c>
      <c r="J2465" s="6">
        <v>2400</v>
      </c>
      <c r="K2465" s="7">
        <f>(J2465-M2465)*税费参数!$B$12/(I2465*10000*(1+SUM(税费参数!$B$6:$B$8)))</f>
        <v>0.0180511578816664</v>
      </c>
      <c r="L2465" s="7">
        <f>J2465*税费参数!$B$12/(I2465*10000)</f>
        <v>0.0205128205128205</v>
      </c>
      <c r="M2465" s="6">
        <f>I2465*10000*SUM(税费参数!$B$9:$B$10)/税费参数!$B$11</f>
        <v>219.375</v>
      </c>
    </row>
    <row r="2466" ht="21" customHeight="1" spans="1:13">
      <c r="A2466" s="5" t="s">
        <v>11</v>
      </c>
      <c r="B2466" s="6" t="s">
        <v>141</v>
      </c>
      <c r="C2466" s="6" t="s">
        <v>157</v>
      </c>
      <c r="D2466" s="6" t="s">
        <v>155</v>
      </c>
      <c r="E2466" s="6" t="s">
        <v>1481</v>
      </c>
      <c r="F2466" s="6" t="s">
        <v>2088</v>
      </c>
      <c r="G2466" s="6">
        <v>82.5</v>
      </c>
      <c r="H2466" s="6">
        <v>80.92</v>
      </c>
      <c r="I2466" s="6">
        <v>117</v>
      </c>
      <c r="J2466" s="6">
        <v>2400</v>
      </c>
      <c r="K2466" s="7">
        <f>(J2466-M2466)*税费参数!$B$12/(I2466*10000*(1+SUM(税费参数!$B$6:$B$8)))</f>
        <v>0.0180511578816664</v>
      </c>
      <c r="L2466" s="7">
        <f>J2466*税费参数!$B$12/(I2466*10000)</f>
        <v>0.0205128205128205</v>
      </c>
      <c r="M2466" s="6">
        <f>I2466*10000*SUM(税费参数!$B$9:$B$10)/税费参数!$B$11</f>
        <v>219.375</v>
      </c>
    </row>
    <row r="2467" ht="21" customHeight="1" spans="1:13">
      <c r="A2467" s="5" t="s">
        <v>11</v>
      </c>
      <c r="B2467" s="6" t="s">
        <v>141</v>
      </c>
      <c r="C2467" s="6" t="s">
        <v>157</v>
      </c>
      <c r="D2467" s="6" t="s">
        <v>155</v>
      </c>
      <c r="E2467" s="6" t="s">
        <v>1487</v>
      </c>
      <c r="F2467" s="6" t="s">
        <v>2076</v>
      </c>
      <c r="G2467" s="6">
        <v>82.85</v>
      </c>
      <c r="H2467" s="6">
        <v>83.3</v>
      </c>
      <c r="I2467" s="6">
        <v>114</v>
      </c>
      <c r="J2467" s="6">
        <v>2400</v>
      </c>
      <c r="K2467" s="7">
        <f>(J2467-M2467)*税费参数!$B$12/(I2467*10000*(1+SUM(税费参数!$B$6:$B$8)))</f>
        <v>0.0185739773161718</v>
      </c>
      <c r="L2467" s="7">
        <f>J2467*税费参数!$B$12/(I2467*10000)</f>
        <v>0.0210526315789474</v>
      </c>
      <c r="M2467" s="6">
        <f>I2467*10000*SUM(税费参数!$B$9:$B$10)/税费参数!$B$11</f>
        <v>213.75</v>
      </c>
    </row>
    <row r="2468" ht="21" customHeight="1" spans="1:13">
      <c r="A2468" s="5" t="s">
        <v>11</v>
      </c>
      <c r="B2468" s="6" t="s">
        <v>141</v>
      </c>
      <c r="C2468" s="6" t="s">
        <v>157</v>
      </c>
      <c r="D2468" s="6" t="s">
        <v>155</v>
      </c>
      <c r="E2468" s="6" t="s">
        <v>1487</v>
      </c>
      <c r="F2468" s="6" t="s">
        <v>2077</v>
      </c>
      <c r="G2468" s="6">
        <v>82.85</v>
      </c>
      <c r="H2468" s="6">
        <v>80.68</v>
      </c>
      <c r="I2468" s="6">
        <v>114</v>
      </c>
      <c r="J2468" s="6">
        <v>2400</v>
      </c>
      <c r="K2468" s="7">
        <f>(J2468-M2468)*税费参数!$B$12/(I2468*10000*(1+SUM(税费参数!$B$6:$B$8)))</f>
        <v>0.0185739773161718</v>
      </c>
      <c r="L2468" s="7">
        <f>J2468*税费参数!$B$12/(I2468*10000)</f>
        <v>0.0210526315789474</v>
      </c>
      <c r="M2468" s="6">
        <f>I2468*10000*SUM(税费参数!$B$9:$B$10)/税费参数!$B$11</f>
        <v>213.75</v>
      </c>
    </row>
    <row r="2469" ht="21" customHeight="1" spans="1:13">
      <c r="A2469" s="5" t="s">
        <v>11</v>
      </c>
      <c r="B2469" s="6" t="s">
        <v>141</v>
      </c>
      <c r="C2469" s="6" t="s">
        <v>157</v>
      </c>
      <c r="D2469" s="6" t="s">
        <v>155</v>
      </c>
      <c r="E2469" s="6" t="s">
        <v>1487</v>
      </c>
      <c r="F2469" s="6" t="s">
        <v>2078</v>
      </c>
      <c r="G2469" s="6">
        <v>82.85</v>
      </c>
      <c r="H2469" s="6">
        <v>80.95</v>
      </c>
      <c r="I2469" s="6">
        <v>114</v>
      </c>
      <c r="J2469" s="6">
        <v>2400</v>
      </c>
      <c r="K2469" s="7">
        <f>(J2469-M2469)*税费参数!$B$12/(I2469*10000*(1+SUM(税费参数!$B$6:$B$8)))</f>
        <v>0.0185739773161718</v>
      </c>
      <c r="L2469" s="7">
        <f>J2469*税费参数!$B$12/(I2469*10000)</f>
        <v>0.0210526315789474</v>
      </c>
      <c r="M2469" s="6">
        <f>I2469*10000*SUM(税费参数!$B$9:$B$10)/税费参数!$B$11</f>
        <v>213.75</v>
      </c>
    </row>
    <row r="2470" ht="21" customHeight="1" spans="1:13">
      <c r="A2470" s="5" t="s">
        <v>11</v>
      </c>
      <c r="B2470" s="6" t="s">
        <v>141</v>
      </c>
      <c r="C2470" s="6" t="s">
        <v>157</v>
      </c>
      <c r="D2470" s="6" t="s">
        <v>155</v>
      </c>
      <c r="E2470" s="6" t="s">
        <v>1487</v>
      </c>
      <c r="F2470" s="6" t="s">
        <v>2079</v>
      </c>
      <c r="G2470" s="6">
        <v>82.85</v>
      </c>
      <c r="H2470" s="6">
        <v>80.53</v>
      </c>
      <c r="I2470" s="6">
        <v>114</v>
      </c>
      <c r="J2470" s="6">
        <v>2200</v>
      </c>
      <c r="K2470" s="7">
        <f>(J2470-M2470)*税费参数!$B$12/(I2470*10000*(1+SUM(税费参数!$B$6:$B$8)))</f>
        <v>0.0168748141540291</v>
      </c>
      <c r="L2470" s="7">
        <f>J2470*税费参数!$B$12/(I2470*10000)</f>
        <v>0.0192982456140351</v>
      </c>
      <c r="M2470" s="6">
        <f>I2470*10000*SUM(税费参数!$B$9:$B$10)/税费参数!$B$11</f>
        <v>213.75</v>
      </c>
    </row>
    <row r="2471" ht="21" customHeight="1" spans="1:13">
      <c r="A2471" s="5" t="s">
        <v>11</v>
      </c>
      <c r="B2471" s="6" t="s">
        <v>141</v>
      </c>
      <c r="C2471" s="6" t="s">
        <v>157</v>
      </c>
      <c r="D2471" s="6" t="s">
        <v>155</v>
      </c>
      <c r="E2471" s="6" t="s">
        <v>1487</v>
      </c>
      <c r="F2471" s="6" t="s">
        <v>2080</v>
      </c>
      <c r="G2471" s="6">
        <v>82.85</v>
      </c>
      <c r="H2471" s="6">
        <v>80.78</v>
      </c>
      <c r="I2471" s="6">
        <v>114</v>
      </c>
      <c r="J2471" s="6">
        <v>2400</v>
      </c>
      <c r="K2471" s="7">
        <f>(J2471-M2471)*税费参数!$B$12/(I2471*10000*(1+SUM(税费参数!$B$6:$B$8)))</f>
        <v>0.0185739773161718</v>
      </c>
      <c r="L2471" s="7">
        <f>J2471*税费参数!$B$12/(I2471*10000)</f>
        <v>0.0210526315789474</v>
      </c>
      <c r="M2471" s="6">
        <f>I2471*10000*SUM(税费参数!$B$9:$B$10)/税费参数!$B$11</f>
        <v>213.75</v>
      </c>
    </row>
    <row r="2472" ht="21" customHeight="1" spans="1:13">
      <c r="A2472" s="5" t="s">
        <v>11</v>
      </c>
      <c r="B2472" s="6" t="s">
        <v>141</v>
      </c>
      <c r="C2472" s="6" t="s">
        <v>157</v>
      </c>
      <c r="D2472" s="6" t="s">
        <v>155</v>
      </c>
      <c r="E2472" s="6" t="s">
        <v>1487</v>
      </c>
      <c r="F2472" s="6" t="s">
        <v>2081</v>
      </c>
      <c r="G2472" s="6">
        <v>82.85</v>
      </c>
      <c r="H2472" s="6">
        <v>81.33</v>
      </c>
      <c r="I2472" s="6">
        <v>114</v>
      </c>
      <c r="J2472" s="6">
        <v>2100</v>
      </c>
      <c r="K2472" s="7">
        <f>(J2472-M2472)*税费参数!$B$12/(I2472*10000*(1+SUM(税费参数!$B$6:$B$8)))</f>
        <v>0.0160252325729578</v>
      </c>
      <c r="L2472" s="7">
        <f>J2472*税费参数!$B$12/(I2472*10000)</f>
        <v>0.0184210526315789</v>
      </c>
      <c r="M2472" s="6">
        <f>I2472*10000*SUM(税费参数!$B$9:$B$10)/税费参数!$B$11</f>
        <v>213.75</v>
      </c>
    </row>
    <row r="2473" ht="21" customHeight="1" spans="1:13">
      <c r="A2473" s="5" t="s">
        <v>11</v>
      </c>
      <c r="B2473" s="6" t="s">
        <v>141</v>
      </c>
      <c r="C2473" s="6" t="s">
        <v>157</v>
      </c>
      <c r="D2473" s="6" t="s">
        <v>155</v>
      </c>
      <c r="E2473" s="6" t="s">
        <v>1487</v>
      </c>
      <c r="F2473" s="6" t="s">
        <v>2082</v>
      </c>
      <c r="G2473" s="6">
        <v>82.85</v>
      </c>
      <c r="H2473" s="6">
        <v>80.86</v>
      </c>
      <c r="I2473" s="6">
        <v>114</v>
      </c>
      <c r="J2473" s="6">
        <v>2400</v>
      </c>
      <c r="K2473" s="7">
        <f>(J2473-M2473)*税费参数!$B$12/(I2473*10000*(1+SUM(税费参数!$B$6:$B$8)))</f>
        <v>0.0185739773161718</v>
      </c>
      <c r="L2473" s="7">
        <f>J2473*税费参数!$B$12/(I2473*10000)</f>
        <v>0.0210526315789474</v>
      </c>
      <c r="M2473" s="6">
        <f>I2473*10000*SUM(税费参数!$B$9:$B$10)/税费参数!$B$11</f>
        <v>213.75</v>
      </c>
    </row>
    <row r="2474" ht="21" customHeight="1" spans="1:13">
      <c r="A2474" s="5" t="s">
        <v>11</v>
      </c>
      <c r="B2474" s="6" t="s">
        <v>141</v>
      </c>
      <c r="C2474" s="6" t="s">
        <v>157</v>
      </c>
      <c r="D2474" s="6" t="s">
        <v>155</v>
      </c>
      <c r="E2474" s="6" t="s">
        <v>1487</v>
      </c>
      <c r="F2474" s="6" t="s">
        <v>2083</v>
      </c>
      <c r="G2474" s="6">
        <v>82.85</v>
      </c>
      <c r="H2474" s="6">
        <v>80.78</v>
      </c>
      <c r="I2474" s="6">
        <v>114</v>
      </c>
      <c r="J2474" s="6">
        <v>2500</v>
      </c>
      <c r="K2474" s="7">
        <f>(J2474-M2474)*税费参数!$B$12/(I2474*10000*(1+SUM(税费参数!$B$6:$B$8)))</f>
        <v>0.0194235588972431</v>
      </c>
      <c r="L2474" s="7">
        <f>J2474*税费参数!$B$12/(I2474*10000)</f>
        <v>0.0219298245614035</v>
      </c>
      <c r="M2474" s="6">
        <f>I2474*10000*SUM(税费参数!$B$9:$B$10)/税费参数!$B$11</f>
        <v>213.75</v>
      </c>
    </row>
    <row r="2475" ht="21" customHeight="1" spans="1:13">
      <c r="A2475" s="5" t="s">
        <v>11</v>
      </c>
      <c r="B2475" s="6" t="s">
        <v>141</v>
      </c>
      <c r="C2475" s="6" t="s">
        <v>157</v>
      </c>
      <c r="D2475" s="6" t="s">
        <v>155</v>
      </c>
      <c r="E2475" s="6" t="s">
        <v>1487</v>
      </c>
      <c r="F2475" s="6" t="s">
        <v>2084</v>
      </c>
      <c r="G2475" s="6">
        <v>82.85</v>
      </c>
      <c r="H2475" s="6">
        <v>80.84</v>
      </c>
      <c r="I2475" s="6">
        <v>114</v>
      </c>
      <c r="J2475" s="6">
        <v>2400</v>
      </c>
      <c r="K2475" s="7">
        <f>(J2475-M2475)*税费参数!$B$12/(I2475*10000*(1+SUM(税费参数!$B$6:$B$8)))</f>
        <v>0.0185739773161718</v>
      </c>
      <c r="L2475" s="7">
        <f>J2475*税费参数!$B$12/(I2475*10000)</f>
        <v>0.0210526315789474</v>
      </c>
      <c r="M2475" s="6">
        <f>I2475*10000*SUM(税费参数!$B$9:$B$10)/税费参数!$B$11</f>
        <v>213.75</v>
      </c>
    </row>
    <row r="2476" ht="21" customHeight="1" spans="1:13">
      <c r="A2476" s="5" t="s">
        <v>11</v>
      </c>
      <c r="B2476" s="6" t="s">
        <v>141</v>
      </c>
      <c r="C2476" s="6" t="s">
        <v>157</v>
      </c>
      <c r="D2476" s="6" t="s">
        <v>155</v>
      </c>
      <c r="E2476" s="6" t="s">
        <v>1487</v>
      </c>
      <c r="F2476" s="6" t="s">
        <v>2085</v>
      </c>
      <c r="G2476" s="6">
        <v>82.85</v>
      </c>
      <c r="H2476" s="6">
        <v>83.29</v>
      </c>
      <c r="I2476" s="6">
        <v>114</v>
      </c>
      <c r="J2476" s="6">
        <v>2300</v>
      </c>
      <c r="K2476" s="7">
        <f>(J2476-M2476)*税费参数!$B$12/(I2476*10000*(1+SUM(税费参数!$B$6:$B$8)))</f>
        <v>0.0177243957351005</v>
      </c>
      <c r="L2476" s="7">
        <f>J2476*税费参数!$B$12/(I2476*10000)</f>
        <v>0.0201754385964912</v>
      </c>
      <c r="M2476" s="6">
        <f>I2476*10000*SUM(税费参数!$B$9:$B$10)/税费参数!$B$11</f>
        <v>213.75</v>
      </c>
    </row>
    <row r="2477" ht="21" customHeight="1" spans="1:13">
      <c r="A2477" s="5" t="s">
        <v>11</v>
      </c>
      <c r="B2477" s="6" t="s">
        <v>141</v>
      </c>
      <c r="C2477" s="6" t="s">
        <v>157</v>
      </c>
      <c r="D2477" s="6" t="s">
        <v>155</v>
      </c>
      <c r="E2477" s="6" t="s">
        <v>1487</v>
      </c>
      <c r="F2477" s="6" t="s">
        <v>2086</v>
      </c>
      <c r="G2477" s="6">
        <v>82.85</v>
      </c>
      <c r="H2477" s="6">
        <v>81.29</v>
      </c>
      <c r="I2477" s="6">
        <v>114</v>
      </c>
      <c r="J2477" s="6">
        <v>2000</v>
      </c>
      <c r="K2477" s="7">
        <f>(J2477-M2477)*税费参数!$B$12/(I2477*10000*(1+SUM(税费参数!$B$6:$B$8)))</f>
        <v>0.0151756509918865</v>
      </c>
      <c r="L2477" s="7">
        <f>J2477*税费参数!$B$12/(I2477*10000)</f>
        <v>0.0175438596491228</v>
      </c>
      <c r="M2477" s="6">
        <f>I2477*10000*SUM(税费参数!$B$9:$B$10)/税费参数!$B$11</f>
        <v>213.75</v>
      </c>
    </row>
    <row r="2478" ht="21" customHeight="1" spans="1:13">
      <c r="A2478" s="5" t="s">
        <v>11</v>
      </c>
      <c r="B2478" s="6" t="s">
        <v>141</v>
      </c>
      <c r="C2478" s="6" t="s">
        <v>157</v>
      </c>
      <c r="D2478" s="6" t="s">
        <v>155</v>
      </c>
      <c r="E2478" s="6" t="s">
        <v>1487</v>
      </c>
      <c r="F2478" s="6" t="s">
        <v>2087</v>
      </c>
      <c r="G2478" s="6">
        <v>82.85</v>
      </c>
      <c r="H2478" s="6">
        <v>82.47</v>
      </c>
      <c r="I2478" s="6">
        <v>114</v>
      </c>
      <c r="J2478" s="6">
        <v>2400</v>
      </c>
      <c r="K2478" s="7">
        <f>(J2478-M2478)*税费参数!$B$12/(I2478*10000*(1+SUM(税费参数!$B$6:$B$8)))</f>
        <v>0.0185739773161718</v>
      </c>
      <c r="L2478" s="7">
        <f>J2478*税费参数!$B$12/(I2478*10000)</f>
        <v>0.0210526315789474</v>
      </c>
      <c r="M2478" s="6">
        <f>I2478*10000*SUM(税费参数!$B$9:$B$10)/税费参数!$B$11</f>
        <v>213.75</v>
      </c>
    </row>
    <row r="2479" ht="21" customHeight="1" spans="1:13">
      <c r="A2479" s="5" t="s">
        <v>11</v>
      </c>
      <c r="B2479" s="6" t="s">
        <v>141</v>
      </c>
      <c r="C2479" s="6" t="s">
        <v>157</v>
      </c>
      <c r="D2479" s="6" t="s">
        <v>155</v>
      </c>
      <c r="E2479" s="6" t="s">
        <v>1487</v>
      </c>
      <c r="F2479" s="6" t="s">
        <v>2088</v>
      </c>
      <c r="G2479" s="6">
        <v>82.85</v>
      </c>
      <c r="H2479" s="6">
        <v>80.92</v>
      </c>
      <c r="I2479" s="6">
        <v>114</v>
      </c>
      <c r="J2479" s="6">
        <v>2400</v>
      </c>
      <c r="K2479" s="7">
        <f>(J2479-M2479)*税费参数!$B$12/(I2479*10000*(1+SUM(税费参数!$B$6:$B$8)))</f>
        <v>0.0185739773161718</v>
      </c>
      <c r="L2479" s="7">
        <f>J2479*税费参数!$B$12/(I2479*10000)</f>
        <v>0.0210526315789474</v>
      </c>
      <c r="M2479" s="6">
        <f>I2479*10000*SUM(税费参数!$B$9:$B$10)/税费参数!$B$11</f>
        <v>213.75</v>
      </c>
    </row>
    <row r="2480" ht="21" customHeight="1" spans="1:13">
      <c r="A2480" s="5" t="s">
        <v>11</v>
      </c>
      <c r="B2480" s="6" t="s">
        <v>141</v>
      </c>
      <c r="C2480" s="6" t="s">
        <v>157</v>
      </c>
      <c r="D2480" s="6" t="s">
        <v>155</v>
      </c>
      <c r="E2480" s="6" t="s">
        <v>1489</v>
      </c>
      <c r="F2480" s="6" t="s">
        <v>2076</v>
      </c>
      <c r="G2480" s="6">
        <v>80.56</v>
      </c>
      <c r="H2480" s="6">
        <v>83.3</v>
      </c>
      <c r="I2480" s="6">
        <v>116</v>
      </c>
      <c r="J2480" s="6">
        <v>2400</v>
      </c>
      <c r="K2480" s="7">
        <f>(J2480-M2480)*税费参数!$B$12/(I2480*10000*(1+SUM(税费参数!$B$6:$B$8)))</f>
        <v>0.0182224263171078</v>
      </c>
      <c r="L2480" s="7">
        <f>J2480*税费参数!$B$12/(I2480*10000)</f>
        <v>0.0206896551724138</v>
      </c>
      <c r="M2480" s="6">
        <f>I2480*10000*SUM(税费参数!$B$9:$B$10)/税费参数!$B$11</f>
        <v>217.5</v>
      </c>
    </row>
    <row r="2481" ht="21" customHeight="1" spans="1:13">
      <c r="A2481" s="5" t="s">
        <v>11</v>
      </c>
      <c r="B2481" s="6" t="s">
        <v>141</v>
      </c>
      <c r="C2481" s="6" t="s">
        <v>157</v>
      </c>
      <c r="D2481" s="6" t="s">
        <v>155</v>
      </c>
      <c r="E2481" s="6" t="s">
        <v>1489</v>
      </c>
      <c r="F2481" s="6" t="s">
        <v>2077</v>
      </c>
      <c r="G2481" s="6">
        <v>80.56</v>
      </c>
      <c r="H2481" s="6">
        <v>80.68</v>
      </c>
      <c r="I2481" s="6">
        <v>116</v>
      </c>
      <c r="J2481" s="6">
        <v>2400</v>
      </c>
      <c r="K2481" s="7">
        <f>(J2481-M2481)*税费参数!$B$12/(I2481*10000*(1+SUM(税费参数!$B$6:$B$8)))</f>
        <v>0.0182224263171078</v>
      </c>
      <c r="L2481" s="7">
        <f>J2481*税费参数!$B$12/(I2481*10000)</f>
        <v>0.0206896551724138</v>
      </c>
      <c r="M2481" s="6">
        <f>I2481*10000*SUM(税费参数!$B$9:$B$10)/税费参数!$B$11</f>
        <v>217.5</v>
      </c>
    </row>
    <row r="2482" ht="21" customHeight="1" spans="1:13">
      <c r="A2482" s="5" t="s">
        <v>11</v>
      </c>
      <c r="B2482" s="6" t="s">
        <v>141</v>
      </c>
      <c r="C2482" s="6" t="s">
        <v>157</v>
      </c>
      <c r="D2482" s="6" t="s">
        <v>155</v>
      </c>
      <c r="E2482" s="6" t="s">
        <v>1489</v>
      </c>
      <c r="F2482" s="6" t="s">
        <v>2078</v>
      </c>
      <c r="G2482" s="6">
        <v>80.56</v>
      </c>
      <c r="H2482" s="6">
        <v>80.95</v>
      </c>
      <c r="I2482" s="6">
        <v>116</v>
      </c>
      <c r="J2482" s="6">
        <v>2400</v>
      </c>
      <c r="K2482" s="7">
        <f>(J2482-M2482)*税费参数!$B$12/(I2482*10000*(1+SUM(税费参数!$B$6:$B$8)))</f>
        <v>0.0182224263171078</v>
      </c>
      <c r="L2482" s="7">
        <f>J2482*税费参数!$B$12/(I2482*10000)</f>
        <v>0.0206896551724138</v>
      </c>
      <c r="M2482" s="6">
        <f>I2482*10000*SUM(税费参数!$B$9:$B$10)/税费参数!$B$11</f>
        <v>217.5</v>
      </c>
    </row>
    <row r="2483" ht="21" customHeight="1" spans="1:13">
      <c r="A2483" s="5" t="s">
        <v>11</v>
      </c>
      <c r="B2483" s="6" t="s">
        <v>141</v>
      </c>
      <c r="C2483" s="6" t="s">
        <v>157</v>
      </c>
      <c r="D2483" s="6" t="s">
        <v>155</v>
      </c>
      <c r="E2483" s="6" t="s">
        <v>1489</v>
      </c>
      <c r="F2483" s="6" t="s">
        <v>2079</v>
      </c>
      <c r="G2483" s="6">
        <v>80.56</v>
      </c>
      <c r="H2483" s="6">
        <v>80.53</v>
      </c>
      <c r="I2483" s="6">
        <v>116</v>
      </c>
      <c r="J2483" s="6">
        <v>2200</v>
      </c>
      <c r="K2483" s="7">
        <f>(J2483-M2483)*税费参数!$B$12/(I2483*10000*(1+SUM(税费参数!$B$6:$B$8)))</f>
        <v>0.0165525590715538</v>
      </c>
      <c r="L2483" s="7">
        <f>J2483*税费参数!$B$12/(I2483*10000)</f>
        <v>0.0189655172413793</v>
      </c>
      <c r="M2483" s="6">
        <f>I2483*10000*SUM(税费参数!$B$9:$B$10)/税费参数!$B$11</f>
        <v>217.5</v>
      </c>
    </row>
    <row r="2484" ht="21" customHeight="1" spans="1:13">
      <c r="A2484" s="5" t="s">
        <v>11</v>
      </c>
      <c r="B2484" s="6" t="s">
        <v>141</v>
      </c>
      <c r="C2484" s="6" t="s">
        <v>157</v>
      </c>
      <c r="D2484" s="6" t="s">
        <v>155</v>
      </c>
      <c r="E2484" s="6" t="s">
        <v>1489</v>
      </c>
      <c r="F2484" s="6" t="s">
        <v>2080</v>
      </c>
      <c r="G2484" s="6">
        <v>80.56</v>
      </c>
      <c r="H2484" s="6">
        <v>80.78</v>
      </c>
      <c r="I2484" s="6">
        <v>116</v>
      </c>
      <c r="J2484" s="6">
        <v>2400</v>
      </c>
      <c r="K2484" s="7">
        <f>(J2484-M2484)*税费参数!$B$12/(I2484*10000*(1+SUM(税费参数!$B$6:$B$8)))</f>
        <v>0.0182224263171078</v>
      </c>
      <c r="L2484" s="7">
        <f>J2484*税费参数!$B$12/(I2484*10000)</f>
        <v>0.0206896551724138</v>
      </c>
      <c r="M2484" s="6">
        <f>I2484*10000*SUM(税费参数!$B$9:$B$10)/税费参数!$B$11</f>
        <v>217.5</v>
      </c>
    </row>
    <row r="2485" ht="21" customHeight="1" spans="1:13">
      <c r="A2485" s="5" t="s">
        <v>11</v>
      </c>
      <c r="B2485" s="6" t="s">
        <v>141</v>
      </c>
      <c r="C2485" s="6" t="s">
        <v>157</v>
      </c>
      <c r="D2485" s="6" t="s">
        <v>155</v>
      </c>
      <c r="E2485" s="6" t="s">
        <v>1489</v>
      </c>
      <c r="F2485" s="6" t="s">
        <v>2081</v>
      </c>
      <c r="G2485" s="6">
        <v>80.56</v>
      </c>
      <c r="H2485" s="6">
        <v>81.33</v>
      </c>
      <c r="I2485" s="6">
        <v>116</v>
      </c>
      <c r="J2485" s="6">
        <v>2100</v>
      </c>
      <c r="K2485" s="7">
        <f>(J2485-M2485)*税费参数!$B$12/(I2485*10000*(1+SUM(税费参数!$B$6:$B$8)))</f>
        <v>0.0157176254487768</v>
      </c>
      <c r="L2485" s="7">
        <f>J2485*税费参数!$B$12/(I2485*10000)</f>
        <v>0.0181034482758621</v>
      </c>
      <c r="M2485" s="6">
        <f>I2485*10000*SUM(税费参数!$B$9:$B$10)/税费参数!$B$11</f>
        <v>217.5</v>
      </c>
    </row>
    <row r="2486" ht="21" customHeight="1" spans="1:13">
      <c r="A2486" s="5" t="s">
        <v>11</v>
      </c>
      <c r="B2486" s="6" t="s">
        <v>141</v>
      </c>
      <c r="C2486" s="6" t="s">
        <v>157</v>
      </c>
      <c r="D2486" s="6" t="s">
        <v>155</v>
      </c>
      <c r="E2486" s="6" t="s">
        <v>1489</v>
      </c>
      <c r="F2486" s="6" t="s">
        <v>2082</v>
      </c>
      <c r="G2486" s="6">
        <v>80.56</v>
      </c>
      <c r="H2486" s="6">
        <v>80.86</v>
      </c>
      <c r="I2486" s="6">
        <v>116</v>
      </c>
      <c r="J2486" s="6">
        <v>2400</v>
      </c>
      <c r="K2486" s="7">
        <f>(J2486-M2486)*税费参数!$B$12/(I2486*10000*(1+SUM(税费参数!$B$6:$B$8)))</f>
        <v>0.0182224263171078</v>
      </c>
      <c r="L2486" s="7">
        <f>J2486*税费参数!$B$12/(I2486*10000)</f>
        <v>0.0206896551724138</v>
      </c>
      <c r="M2486" s="6">
        <f>I2486*10000*SUM(税费参数!$B$9:$B$10)/税费参数!$B$11</f>
        <v>217.5</v>
      </c>
    </row>
    <row r="2487" ht="21" customHeight="1" spans="1:13">
      <c r="A2487" s="5" t="s">
        <v>11</v>
      </c>
      <c r="B2487" s="6" t="s">
        <v>141</v>
      </c>
      <c r="C2487" s="6" t="s">
        <v>157</v>
      </c>
      <c r="D2487" s="6" t="s">
        <v>155</v>
      </c>
      <c r="E2487" s="6" t="s">
        <v>1489</v>
      </c>
      <c r="F2487" s="6" t="s">
        <v>2083</v>
      </c>
      <c r="G2487" s="6">
        <v>80.56</v>
      </c>
      <c r="H2487" s="6">
        <v>80.78</v>
      </c>
      <c r="I2487" s="6">
        <v>116</v>
      </c>
      <c r="J2487" s="6">
        <v>2500</v>
      </c>
      <c r="K2487" s="7">
        <f>(J2487-M2487)*税费参数!$B$12/(I2487*10000*(1+SUM(税费参数!$B$6:$B$8)))</f>
        <v>0.0190573599398848</v>
      </c>
      <c r="L2487" s="7">
        <f>J2487*税费参数!$B$12/(I2487*10000)</f>
        <v>0.021551724137931</v>
      </c>
      <c r="M2487" s="6">
        <f>I2487*10000*SUM(税费参数!$B$9:$B$10)/税费参数!$B$11</f>
        <v>217.5</v>
      </c>
    </row>
    <row r="2488" ht="21" customHeight="1" spans="1:13">
      <c r="A2488" s="5" t="s">
        <v>11</v>
      </c>
      <c r="B2488" s="6" t="s">
        <v>141</v>
      </c>
      <c r="C2488" s="6" t="s">
        <v>157</v>
      </c>
      <c r="D2488" s="6" t="s">
        <v>155</v>
      </c>
      <c r="E2488" s="6" t="s">
        <v>1489</v>
      </c>
      <c r="F2488" s="6" t="s">
        <v>2084</v>
      </c>
      <c r="G2488" s="6">
        <v>80.56</v>
      </c>
      <c r="H2488" s="6">
        <v>80.84</v>
      </c>
      <c r="I2488" s="6">
        <v>116</v>
      </c>
      <c r="J2488" s="6">
        <v>2400</v>
      </c>
      <c r="K2488" s="7">
        <f>(J2488-M2488)*税费参数!$B$12/(I2488*10000*(1+SUM(税费参数!$B$6:$B$8)))</f>
        <v>0.0182224263171078</v>
      </c>
      <c r="L2488" s="7">
        <f>J2488*税费参数!$B$12/(I2488*10000)</f>
        <v>0.0206896551724138</v>
      </c>
      <c r="M2488" s="6">
        <f>I2488*10000*SUM(税费参数!$B$9:$B$10)/税费参数!$B$11</f>
        <v>217.5</v>
      </c>
    </row>
    <row r="2489" ht="21" customHeight="1" spans="1:13">
      <c r="A2489" s="5" t="s">
        <v>11</v>
      </c>
      <c r="B2489" s="6" t="s">
        <v>141</v>
      </c>
      <c r="C2489" s="6" t="s">
        <v>157</v>
      </c>
      <c r="D2489" s="6" t="s">
        <v>155</v>
      </c>
      <c r="E2489" s="6" t="s">
        <v>1489</v>
      </c>
      <c r="F2489" s="6" t="s">
        <v>2085</v>
      </c>
      <c r="G2489" s="6">
        <v>80.56</v>
      </c>
      <c r="H2489" s="6">
        <v>83.29</v>
      </c>
      <c r="I2489" s="6">
        <v>116</v>
      </c>
      <c r="J2489" s="6">
        <v>2300</v>
      </c>
      <c r="K2489" s="7">
        <f>(J2489-M2489)*税费参数!$B$12/(I2489*10000*(1+SUM(税费参数!$B$6:$B$8)))</f>
        <v>0.0173874926943308</v>
      </c>
      <c r="L2489" s="7">
        <f>J2489*税费参数!$B$12/(I2489*10000)</f>
        <v>0.0198275862068966</v>
      </c>
      <c r="M2489" s="6">
        <f>I2489*10000*SUM(税费参数!$B$9:$B$10)/税费参数!$B$11</f>
        <v>217.5</v>
      </c>
    </row>
    <row r="2490" ht="21" customHeight="1" spans="1:13">
      <c r="A2490" s="5" t="s">
        <v>11</v>
      </c>
      <c r="B2490" s="6" t="s">
        <v>141</v>
      </c>
      <c r="C2490" s="6" t="s">
        <v>157</v>
      </c>
      <c r="D2490" s="6" t="s">
        <v>155</v>
      </c>
      <c r="E2490" s="6" t="s">
        <v>1489</v>
      </c>
      <c r="F2490" s="6" t="s">
        <v>2086</v>
      </c>
      <c r="G2490" s="6">
        <v>80.56</v>
      </c>
      <c r="H2490" s="6">
        <v>81.29</v>
      </c>
      <c r="I2490" s="6">
        <v>116</v>
      </c>
      <c r="J2490" s="6">
        <v>2000</v>
      </c>
      <c r="K2490" s="7">
        <f>(J2490-M2490)*税费参数!$B$12/(I2490*10000*(1+SUM(税费参数!$B$6:$B$8)))</f>
        <v>0.0148826918259998</v>
      </c>
      <c r="L2490" s="7">
        <f>J2490*税费参数!$B$12/(I2490*10000)</f>
        <v>0.0172413793103448</v>
      </c>
      <c r="M2490" s="6">
        <f>I2490*10000*SUM(税费参数!$B$9:$B$10)/税费参数!$B$11</f>
        <v>217.5</v>
      </c>
    </row>
    <row r="2491" ht="21" customHeight="1" spans="1:13">
      <c r="A2491" s="5" t="s">
        <v>11</v>
      </c>
      <c r="B2491" s="6" t="s">
        <v>141</v>
      </c>
      <c r="C2491" s="6" t="s">
        <v>157</v>
      </c>
      <c r="D2491" s="6" t="s">
        <v>155</v>
      </c>
      <c r="E2491" s="6" t="s">
        <v>1489</v>
      </c>
      <c r="F2491" s="6" t="s">
        <v>2087</v>
      </c>
      <c r="G2491" s="6">
        <v>80.56</v>
      </c>
      <c r="H2491" s="6">
        <v>82.47</v>
      </c>
      <c r="I2491" s="6">
        <v>116</v>
      </c>
      <c r="J2491" s="6">
        <v>2400</v>
      </c>
      <c r="K2491" s="7">
        <f>(J2491-M2491)*税费参数!$B$12/(I2491*10000*(1+SUM(税费参数!$B$6:$B$8)))</f>
        <v>0.0182224263171078</v>
      </c>
      <c r="L2491" s="7">
        <f>J2491*税费参数!$B$12/(I2491*10000)</f>
        <v>0.0206896551724138</v>
      </c>
      <c r="M2491" s="6">
        <f>I2491*10000*SUM(税费参数!$B$9:$B$10)/税费参数!$B$11</f>
        <v>217.5</v>
      </c>
    </row>
    <row r="2492" ht="21" customHeight="1" spans="1:13">
      <c r="A2492" s="5" t="s">
        <v>11</v>
      </c>
      <c r="B2492" s="6" t="s">
        <v>141</v>
      </c>
      <c r="C2492" s="6" t="s">
        <v>157</v>
      </c>
      <c r="D2492" s="6" t="s">
        <v>155</v>
      </c>
      <c r="E2492" s="6" t="s">
        <v>1489</v>
      </c>
      <c r="F2492" s="6" t="s">
        <v>2088</v>
      </c>
      <c r="G2492" s="6">
        <v>80.56</v>
      </c>
      <c r="H2492" s="6">
        <v>80.92</v>
      </c>
      <c r="I2492" s="6">
        <v>116</v>
      </c>
      <c r="J2492" s="6">
        <v>2400</v>
      </c>
      <c r="K2492" s="7">
        <f>(J2492-M2492)*税费参数!$B$12/(I2492*10000*(1+SUM(税费参数!$B$6:$B$8)))</f>
        <v>0.0182224263171078</v>
      </c>
      <c r="L2492" s="7">
        <f>J2492*税费参数!$B$12/(I2492*10000)</f>
        <v>0.0206896551724138</v>
      </c>
      <c r="M2492" s="6">
        <f>I2492*10000*SUM(税费参数!$B$9:$B$10)/税费参数!$B$11</f>
        <v>217.5</v>
      </c>
    </row>
    <row r="2493" ht="21" customHeight="1" spans="1:13">
      <c r="A2493" s="5" t="s">
        <v>11</v>
      </c>
      <c r="B2493" s="6" t="s">
        <v>141</v>
      </c>
      <c r="C2493" s="6" t="s">
        <v>157</v>
      </c>
      <c r="D2493" s="6" t="s">
        <v>155</v>
      </c>
      <c r="E2493" s="6" t="s">
        <v>1491</v>
      </c>
      <c r="F2493" s="6" t="s">
        <v>2076</v>
      </c>
      <c r="G2493" s="6">
        <v>82.67</v>
      </c>
      <c r="H2493" s="6">
        <v>83.3</v>
      </c>
      <c r="I2493" s="6">
        <v>115</v>
      </c>
      <c r="J2493" s="6">
        <v>2400</v>
      </c>
      <c r="K2493" s="7">
        <f>(J2493-M2493)*税费参数!$B$12/(I2493*10000*(1+SUM(税费参数!$B$6:$B$8)))</f>
        <v>0.0183966733340352</v>
      </c>
      <c r="L2493" s="7">
        <f>J2493*税费参数!$B$12/(I2493*10000)</f>
        <v>0.0208695652173913</v>
      </c>
      <c r="M2493" s="6">
        <f>I2493*10000*SUM(税费参数!$B$9:$B$10)/税费参数!$B$11</f>
        <v>215.625</v>
      </c>
    </row>
    <row r="2494" ht="21" customHeight="1" spans="1:13">
      <c r="A2494" s="5" t="s">
        <v>11</v>
      </c>
      <c r="B2494" s="6" t="s">
        <v>141</v>
      </c>
      <c r="C2494" s="6" t="s">
        <v>157</v>
      </c>
      <c r="D2494" s="6" t="s">
        <v>155</v>
      </c>
      <c r="E2494" s="6" t="s">
        <v>1491</v>
      </c>
      <c r="F2494" s="6" t="s">
        <v>2077</v>
      </c>
      <c r="G2494" s="6">
        <v>82.67</v>
      </c>
      <c r="H2494" s="6">
        <v>80.68</v>
      </c>
      <c r="I2494" s="6">
        <v>115</v>
      </c>
      <c r="J2494" s="6">
        <v>2400</v>
      </c>
      <c r="K2494" s="7">
        <f>(J2494-M2494)*税费参数!$B$12/(I2494*10000*(1+SUM(税费参数!$B$6:$B$8)))</f>
        <v>0.0183966733340352</v>
      </c>
      <c r="L2494" s="7">
        <f>J2494*税费参数!$B$12/(I2494*10000)</f>
        <v>0.0208695652173913</v>
      </c>
      <c r="M2494" s="6">
        <f>I2494*10000*SUM(税费参数!$B$9:$B$10)/税费参数!$B$11</f>
        <v>215.625</v>
      </c>
    </row>
    <row r="2495" ht="21" customHeight="1" spans="1:13">
      <c r="A2495" s="5" t="s">
        <v>11</v>
      </c>
      <c r="B2495" s="6" t="s">
        <v>141</v>
      </c>
      <c r="C2495" s="6" t="s">
        <v>157</v>
      </c>
      <c r="D2495" s="6" t="s">
        <v>155</v>
      </c>
      <c r="E2495" s="6" t="s">
        <v>1491</v>
      </c>
      <c r="F2495" s="6" t="s">
        <v>2078</v>
      </c>
      <c r="G2495" s="6">
        <v>82.67</v>
      </c>
      <c r="H2495" s="6">
        <v>80.95</v>
      </c>
      <c r="I2495" s="6">
        <v>115</v>
      </c>
      <c r="J2495" s="6">
        <v>2400</v>
      </c>
      <c r="K2495" s="7">
        <f>(J2495-M2495)*税费参数!$B$12/(I2495*10000*(1+SUM(税费参数!$B$6:$B$8)))</f>
        <v>0.0183966733340352</v>
      </c>
      <c r="L2495" s="7">
        <f>J2495*税费参数!$B$12/(I2495*10000)</f>
        <v>0.0208695652173913</v>
      </c>
      <c r="M2495" s="6">
        <f>I2495*10000*SUM(税费参数!$B$9:$B$10)/税费参数!$B$11</f>
        <v>215.625</v>
      </c>
    </row>
    <row r="2496" ht="21" customHeight="1" spans="1:13">
      <c r="A2496" s="5" t="s">
        <v>11</v>
      </c>
      <c r="B2496" s="6" t="s">
        <v>141</v>
      </c>
      <c r="C2496" s="6" t="s">
        <v>157</v>
      </c>
      <c r="D2496" s="6" t="s">
        <v>155</v>
      </c>
      <c r="E2496" s="6" t="s">
        <v>1491</v>
      </c>
      <c r="F2496" s="6" t="s">
        <v>2079</v>
      </c>
      <c r="G2496" s="6">
        <v>82.67</v>
      </c>
      <c r="H2496" s="6">
        <v>80.53</v>
      </c>
      <c r="I2496" s="6">
        <v>115</v>
      </c>
      <c r="J2496" s="6">
        <v>2200</v>
      </c>
      <c r="K2496" s="7">
        <f>(J2496-M2496)*税费参数!$B$12/(I2496*10000*(1+SUM(税费参数!$B$6:$B$8)))</f>
        <v>0.0167122855037372</v>
      </c>
      <c r="L2496" s="7">
        <f>J2496*税费参数!$B$12/(I2496*10000)</f>
        <v>0.0191304347826087</v>
      </c>
      <c r="M2496" s="6">
        <f>I2496*10000*SUM(税费参数!$B$9:$B$10)/税费参数!$B$11</f>
        <v>215.625</v>
      </c>
    </row>
    <row r="2497" ht="21" customHeight="1" spans="1:13">
      <c r="A2497" s="5" t="s">
        <v>11</v>
      </c>
      <c r="B2497" s="6" t="s">
        <v>141</v>
      </c>
      <c r="C2497" s="6" t="s">
        <v>157</v>
      </c>
      <c r="D2497" s="6" t="s">
        <v>155</v>
      </c>
      <c r="E2497" s="6" t="s">
        <v>1491</v>
      </c>
      <c r="F2497" s="6" t="s">
        <v>2080</v>
      </c>
      <c r="G2497" s="6">
        <v>82.67</v>
      </c>
      <c r="H2497" s="6">
        <v>80.78</v>
      </c>
      <c r="I2497" s="6">
        <v>115</v>
      </c>
      <c r="J2497" s="6">
        <v>2400</v>
      </c>
      <c r="K2497" s="7">
        <f>(J2497-M2497)*税费参数!$B$12/(I2497*10000*(1+SUM(税费参数!$B$6:$B$8)))</f>
        <v>0.0183966733340352</v>
      </c>
      <c r="L2497" s="7">
        <f>J2497*税费参数!$B$12/(I2497*10000)</f>
        <v>0.0208695652173913</v>
      </c>
      <c r="M2497" s="6">
        <f>I2497*10000*SUM(税费参数!$B$9:$B$10)/税费参数!$B$11</f>
        <v>215.625</v>
      </c>
    </row>
    <row r="2498" ht="21" customHeight="1" spans="1:13">
      <c r="A2498" s="5" t="s">
        <v>11</v>
      </c>
      <c r="B2498" s="6" t="s">
        <v>141</v>
      </c>
      <c r="C2498" s="6" t="s">
        <v>157</v>
      </c>
      <c r="D2498" s="6" t="s">
        <v>155</v>
      </c>
      <c r="E2498" s="6" t="s">
        <v>1491</v>
      </c>
      <c r="F2498" s="6" t="s">
        <v>2081</v>
      </c>
      <c r="G2498" s="6">
        <v>82.67</v>
      </c>
      <c r="H2498" s="6">
        <v>81.33</v>
      </c>
      <c r="I2498" s="6">
        <v>115</v>
      </c>
      <c r="J2498" s="6">
        <v>2100</v>
      </c>
      <c r="K2498" s="7">
        <f>(J2498-M2498)*税费参数!$B$12/(I2498*10000*(1+SUM(税费参数!$B$6:$B$8)))</f>
        <v>0.0158700915885883</v>
      </c>
      <c r="L2498" s="7">
        <f>J2498*税费参数!$B$12/(I2498*10000)</f>
        <v>0.0182608695652174</v>
      </c>
      <c r="M2498" s="6">
        <f>I2498*10000*SUM(税费参数!$B$9:$B$10)/税费参数!$B$11</f>
        <v>215.625</v>
      </c>
    </row>
    <row r="2499" ht="21" customHeight="1" spans="1:13">
      <c r="A2499" s="5" t="s">
        <v>11</v>
      </c>
      <c r="B2499" s="6" t="s">
        <v>141</v>
      </c>
      <c r="C2499" s="6" t="s">
        <v>157</v>
      </c>
      <c r="D2499" s="6" t="s">
        <v>155</v>
      </c>
      <c r="E2499" s="6" t="s">
        <v>1491</v>
      </c>
      <c r="F2499" s="6" t="s">
        <v>2082</v>
      </c>
      <c r="G2499" s="6">
        <v>82.67</v>
      </c>
      <c r="H2499" s="6">
        <v>80.86</v>
      </c>
      <c r="I2499" s="6">
        <v>115</v>
      </c>
      <c r="J2499" s="6">
        <v>2400</v>
      </c>
      <c r="K2499" s="7">
        <f>(J2499-M2499)*税费参数!$B$12/(I2499*10000*(1+SUM(税费参数!$B$6:$B$8)))</f>
        <v>0.0183966733340352</v>
      </c>
      <c r="L2499" s="7">
        <f>J2499*税费参数!$B$12/(I2499*10000)</f>
        <v>0.0208695652173913</v>
      </c>
      <c r="M2499" s="6">
        <f>I2499*10000*SUM(税费参数!$B$9:$B$10)/税费参数!$B$11</f>
        <v>215.625</v>
      </c>
    </row>
    <row r="2500" ht="21" customHeight="1" spans="1:13">
      <c r="A2500" s="5" t="s">
        <v>11</v>
      </c>
      <c r="B2500" s="6" t="s">
        <v>141</v>
      </c>
      <c r="C2500" s="6" t="s">
        <v>157</v>
      </c>
      <c r="D2500" s="6" t="s">
        <v>155</v>
      </c>
      <c r="E2500" s="6" t="s">
        <v>1491</v>
      </c>
      <c r="F2500" s="6" t="s">
        <v>2083</v>
      </c>
      <c r="G2500" s="6">
        <v>82.67</v>
      </c>
      <c r="H2500" s="6">
        <v>80.78</v>
      </c>
      <c r="I2500" s="6">
        <v>115</v>
      </c>
      <c r="J2500" s="6">
        <v>2500</v>
      </c>
      <c r="K2500" s="7">
        <f>(J2500-M2500)*税费参数!$B$12/(I2500*10000*(1+SUM(税费参数!$B$6:$B$8)))</f>
        <v>0.0192388672491841</v>
      </c>
      <c r="L2500" s="7">
        <f>J2500*税费参数!$B$12/(I2500*10000)</f>
        <v>0.0217391304347826</v>
      </c>
      <c r="M2500" s="6">
        <f>I2500*10000*SUM(税费参数!$B$9:$B$10)/税费参数!$B$11</f>
        <v>215.625</v>
      </c>
    </row>
    <row r="2501" ht="21" customHeight="1" spans="1:13">
      <c r="A2501" s="5" t="s">
        <v>11</v>
      </c>
      <c r="B2501" s="6" t="s">
        <v>141</v>
      </c>
      <c r="C2501" s="6" t="s">
        <v>157</v>
      </c>
      <c r="D2501" s="6" t="s">
        <v>155</v>
      </c>
      <c r="E2501" s="6" t="s">
        <v>1491</v>
      </c>
      <c r="F2501" s="6" t="s">
        <v>2084</v>
      </c>
      <c r="G2501" s="6">
        <v>82.67</v>
      </c>
      <c r="H2501" s="6">
        <v>80.84</v>
      </c>
      <c r="I2501" s="6">
        <v>115</v>
      </c>
      <c r="J2501" s="6">
        <v>2400</v>
      </c>
      <c r="K2501" s="7">
        <f>(J2501-M2501)*税费参数!$B$12/(I2501*10000*(1+SUM(税费参数!$B$6:$B$8)))</f>
        <v>0.0183966733340352</v>
      </c>
      <c r="L2501" s="7">
        <f>J2501*税费参数!$B$12/(I2501*10000)</f>
        <v>0.0208695652173913</v>
      </c>
      <c r="M2501" s="6">
        <f>I2501*10000*SUM(税费参数!$B$9:$B$10)/税费参数!$B$11</f>
        <v>215.625</v>
      </c>
    </row>
    <row r="2502" ht="21" customHeight="1" spans="1:13">
      <c r="A2502" s="5" t="s">
        <v>11</v>
      </c>
      <c r="B2502" s="6" t="s">
        <v>141</v>
      </c>
      <c r="C2502" s="6" t="s">
        <v>157</v>
      </c>
      <c r="D2502" s="6" t="s">
        <v>155</v>
      </c>
      <c r="E2502" s="6" t="s">
        <v>1491</v>
      </c>
      <c r="F2502" s="6" t="s">
        <v>2085</v>
      </c>
      <c r="G2502" s="6">
        <v>82.67</v>
      </c>
      <c r="H2502" s="6">
        <v>83.29</v>
      </c>
      <c r="I2502" s="6">
        <v>115</v>
      </c>
      <c r="J2502" s="6">
        <v>2300</v>
      </c>
      <c r="K2502" s="7">
        <f>(J2502-M2502)*税费参数!$B$12/(I2502*10000*(1+SUM(税费参数!$B$6:$B$8)))</f>
        <v>0.0175544794188862</v>
      </c>
      <c r="L2502" s="7">
        <f>J2502*税费参数!$B$12/(I2502*10000)</f>
        <v>0.02</v>
      </c>
      <c r="M2502" s="6">
        <f>I2502*10000*SUM(税费参数!$B$9:$B$10)/税费参数!$B$11</f>
        <v>215.625</v>
      </c>
    </row>
    <row r="2503" ht="21" customHeight="1" spans="1:13">
      <c r="A2503" s="5" t="s">
        <v>11</v>
      </c>
      <c r="B2503" s="6" t="s">
        <v>141</v>
      </c>
      <c r="C2503" s="6" t="s">
        <v>157</v>
      </c>
      <c r="D2503" s="6" t="s">
        <v>155</v>
      </c>
      <c r="E2503" s="6" t="s">
        <v>1491</v>
      </c>
      <c r="F2503" s="6" t="s">
        <v>2086</v>
      </c>
      <c r="G2503" s="6">
        <v>82.67</v>
      </c>
      <c r="H2503" s="6">
        <v>81.29</v>
      </c>
      <c r="I2503" s="6">
        <v>115</v>
      </c>
      <c r="J2503" s="6">
        <v>2000</v>
      </c>
      <c r="K2503" s="7">
        <f>(J2503-M2503)*税费参数!$B$12/(I2503*10000*(1+SUM(税费参数!$B$6:$B$8)))</f>
        <v>0.0150278976734393</v>
      </c>
      <c r="L2503" s="7">
        <f>J2503*税费参数!$B$12/(I2503*10000)</f>
        <v>0.0173913043478261</v>
      </c>
      <c r="M2503" s="6">
        <f>I2503*10000*SUM(税费参数!$B$9:$B$10)/税费参数!$B$11</f>
        <v>215.625</v>
      </c>
    </row>
    <row r="2504" ht="21" customHeight="1" spans="1:13">
      <c r="A2504" s="5" t="s">
        <v>11</v>
      </c>
      <c r="B2504" s="6" t="s">
        <v>141</v>
      </c>
      <c r="C2504" s="6" t="s">
        <v>157</v>
      </c>
      <c r="D2504" s="6" t="s">
        <v>155</v>
      </c>
      <c r="E2504" s="6" t="s">
        <v>1491</v>
      </c>
      <c r="F2504" s="6" t="s">
        <v>2087</v>
      </c>
      <c r="G2504" s="6">
        <v>82.67</v>
      </c>
      <c r="H2504" s="6">
        <v>82.47</v>
      </c>
      <c r="I2504" s="6">
        <v>115</v>
      </c>
      <c r="J2504" s="6">
        <v>2400</v>
      </c>
      <c r="K2504" s="7">
        <f>(J2504-M2504)*税费参数!$B$12/(I2504*10000*(1+SUM(税费参数!$B$6:$B$8)))</f>
        <v>0.0183966733340352</v>
      </c>
      <c r="L2504" s="7">
        <f>J2504*税费参数!$B$12/(I2504*10000)</f>
        <v>0.0208695652173913</v>
      </c>
      <c r="M2504" s="6">
        <f>I2504*10000*SUM(税费参数!$B$9:$B$10)/税费参数!$B$11</f>
        <v>215.625</v>
      </c>
    </row>
    <row r="2505" ht="21" customHeight="1" spans="1:13">
      <c r="A2505" s="5" t="s">
        <v>11</v>
      </c>
      <c r="B2505" s="6" t="s">
        <v>141</v>
      </c>
      <c r="C2505" s="6" t="s">
        <v>157</v>
      </c>
      <c r="D2505" s="6" t="s">
        <v>155</v>
      </c>
      <c r="E2505" s="6" t="s">
        <v>1491</v>
      </c>
      <c r="F2505" s="6" t="s">
        <v>2088</v>
      </c>
      <c r="G2505" s="6">
        <v>82.67</v>
      </c>
      <c r="H2505" s="6">
        <v>80.92</v>
      </c>
      <c r="I2505" s="6">
        <v>115</v>
      </c>
      <c r="J2505" s="6">
        <v>2400</v>
      </c>
      <c r="K2505" s="7">
        <f>(J2505-M2505)*税费参数!$B$12/(I2505*10000*(1+SUM(税费参数!$B$6:$B$8)))</f>
        <v>0.0183966733340352</v>
      </c>
      <c r="L2505" s="7">
        <f>J2505*税费参数!$B$12/(I2505*10000)</f>
        <v>0.0208695652173913</v>
      </c>
      <c r="M2505" s="6">
        <f>I2505*10000*SUM(税费参数!$B$9:$B$10)/税费参数!$B$11</f>
        <v>215.625</v>
      </c>
    </row>
    <row r="2506" ht="21" customHeight="1" spans="1:13">
      <c r="A2506" s="5" t="s">
        <v>11</v>
      </c>
      <c r="B2506" s="6" t="s">
        <v>141</v>
      </c>
      <c r="C2506" s="6" t="s">
        <v>157</v>
      </c>
      <c r="D2506" s="6" t="s">
        <v>162</v>
      </c>
      <c r="E2506" s="6" t="s">
        <v>1495</v>
      </c>
      <c r="F2506" s="6" t="s">
        <v>2089</v>
      </c>
      <c r="G2506" s="6">
        <v>80.56</v>
      </c>
      <c r="H2506" s="6">
        <v>79.65</v>
      </c>
      <c r="I2506" s="6">
        <v>103</v>
      </c>
      <c r="J2506" s="6">
        <v>2500</v>
      </c>
      <c r="K2506" s="7">
        <f>(J2506-M2506)*税费参数!$B$12/(I2506*10000*(1+SUM(税费参数!$B$6:$B$8)))</f>
        <v>0.0216918592350549</v>
      </c>
      <c r="L2506" s="7">
        <f>J2506*税费参数!$B$12/(I2506*10000)</f>
        <v>0.0242718446601942</v>
      </c>
      <c r="M2506" s="6">
        <f>I2506*10000*SUM(税费参数!$B$9:$B$10)/税费参数!$B$11</f>
        <v>193.125</v>
      </c>
    </row>
    <row r="2507" ht="21" customHeight="1" spans="1:13">
      <c r="A2507" s="5" t="s">
        <v>11</v>
      </c>
      <c r="B2507" s="6" t="s">
        <v>141</v>
      </c>
      <c r="C2507" s="6" t="s">
        <v>157</v>
      </c>
      <c r="D2507" s="6" t="s">
        <v>162</v>
      </c>
      <c r="E2507" s="6" t="s">
        <v>1495</v>
      </c>
      <c r="F2507" s="6" t="s">
        <v>2090</v>
      </c>
      <c r="G2507" s="6">
        <v>80.56</v>
      </c>
      <c r="H2507" s="6">
        <v>83.52</v>
      </c>
      <c r="I2507" s="6">
        <v>103</v>
      </c>
      <c r="J2507" s="6">
        <v>2600</v>
      </c>
      <c r="K2507" s="7">
        <f>(J2507-M2507)*税费参数!$B$12/(I2507*10000*(1+SUM(税费参数!$B$6:$B$8)))</f>
        <v>0.0226321728296387</v>
      </c>
      <c r="L2507" s="7">
        <f>J2507*税费参数!$B$12/(I2507*10000)</f>
        <v>0.0252427184466019</v>
      </c>
      <c r="M2507" s="6">
        <f>I2507*10000*SUM(税费参数!$B$9:$B$10)/税费参数!$B$11</f>
        <v>193.125</v>
      </c>
    </row>
    <row r="2508" ht="21" customHeight="1" spans="1:13">
      <c r="A2508" s="5" t="s">
        <v>11</v>
      </c>
      <c r="B2508" s="6" t="s">
        <v>141</v>
      </c>
      <c r="C2508" s="6" t="s">
        <v>157</v>
      </c>
      <c r="D2508" s="6" t="s">
        <v>162</v>
      </c>
      <c r="E2508" s="6" t="s">
        <v>1501</v>
      </c>
      <c r="F2508" s="6" t="s">
        <v>2089</v>
      </c>
      <c r="G2508" s="6">
        <v>82.29</v>
      </c>
      <c r="H2508" s="6">
        <v>79.65</v>
      </c>
      <c r="I2508" s="6">
        <v>118</v>
      </c>
      <c r="J2508" s="6">
        <v>2500</v>
      </c>
      <c r="K2508" s="7">
        <f>(J2508-M2508)*税费参数!$B$12/(I2508*10000*(1+SUM(税费参数!$B$6:$B$8)))</f>
        <v>0.0187035745065047</v>
      </c>
      <c r="L2508" s="7">
        <f>J2508*税费参数!$B$12/(I2508*10000)</f>
        <v>0.0211864406779661</v>
      </c>
      <c r="M2508" s="6">
        <f>I2508*10000*SUM(税费参数!$B$9:$B$10)/税费参数!$B$11</f>
        <v>221.25</v>
      </c>
    </row>
    <row r="2509" ht="21" customHeight="1" spans="1:13">
      <c r="A2509" s="5" t="s">
        <v>11</v>
      </c>
      <c r="B2509" s="6" t="s">
        <v>141</v>
      </c>
      <c r="C2509" s="6" t="s">
        <v>157</v>
      </c>
      <c r="D2509" s="6" t="s">
        <v>162</v>
      </c>
      <c r="E2509" s="6" t="s">
        <v>1501</v>
      </c>
      <c r="F2509" s="6" t="s">
        <v>2090</v>
      </c>
      <c r="G2509" s="6">
        <v>82.29</v>
      </c>
      <c r="H2509" s="6">
        <v>83.52</v>
      </c>
      <c r="I2509" s="6">
        <v>118</v>
      </c>
      <c r="J2509" s="6">
        <v>2600</v>
      </c>
      <c r="K2509" s="7">
        <f>(J2509-M2509)*税费参数!$B$12/(I2509*10000*(1+SUM(税费参数!$B$6:$B$8)))</f>
        <v>0.0195243567119465</v>
      </c>
      <c r="L2509" s="7">
        <f>J2509*税费参数!$B$12/(I2509*10000)</f>
        <v>0.0220338983050847</v>
      </c>
      <c r="M2509" s="6">
        <f>I2509*10000*SUM(税费参数!$B$9:$B$10)/税费参数!$B$11</f>
        <v>221.25</v>
      </c>
    </row>
    <row r="2510" ht="21" customHeight="1" spans="1:13">
      <c r="A2510" s="5" t="s">
        <v>11</v>
      </c>
      <c r="B2510" s="6" t="s">
        <v>141</v>
      </c>
      <c r="C2510" s="6" t="s">
        <v>157</v>
      </c>
      <c r="D2510" s="6" t="s">
        <v>162</v>
      </c>
      <c r="E2510" s="6" t="s">
        <v>1503</v>
      </c>
      <c r="F2510" s="6" t="s">
        <v>2089</v>
      </c>
      <c r="G2510" s="6">
        <v>80.59</v>
      </c>
      <c r="H2510" s="6">
        <v>79.65</v>
      </c>
      <c r="I2510" s="6">
        <v>119</v>
      </c>
      <c r="J2510" s="6">
        <v>2500</v>
      </c>
      <c r="K2510" s="7">
        <f>(J2510-M2510)*税费参数!$B$12/(I2510*10000*(1+SUM(税费参数!$B$6:$B$8)))</f>
        <v>0.0185311412700673</v>
      </c>
      <c r="L2510" s="7">
        <f>J2510*税费参数!$B$12/(I2510*10000)</f>
        <v>0.0210084033613445</v>
      </c>
      <c r="M2510" s="6">
        <f>I2510*10000*SUM(税费参数!$B$9:$B$10)/税费参数!$B$11</f>
        <v>223.125</v>
      </c>
    </row>
    <row r="2511" ht="21" customHeight="1" spans="1:13">
      <c r="A2511" s="5" t="s">
        <v>11</v>
      </c>
      <c r="B2511" s="6" t="s">
        <v>141</v>
      </c>
      <c r="C2511" s="6" t="s">
        <v>157</v>
      </c>
      <c r="D2511" s="6" t="s">
        <v>162</v>
      </c>
      <c r="E2511" s="6" t="s">
        <v>1503</v>
      </c>
      <c r="F2511" s="6" t="s">
        <v>2090</v>
      </c>
      <c r="G2511" s="6">
        <v>80.59</v>
      </c>
      <c r="H2511" s="6">
        <v>83.52</v>
      </c>
      <c r="I2511" s="6">
        <v>119</v>
      </c>
      <c r="J2511" s="6">
        <v>2600</v>
      </c>
      <c r="K2511" s="7">
        <f>(J2511-M2511)*税费参数!$B$12/(I2511*10000*(1+SUM(税费参数!$B$6:$B$8)))</f>
        <v>0.0193450261460516</v>
      </c>
      <c r="L2511" s="7">
        <f>J2511*税费参数!$B$12/(I2511*10000)</f>
        <v>0.0218487394957983</v>
      </c>
      <c r="M2511" s="6">
        <f>I2511*10000*SUM(税费参数!$B$9:$B$10)/税费参数!$B$11</f>
        <v>223.125</v>
      </c>
    </row>
    <row r="2512" ht="21" customHeight="1" spans="1:13">
      <c r="A2512" s="5" t="s">
        <v>11</v>
      </c>
      <c r="B2512" s="6" t="s">
        <v>141</v>
      </c>
      <c r="C2512" s="6" t="s">
        <v>157</v>
      </c>
      <c r="D2512" s="6" t="s">
        <v>162</v>
      </c>
      <c r="E2512" s="6" t="s">
        <v>1497</v>
      </c>
      <c r="F2512" s="6" t="s">
        <v>2089</v>
      </c>
      <c r="G2512" s="6">
        <v>81.62</v>
      </c>
      <c r="H2512" s="6">
        <v>79.65</v>
      </c>
      <c r="I2512" s="6">
        <v>112</v>
      </c>
      <c r="J2512" s="6">
        <v>2500</v>
      </c>
      <c r="K2512" s="7">
        <f>(J2512-M2512)*税费参数!$B$12/(I2512*10000*(1+SUM(税费参数!$B$6:$B$8)))</f>
        <v>0.0198028363887928</v>
      </c>
      <c r="L2512" s="7">
        <f>J2512*税费参数!$B$12/(I2512*10000)</f>
        <v>0.0223214285714286</v>
      </c>
      <c r="M2512" s="6">
        <f>I2512*10000*SUM(税费参数!$B$9:$B$10)/税费参数!$B$11</f>
        <v>210</v>
      </c>
    </row>
    <row r="2513" ht="21" customHeight="1" spans="1:13">
      <c r="A2513" s="5" t="s">
        <v>11</v>
      </c>
      <c r="B2513" s="6" t="s">
        <v>141</v>
      </c>
      <c r="C2513" s="6" t="s">
        <v>157</v>
      </c>
      <c r="D2513" s="6" t="s">
        <v>162</v>
      </c>
      <c r="E2513" s="6" t="s">
        <v>1497</v>
      </c>
      <c r="F2513" s="6" t="s">
        <v>2090</v>
      </c>
      <c r="G2513" s="6">
        <v>81.62</v>
      </c>
      <c r="H2513" s="6">
        <v>83.52</v>
      </c>
      <c r="I2513" s="6">
        <v>112</v>
      </c>
      <c r="J2513" s="6">
        <v>2600</v>
      </c>
      <c r="K2513" s="7">
        <f>(J2513-M2513)*税费参数!$B$12/(I2513*10000*(1+SUM(税费参数!$B$6:$B$8)))</f>
        <v>0.0206675890695261</v>
      </c>
      <c r="L2513" s="7">
        <f>J2513*税费参数!$B$12/(I2513*10000)</f>
        <v>0.0232142857142857</v>
      </c>
      <c r="M2513" s="6">
        <f>I2513*10000*SUM(税费参数!$B$9:$B$10)/税费参数!$B$11</f>
        <v>210</v>
      </c>
    </row>
    <row r="2514" ht="21" customHeight="1" spans="1:13">
      <c r="A2514" s="5" t="s">
        <v>11</v>
      </c>
      <c r="B2514" s="6" t="s">
        <v>141</v>
      </c>
      <c r="C2514" s="6" t="s">
        <v>157</v>
      </c>
      <c r="D2514" s="6" t="s">
        <v>162</v>
      </c>
      <c r="E2514" s="6" t="s">
        <v>1493</v>
      </c>
      <c r="F2514" s="6" t="s">
        <v>2089</v>
      </c>
      <c r="G2514" s="6">
        <v>82.23</v>
      </c>
      <c r="H2514" s="6">
        <v>79.65</v>
      </c>
      <c r="I2514" s="6">
        <v>108</v>
      </c>
      <c r="J2514" s="6">
        <v>2500</v>
      </c>
      <c r="K2514" s="7">
        <f>(J2514-M2514)*税费参数!$B$12/(I2514*10000*(1+SUM(税费参数!$B$6:$B$8)))</f>
        <v>0.0206035333153977</v>
      </c>
      <c r="L2514" s="7">
        <f>J2514*税费参数!$B$12/(I2514*10000)</f>
        <v>0.0231481481481481</v>
      </c>
      <c r="M2514" s="6">
        <f>I2514*10000*SUM(税费参数!$B$9:$B$10)/税费参数!$B$11</f>
        <v>202.5</v>
      </c>
    </row>
    <row r="2515" ht="21" customHeight="1" spans="1:13">
      <c r="A2515" s="5" t="s">
        <v>11</v>
      </c>
      <c r="B2515" s="6" t="s">
        <v>141</v>
      </c>
      <c r="C2515" s="6" t="s">
        <v>157</v>
      </c>
      <c r="D2515" s="6" t="s">
        <v>162</v>
      </c>
      <c r="E2515" s="6" t="s">
        <v>1493</v>
      </c>
      <c r="F2515" s="6" t="s">
        <v>2090</v>
      </c>
      <c r="G2515" s="6">
        <v>82.23</v>
      </c>
      <c r="H2515" s="6">
        <v>83.52</v>
      </c>
      <c r="I2515" s="6">
        <v>108</v>
      </c>
      <c r="J2515" s="6">
        <v>2600</v>
      </c>
      <c r="K2515" s="7">
        <f>(J2515-M2515)*税费参数!$B$12/(I2515*10000*(1+SUM(税费参数!$B$6:$B$8)))</f>
        <v>0.0215003138731952</v>
      </c>
      <c r="L2515" s="7">
        <f>J2515*税费参数!$B$12/(I2515*10000)</f>
        <v>0.0240740740740741</v>
      </c>
      <c r="M2515" s="6">
        <f>I2515*10000*SUM(税费参数!$B$9:$B$10)/税费参数!$B$11</f>
        <v>202.5</v>
      </c>
    </row>
    <row r="2516" ht="21" customHeight="1" spans="1:13">
      <c r="A2516" s="5" t="s">
        <v>11</v>
      </c>
      <c r="B2516" s="6" t="s">
        <v>141</v>
      </c>
      <c r="C2516" s="6" t="s">
        <v>157</v>
      </c>
      <c r="D2516" s="6" t="s">
        <v>162</v>
      </c>
      <c r="E2516" s="6" t="s">
        <v>1499</v>
      </c>
      <c r="F2516" s="6" t="s">
        <v>2089</v>
      </c>
      <c r="G2516" s="6">
        <v>78.84</v>
      </c>
      <c r="H2516" s="6">
        <v>79.65</v>
      </c>
      <c r="I2516" s="6">
        <v>96.8</v>
      </c>
      <c r="J2516" s="6">
        <v>2500</v>
      </c>
      <c r="K2516" s="7">
        <f>(J2516-M2516)*税费参数!$B$12/(I2516*10000*(1+SUM(税费参数!$B$6:$B$8)))</f>
        <v>0.0231975266643988</v>
      </c>
      <c r="L2516" s="7">
        <f>J2516*税费参数!$B$12/(I2516*10000)</f>
        <v>0.0258264462809917</v>
      </c>
      <c r="M2516" s="6">
        <f>I2516*10000*SUM(税费参数!$B$9:$B$10)/税费参数!$B$11</f>
        <v>181.5</v>
      </c>
    </row>
    <row r="2517" ht="21" customHeight="1" spans="1:13">
      <c r="A2517" s="5" t="s">
        <v>11</v>
      </c>
      <c r="B2517" s="6" t="s">
        <v>141</v>
      </c>
      <c r="C2517" s="6" t="s">
        <v>157</v>
      </c>
      <c r="D2517" s="6" t="s">
        <v>162</v>
      </c>
      <c r="E2517" s="6" t="s">
        <v>1499</v>
      </c>
      <c r="F2517" s="6" t="s">
        <v>2090</v>
      </c>
      <c r="G2517" s="6">
        <v>78.84</v>
      </c>
      <c r="H2517" s="6">
        <v>83.52</v>
      </c>
      <c r="I2517" s="6">
        <v>96.8</v>
      </c>
      <c r="J2517" s="6">
        <v>2600</v>
      </c>
      <c r="K2517" s="7">
        <f>(J2517-M2517)*税费参数!$B$12/(I2517*10000*(1+SUM(税费参数!$B$6:$B$8)))</f>
        <v>0.0241980669561563</v>
      </c>
      <c r="L2517" s="7">
        <f>J2517*税费参数!$B$12/(I2517*10000)</f>
        <v>0.0268595041322314</v>
      </c>
      <c r="M2517" s="6">
        <f>I2517*10000*SUM(税费参数!$B$9:$B$10)/税费参数!$B$11</f>
        <v>181.5</v>
      </c>
    </row>
    <row r="2518" ht="21" customHeight="1" spans="1:13">
      <c r="A2518" s="5" t="s">
        <v>11</v>
      </c>
      <c r="B2518" s="6" t="s">
        <v>140</v>
      </c>
      <c r="C2518" s="6" t="s">
        <v>157</v>
      </c>
      <c r="D2518" s="6" t="s">
        <v>155</v>
      </c>
      <c r="E2518" s="6" t="s">
        <v>1511</v>
      </c>
      <c r="F2518" s="6" t="s">
        <v>2091</v>
      </c>
      <c r="G2518" s="6">
        <v>75.39</v>
      </c>
      <c r="H2518" s="6">
        <v>79.5</v>
      </c>
      <c r="I2518" s="6">
        <v>83</v>
      </c>
      <c r="J2518" s="6">
        <v>2600</v>
      </c>
      <c r="K2518" s="7">
        <f>(J2518-M2518)*税费参数!$B$12/(I2518*10000*(1+SUM(税费参数!$B$6:$B$8)))</f>
        <v>0.0285232941451034</v>
      </c>
      <c r="L2518" s="7">
        <f>J2518*税费参数!$B$12/(I2518*10000)</f>
        <v>0.0313253012048193</v>
      </c>
      <c r="M2518" s="6">
        <f>I2518*10000*SUM(税费参数!$B$9:$B$10)/税费参数!$B$11</f>
        <v>155.625</v>
      </c>
    </row>
    <row r="2519" ht="21" customHeight="1" spans="1:13">
      <c r="A2519" s="5" t="s">
        <v>11</v>
      </c>
      <c r="B2519" s="6" t="s">
        <v>140</v>
      </c>
      <c r="C2519" s="6" t="s">
        <v>157</v>
      </c>
      <c r="D2519" s="6" t="s">
        <v>155</v>
      </c>
      <c r="E2519" s="6" t="s">
        <v>1509</v>
      </c>
      <c r="F2519" s="6" t="s">
        <v>2091</v>
      </c>
      <c r="G2519" s="6">
        <v>75.92</v>
      </c>
      <c r="H2519" s="6">
        <v>79.5</v>
      </c>
      <c r="I2519" s="6">
        <v>103</v>
      </c>
      <c r="J2519" s="6">
        <v>2600</v>
      </c>
      <c r="K2519" s="7">
        <f>(J2519-M2519)*税费参数!$B$12/(I2519*10000*(1+SUM(税费参数!$B$6:$B$8)))</f>
        <v>0.0226321728296387</v>
      </c>
      <c r="L2519" s="7">
        <f>J2519*税费参数!$B$12/(I2519*10000)</f>
        <v>0.0252427184466019</v>
      </c>
      <c r="M2519" s="6">
        <f>I2519*10000*SUM(税费参数!$B$9:$B$10)/税费参数!$B$11</f>
        <v>193.125</v>
      </c>
    </row>
    <row r="2520" ht="21" customHeight="1" spans="1:13">
      <c r="A2520" s="5" t="s">
        <v>11</v>
      </c>
      <c r="B2520" s="6" t="s">
        <v>140</v>
      </c>
      <c r="C2520" s="6" t="s">
        <v>157</v>
      </c>
      <c r="D2520" s="6" t="s">
        <v>155</v>
      </c>
      <c r="E2520" s="6" t="s">
        <v>1513</v>
      </c>
      <c r="F2520" s="6" t="s">
        <v>2091</v>
      </c>
      <c r="G2520" s="6">
        <v>78.6</v>
      </c>
      <c r="H2520" s="6">
        <v>79.5</v>
      </c>
      <c r="I2520" s="6">
        <v>106</v>
      </c>
      <c r="J2520" s="6">
        <v>2600</v>
      </c>
      <c r="K2520" s="7">
        <f>(J2520-M2520)*税费参数!$B$12/(I2520*10000*(1+SUM(税费参数!$B$6:$B$8)))</f>
        <v>0.0219402439581525</v>
      </c>
      <c r="L2520" s="7">
        <f>J2520*税费参数!$B$12/(I2520*10000)</f>
        <v>0.0245283018867925</v>
      </c>
      <c r="M2520" s="6">
        <f>I2520*10000*SUM(税费参数!$B$9:$B$10)/税费参数!$B$11</f>
        <v>198.75</v>
      </c>
    </row>
    <row r="2521" ht="21" customHeight="1" spans="1:13">
      <c r="A2521" s="5" t="s">
        <v>11</v>
      </c>
      <c r="B2521" s="6" t="s">
        <v>137</v>
      </c>
      <c r="C2521" s="6" t="s">
        <v>159</v>
      </c>
      <c r="D2521" s="6" t="s">
        <v>153</v>
      </c>
      <c r="E2521" s="6" t="s">
        <v>1549</v>
      </c>
      <c r="F2521" s="6" t="s">
        <v>2092</v>
      </c>
      <c r="G2521" s="6">
        <v>38.05</v>
      </c>
      <c r="H2521" s="6">
        <v>38.05</v>
      </c>
      <c r="I2521" s="6">
        <v>62.8</v>
      </c>
      <c r="J2521" s="6">
        <v>2230</v>
      </c>
      <c r="K2521" s="7">
        <f>(J2521-M2521)*税费参数!$B$12/(I2521*10000*(1+SUM(税费参数!$B$6:$B$8)))</f>
        <v>0.0325758393608982</v>
      </c>
      <c r="L2521" s="7">
        <f>J2521*税费参数!$B$12/(I2521*10000)</f>
        <v>0.0355095541401274</v>
      </c>
      <c r="M2521" s="6">
        <f>I2521*10000*SUM(税费参数!$B$9:$B$10)/税费参数!$B$11</f>
        <v>117.75</v>
      </c>
    </row>
    <row r="2522" ht="21" customHeight="1" spans="1:13">
      <c r="A2522" s="5" t="s">
        <v>11</v>
      </c>
      <c r="B2522" s="6" t="s">
        <v>137</v>
      </c>
      <c r="C2522" s="6" t="s">
        <v>159</v>
      </c>
      <c r="D2522" s="6" t="s">
        <v>153</v>
      </c>
      <c r="E2522" s="6" t="s">
        <v>1549</v>
      </c>
      <c r="F2522" s="6" t="s">
        <v>2093</v>
      </c>
      <c r="G2522" s="6">
        <v>38.05</v>
      </c>
      <c r="H2522" s="6">
        <v>38.05</v>
      </c>
      <c r="I2522" s="6">
        <v>62.8</v>
      </c>
      <c r="J2522" s="6">
        <v>1640</v>
      </c>
      <c r="K2522" s="7">
        <f>(J2522-M2522)*税费参数!$B$12/(I2522*10000*(1+SUM(税费参数!$B$6:$B$8)))</f>
        <v>0.0234766582871948</v>
      </c>
      <c r="L2522" s="7">
        <f>J2522*税费参数!$B$12/(I2522*10000)</f>
        <v>0.0261146496815287</v>
      </c>
      <c r="M2522" s="6">
        <f>I2522*10000*SUM(税费参数!$B$9:$B$10)/税费参数!$B$11</f>
        <v>117.75</v>
      </c>
    </row>
    <row r="2523" ht="21" customHeight="1" spans="1:13">
      <c r="A2523" s="5" t="s">
        <v>11</v>
      </c>
      <c r="B2523" s="6" t="s">
        <v>137</v>
      </c>
      <c r="C2523" s="6" t="s">
        <v>159</v>
      </c>
      <c r="D2523" s="6" t="s">
        <v>153</v>
      </c>
      <c r="E2523" s="6" t="s">
        <v>1549</v>
      </c>
      <c r="F2523" s="6" t="s">
        <v>2094</v>
      </c>
      <c r="G2523" s="6">
        <v>38.05</v>
      </c>
      <c r="H2523" s="6">
        <v>38.05</v>
      </c>
      <c r="I2523" s="6">
        <v>62.8</v>
      </c>
      <c r="J2523" s="6">
        <v>2400</v>
      </c>
      <c r="K2523" s="7">
        <f>(J2523-M2523)*税费参数!$B$12/(I2523*10000*(1+SUM(税费参数!$B$6:$B$8)))</f>
        <v>0.035197637297389</v>
      </c>
      <c r="L2523" s="7">
        <f>J2523*税费参数!$B$12/(I2523*10000)</f>
        <v>0.0382165605095541</v>
      </c>
      <c r="M2523" s="6">
        <f>I2523*10000*SUM(税费参数!$B$9:$B$10)/税费参数!$B$11</f>
        <v>117.75</v>
      </c>
    </row>
    <row r="2524" ht="21" customHeight="1" spans="1:13">
      <c r="A2524" s="5" t="s">
        <v>11</v>
      </c>
      <c r="B2524" s="6" t="s">
        <v>137</v>
      </c>
      <c r="C2524" s="6" t="s">
        <v>159</v>
      </c>
      <c r="D2524" s="6" t="s">
        <v>153</v>
      </c>
      <c r="E2524" s="6" t="s">
        <v>1553</v>
      </c>
      <c r="F2524" s="6" t="s">
        <v>2092</v>
      </c>
      <c r="G2524" s="6">
        <v>38.05</v>
      </c>
      <c r="H2524" s="6">
        <v>38.05</v>
      </c>
      <c r="I2524" s="6">
        <v>40</v>
      </c>
      <c r="J2524" s="6">
        <v>2230</v>
      </c>
      <c r="K2524" s="7">
        <f>(J2524-M2524)*税费参数!$B$12/(I2524*10000*(1+SUM(税费参数!$B$6:$B$8)))</f>
        <v>0.0521791767554479</v>
      </c>
      <c r="L2524" s="7">
        <f>J2524*税费参数!$B$12/(I2524*10000)</f>
        <v>0.05575</v>
      </c>
      <c r="M2524" s="6">
        <f>I2524*10000*SUM(税费参数!$B$9:$B$10)/税费参数!$B$11</f>
        <v>75</v>
      </c>
    </row>
    <row r="2525" ht="21" customHeight="1" spans="1:13">
      <c r="A2525" s="5" t="s">
        <v>11</v>
      </c>
      <c r="B2525" s="6" t="s">
        <v>137</v>
      </c>
      <c r="C2525" s="6" t="s">
        <v>159</v>
      </c>
      <c r="D2525" s="6" t="s">
        <v>153</v>
      </c>
      <c r="E2525" s="6" t="s">
        <v>1553</v>
      </c>
      <c r="F2525" s="6" t="s">
        <v>2093</v>
      </c>
      <c r="G2525" s="6">
        <v>38.05</v>
      </c>
      <c r="H2525" s="6">
        <v>38.05</v>
      </c>
      <c r="I2525" s="6">
        <v>40</v>
      </c>
      <c r="J2525" s="6">
        <v>1640</v>
      </c>
      <c r="K2525" s="7">
        <f>(J2525-M2525)*税费参数!$B$12/(I2525*10000*(1+SUM(税费参数!$B$6:$B$8)))</f>
        <v>0.0378934624697337</v>
      </c>
      <c r="L2525" s="7">
        <f>J2525*税费参数!$B$12/(I2525*10000)</f>
        <v>0.041</v>
      </c>
      <c r="M2525" s="6">
        <f>I2525*10000*SUM(税费参数!$B$9:$B$10)/税费参数!$B$11</f>
        <v>75</v>
      </c>
    </row>
    <row r="2526" ht="21" customHeight="1" spans="1:13">
      <c r="A2526" s="5" t="s">
        <v>11</v>
      </c>
      <c r="B2526" s="6" t="s">
        <v>137</v>
      </c>
      <c r="C2526" s="6" t="s">
        <v>159</v>
      </c>
      <c r="D2526" s="6" t="s">
        <v>153</v>
      </c>
      <c r="E2526" s="6" t="s">
        <v>1553</v>
      </c>
      <c r="F2526" s="6" t="s">
        <v>2094</v>
      </c>
      <c r="G2526" s="6">
        <v>38.05</v>
      </c>
      <c r="H2526" s="6">
        <v>38.05</v>
      </c>
      <c r="I2526" s="6">
        <v>40</v>
      </c>
      <c r="J2526" s="6">
        <v>2400</v>
      </c>
      <c r="K2526" s="7">
        <f>(J2526-M2526)*税费参数!$B$12/(I2526*10000*(1+SUM(税费参数!$B$6:$B$8)))</f>
        <v>0.0562953995157385</v>
      </c>
      <c r="L2526" s="7">
        <f>J2526*税费参数!$B$12/(I2526*10000)</f>
        <v>0.06</v>
      </c>
      <c r="M2526" s="6">
        <f>I2526*10000*SUM(税费参数!$B$9:$B$10)/税费参数!$B$11</f>
        <v>75</v>
      </c>
    </row>
    <row r="2527" ht="21" customHeight="1" spans="1:13">
      <c r="A2527" s="5" t="s">
        <v>11</v>
      </c>
      <c r="B2527" s="6" t="s">
        <v>137</v>
      </c>
      <c r="C2527" s="6" t="s">
        <v>159</v>
      </c>
      <c r="D2527" s="6" t="s">
        <v>153</v>
      </c>
      <c r="E2527" s="6" t="s">
        <v>1547</v>
      </c>
      <c r="F2527" s="6" t="s">
        <v>2092</v>
      </c>
      <c r="G2527" s="6">
        <v>38.05</v>
      </c>
      <c r="H2527" s="6">
        <v>38.05</v>
      </c>
      <c r="I2527" s="6">
        <v>60</v>
      </c>
      <c r="J2527" s="6">
        <v>2230</v>
      </c>
      <c r="K2527" s="7">
        <f>(J2527-M2527)*税费参数!$B$12/(I2527*10000*(1+SUM(税费参数!$B$6:$B$8)))</f>
        <v>0.034180790960452</v>
      </c>
      <c r="L2527" s="7">
        <f>J2527*税费参数!$B$12/(I2527*10000)</f>
        <v>0.0371666666666667</v>
      </c>
      <c r="M2527" s="6">
        <f>I2527*10000*SUM(税费参数!$B$9:$B$10)/税费参数!$B$11</f>
        <v>112.5</v>
      </c>
    </row>
    <row r="2528" ht="21" customHeight="1" spans="1:13">
      <c r="A2528" s="5" t="s">
        <v>11</v>
      </c>
      <c r="B2528" s="6" t="s">
        <v>137</v>
      </c>
      <c r="C2528" s="6" t="s">
        <v>159</v>
      </c>
      <c r="D2528" s="6" t="s">
        <v>153</v>
      </c>
      <c r="E2528" s="6" t="s">
        <v>1547</v>
      </c>
      <c r="F2528" s="6" t="s">
        <v>2093</v>
      </c>
      <c r="G2528" s="6">
        <v>38.05</v>
      </c>
      <c r="H2528" s="6">
        <v>38.05</v>
      </c>
      <c r="I2528" s="6">
        <v>60</v>
      </c>
      <c r="J2528" s="6">
        <v>1640</v>
      </c>
      <c r="K2528" s="7">
        <f>(J2528-M2528)*税费参数!$B$12/(I2528*10000*(1+SUM(税费参数!$B$6:$B$8)))</f>
        <v>0.0246569814366425</v>
      </c>
      <c r="L2528" s="7">
        <f>J2528*税费参数!$B$12/(I2528*10000)</f>
        <v>0.0273333333333333</v>
      </c>
      <c r="M2528" s="6">
        <f>I2528*10000*SUM(税费参数!$B$9:$B$10)/税费参数!$B$11</f>
        <v>112.5</v>
      </c>
    </row>
    <row r="2529" ht="21" customHeight="1" spans="1:13">
      <c r="A2529" s="5" t="s">
        <v>11</v>
      </c>
      <c r="B2529" s="6" t="s">
        <v>137</v>
      </c>
      <c r="C2529" s="6" t="s">
        <v>159</v>
      </c>
      <c r="D2529" s="6" t="s">
        <v>153</v>
      </c>
      <c r="E2529" s="6" t="s">
        <v>1547</v>
      </c>
      <c r="F2529" s="6" t="s">
        <v>2094</v>
      </c>
      <c r="G2529" s="6">
        <v>38.05</v>
      </c>
      <c r="H2529" s="6">
        <v>38.05</v>
      </c>
      <c r="I2529" s="6">
        <v>60</v>
      </c>
      <c r="J2529" s="6">
        <v>2400</v>
      </c>
      <c r="K2529" s="7">
        <f>(J2529-M2529)*税费参数!$B$12/(I2529*10000*(1+SUM(税费参数!$B$6:$B$8)))</f>
        <v>0.0369249394673123</v>
      </c>
      <c r="L2529" s="7">
        <f>J2529*税费参数!$B$12/(I2529*10000)</f>
        <v>0.04</v>
      </c>
      <c r="M2529" s="6">
        <f>I2529*10000*SUM(税费参数!$B$9:$B$10)/税费参数!$B$11</f>
        <v>112.5</v>
      </c>
    </row>
    <row r="2530" ht="21" customHeight="1" spans="1:13">
      <c r="A2530" s="5" t="s">
        <v>11</v>
      </c>
      <c r="B2530" s="6" t="s">
        <v>137</v>
      </c>
      <c r="C2530" s="6" t="s">
        <v>159</v>
      </c>
      <c r="D2530" s="6" t="s">
        <v>153</v>
      </c>
      <c r="E2530" s="6" t="s">
        <v>1551</v>
      </c>
      <c r="F2530" s="6" t="s">
        <v>2092</v>
      </c>
      <c r="G2530" s="6">
        <v>38.05</v>
      </c>
      <c r="H2530" s="6">
        <v>38.05</v>
      </c>
      <c r="I2530" s="6">
        <v>59</v>
      </c>
      <c r="J2530" s="6">
        <v>2230</v>
      </c>
      <c r="K2530" s="7">
        <f>(J2530-M2530)*税费参数!$B$12/(I2530*10000*(1+SUM(税费参数!$B$6:$B$8)))</f>
        <v>0.0347909057331637</v>
      </c>
      <c r="L2530" s="7">
        <f>J2530*税费参数!$B$12/(I2530*10000)</f>
        <v>0.0377966101694915</v>
      </c>
      <c r="M2530" s="6">
        <f>I2530*10000*SUM(税费参数!$B$9:$B$10)/税费参数!$B$11</f>
        <v>110.625</v>
      </c>
    </row>
    <row r="2531" ht="21" customHeight="1" spans="1:13">
      <c r="A2531" s="5" t="s">
        <v>11</v>
      </c>
      <c r="B2531" s="6" t="s">
        <v>137</v>
      </c>
      <c r="C2531" s="6" t="s">
        <v>159</v>
      </c>
      <c r="D2531" s="6" t="s">
        <v>153</v>
      </c>
      <c r="E2531" s="6" t="s">
        <v>1551</v>
      </c>
      <c r="F2531" s="6" t="s">
        <v>2093</v>
      </c>
      <c r="G2531" s="6">
        <v>38.05</v>
      </c>
      <c r="H2531" s="6">
        <v>38.05</v>
      </c>
      <c r="I2531" s="6">
        <v>59</v>
      </c>
      <c r="J2531" s="6">
        <v>1640</v>
      </c>
      <c r="K2531" s="7">
        <f>(J2531-M2531)*税费参数!$B$12/(I2531*10000*(1+SUM(税费参数!$B$6:$B$8)))</f>
        <v>0.0251056757089506</v>
      </c>
      <c r="L2531" s="7">
        <f>J2531*税费参数!$B$12/(I2531*10000)</f>
        <v>0.0277966101694915</v>
      </c>
      <c r="M2531" s="6">
        <f>I2531*10000*SUM(税费参数!$B$9:$B$10)/税费参数!$B$11</f>
        <v>110.625</v>
      </c>
    </row>
    <row r="2532" ht="21" customHeight="1" spans="1:13">
      <c r="A2532" s="5" t="s">
        <v>11</v>
      </c>
      <c r="B2532" s="6" t="s">
        <v>137</v>
      </c>
      <c r="C2532" s="6" t="s">
        <v>159</v>
      </c>
      <c r="D2532" s="6" t="s">
        <v>153</v>
      </c>
      <c r="E2532" s="6" t="s">
        <v>1551</v>
      </c>
      <c r="F2532" s="6" t="s">
        <v>2094</v>
      </c>
      <c r="G2532" s="6">
        <v>38.05</v>
      </c>
      <c r="H2532" s="6">
        <v>38.05</v>
      </c>
      <c r="I2532" s="6">
        <v>59</v>
      </c>
      <c r="J2532" s="6">
        <v>2400</v>
      </c>
      <c r="K2532" s="7">
        <f>(J2532-M2532)*税费参数!$B$12/(I2532*10000*(1+SUM(税费参数!$B$6:$B$8)))</f>
        <v>0.0375815652316658</v>
      </c>
      <c r="L2532" s="7">
        <f>J2532*税费参数!$B$12/(I2532*10000)</f>
        <v>0.0406779661016949</v>
      </c>
      <c r="M2532" s="6">
        <f>I2532*10000*SUM(税费参数!$B$9:$B$10)/税费参数!$B$11</f>
        <v>110.625</v>
      </c>
    </row>
    <row r="2533" ht="21" customHeight="1" spans="1:13">
      <c r="A2533" s="5" t="s">
        <v>11</v>
      </c>
      <c r="B2533" s="6" t="s">
        <v>137</v>
      </c>
      <c r="C2533" s="6" t="s">
        <v>152</v>
      </c>
      <c r="D2533" s="6" t="s">
        <v>160</v>
      </c>
      <c r="E2533" s="6" t="s">
        <v>1527</v>
      </c>
      <c r="F2533" s="6" t="s">
        <v>2095</v>
      </c>
      <c r="G2533" s="6">
        <v>45.91</v>
      </c>
      <c r="H2533" s="6">
        <v>41.27</v>
      </c>
      <c r="I2533" s="6">
        <v>50</v>
      </c>
      <c r="J2533" s="6">
        <v>1650</v>
      </c>
      <c r="K2533" s="7">
        <f>(J2533-M2533)*税费参数!$B$12/(I2533*10000*(1+SUM(税费参数!$B$6:$B$8)))</f>
        <v>0.0301452784503632</v>
      </c>
      <c r="L2533" s="7">
        <f>J2533*税费参数!$B$12/(I2533*10000)</f>
        <v>0.033</v>
      </c>
      <c r="M2533" s="6">
        <f>I2533*10000*SUM(税费参数!$B$9:$B$10)/税费参数!$B$11</f>
        <v>93.75</v>
      </c>
    </row>
    <row r="2534" ht="21" customHeight="1" spans="1:13">
      <c r="A2534" s="5" t="s">
        <v>11</v>
      </c>
      <c r="B2534" s="6" t="s">
        <v>137</v>
      </c>
      <c r="C2534" s="6" t="s">
        <v>152</v>
      </c>
      <c r="D2534" s="6" t="s">
        <v>160</v>
      </c>
      <c r="E2534" s="6" t="s">
        <v>1525</v>
      </c>
      <c r="F2534" s="6" t="s">
        <v>2095</v>
      </c>
      <c r="G2534" s="6">
        <v>45.91</v>
      </c>
      <c r="H2534" s="6">
        <v>41.27</v>
      </c>
      <c r="I2534" s="6">
        <v>54</v>
      </c>
      <c r="J2534" s="6">
        <v>1650</v>
      </c>
      <c r="K2534" s="7">
        <f>(J2534-M2534)*税费参数!$B$12/(I2534*10000*(1+SUM(税费参数!$B$6:$B$8)))</f>
        <v>0.0277777777777778</v>
      </c>
      <c r="L2534" s="7">
        <f>J2534*税费参数!$B$12/(I2534*10000)</f>
        <v>0.0305555555555556</v>
      </c>
      <c r="M2534" s="6">
        <f>I2534*10000*SUM(税费参数!$B$9:$B$10)/税费参数!$B$11</f>
        <v>101.25</v>
      </c>
    </row>
    <row r="2535" ht="21" customHeight="1" spans="1:13">
      <c r="A2535" s="5" t="s">
        <v>11</v>
      </c>
      <c r="B2535" s="6" t="s">
        <v>137</v>
      </c>
      <c r="C2535" s="6" t="s">
        <v>152</v>
      </c>
      <c r="D2535" s="6" t="s">
        <v>153</v>
      </c>
      <c r="E2535" s="6" t="s">
        <v>1531</v>
      </c>
      <c r="F2535" s="6" t="s">
        <v>2096</v>
      </c>
      <c r="G2535" s="6">
        <v>55.34</v>
      </c>
      <c r="H2535" s="6">
        <v>49.45</v>
      </c>
      <c r="I2535" s="6">
        <v>72</v>
      </c>
      <c r="J2535" s="6">
        <v>1700</v>
      </c>
      <c r="K2535" s="7">
        <f>(J2535-M2535)*税费参数!$B$12/(I2535*10000*(1+SUM(税费参数!$B$6:$B$8)))</f>
        <v>0.0210519235942965</v>
      </c>
      <c r="L2535" s="7">
        <f>J2535*税费参数!$B$12/(I2535*10000)</f>
        <v>0.0236111111111111</v>
      </c>
      <c r="M2535" s="6">
        <f>I2535*10000*SUM(税费参数!$B$9:$B$10)/税费参数!$B$11</f>
        <v>135</v>
      </c>
    </row>
    <row r="2536" ht="21" customHeight="1" spans="1:13">
      <c r="A2536" s="5" t="s">
        <v>11</v>
      </c>
      <c r="B2536" s="6" t="s">
        <v>137</v>
      </c>
      <c r="C2536" s="6" t="s">
        <v>152</v>
      </c>
      <c r="D2536" s="6" t="s">
        <v>153</v>
      </c>
      <c r="E2536" s="6" t="s">
        <v>1531</v>
      </c>
      <c r="F2536" s="6" t="s">
        <v>2097</v>
      </c>
      <c r="G2536" s="6">
        <v>55.34</v>
      </c>
      <c r="H2536" s="6">
        <v>51.3</v>
      </c>
      <c r="I2536" s="6">
        <v>72</v>
      </c>
      <c r="J2536" s="6">
        <v>1700</v>
      </c>
      <c r="K2536" s="7">
        <f>(J2536-M2536)*税费参数!$B$12/(I2536*10000*(1+SUM(税费参数!$B$6:$B$8)))</f>
        <v>0.0210519235942965</v>
      </c>
      <c r="L2536" s="7">
        <f>J2536*税费参数!$B$12/(I2536*10000)</f>
        <v>0.0236111111111111</v>
      </c>
      <c r="M2536" s="6">
        <f>I2536*10000*SUM(税费参数!$B$9:$B$10)/税费参数!$B$11</f>
        <v>135</v>
      </c>
    </row>
    <row r="2537" ht="21" customHeight="1" spans="1:13">
      <c r="A2537" s="5" t="s">
        <v>11</v>
      </c>
      <c r="B2537" s="6" t="s">
        <v>137</v>
      </c>
      <c r="C2537" s="6" t="s">
        <v>152</v>
      </c>
      <c r="D2537" s="6" t="s">
        <v>153</v>
      </c>
      <c r="E2537" s="6" t="s">
        <v>1531</v>
      </c>
      <c r="F2537" s="6" t="s">
        <v>2098</v>
      </c>
      <c r="G2537" s="6">
        <v>55.34</v>
      </c>
      <c r="H2537" s="6">
        <v>51.3</v>
      </c>
      <c r="I2537" s="6">
        <v>72</v>
      </c>
      <c r="J2537" s="6">
        <v>1900</v>
      </c>
      <c r="K2537" s="7">
        <f>(J2537-M2537)*税费参数!$B$12/(I2537*10000*(1+SUM(税费参数!$B$6:$B$8)))</f>
        <v>0.023742265267689</v>
      </c>
      <c r="L2537" s="7">
        <f>J2537*税费参数!$B$12/(I2537*10000)</f>
        <v>0.0263888888888889</v>
      </c>
      <c r="M2537" s="6">
        <f>I2537*10000*SUM(税费参数!$B$9:$B$10)/税费参数!$B$11</f>
        <v>135</v>
      </c>
    </row>
    <row r="2538" ht="21" customHeight="1" spans="1:13">
      <c r="A2538" s="5" t="s">
        <v>11</v>
      </c>
      <c r="B2538" s="6" t="s">
        <v>137</v>
      </c>
      <c r="C2538" s="6" t="s">
        <v>152</v>
      </c>
      <c r="D2538" s="6" t="s">
        <v>153</v>
      </c>
      <c r="E2538" s="6" t="s">
        <v>1533</v>
      </c>
      <c r="F2538" s="6" t="s">
        <v>2099</v>
      </c>
      <c r="G2538" s="6">
        <v>49.45</v>
      </c>
      <c r="H2538" s="6">
        <v>46.91</v>
      </c>
      <c r="I2538" s="6">
        <v>62</v>
      </c>
      <c r="J2538" s="6">
        <v>1800</v>
      </c>
      <c r="K2538" s="7">
        <f>(J2538-M2538)*税费参数!$B$12/(I2538*10000*(1+SUM(税费参数!$B$6:$B$8)))</f>
        <v>0.0263024291181754</v>
      </c>
      <c r="L2538" s="7">
        <f>J2538*税费参数!$B$12/(I2538*10000)</f>
        <v>0.0290322580645161</v>
      </c>
      <c r="M2538" s="6">
        <f>I2538*10000*SUM(税费参数!$B$9:$B$10)/税费参数!$B$11</f>
        <v>116.25</v>
      </c>
    </row>
    <row r="2539" ht="21" customHeight="1" spans="1:13">
      <c r="A2539" s="5" t="s">
        <v>11</v>
      </c>
      <c r="B2539" s="6" t="s">
        <v>137</v>
      </c>
      <c r="C2539" s="6" t="s">
        <v>152</v>
      </c>
      <c r="D2539" s="6" t="s">
        <v>153</v>
      </c>
      <c r="E2539" s="6" t="s">
        <v>1533</v>
      </c>
      <c r="F2539" s="6" t="s">
        <v>2100</v>
      </c>
      <c r="G2539" s="6">
        <v>49.45</v>
      </c>
      <c r="H2539" s="6">
        <v>45.91</v>
      </c>
      <c r="I2539" s="6">
        <v>62</v>
      </c>
      <c r="J2539" s="6">
        <v>1900</v>
      </c>
      <c r="K2539" s="7">
        <f>(J2539-M2539)*税费参数!$B$12/(I2539*10000*(1+SUM(税费参数!$B$6:$B$8)))</f>
        <v>0.0278645629930485</v>
      </c>
      <c r="L2539" s="7">
        <f>J2539*税费参数!$B$12/(I2539*10000)</f>
        <v>0.0306451612903226</v>
      </c>
      <c r="M2539" s="6">
        <f>I2539*10000*SUM(税费参数!$B$9:$B$10)/税费参数!$B$11</f>
        <v>116.25</v>
      </c>
    </row>
    <row r="2540" ht="21" customHeight="1" spans="1:13">
      <c r="A2540" s="5" t="s">
        <v>11</v>
      </c>
      <c r="B2540" s="6" t="s">
        <v>137</v>
      </c>
      <c r="C2540" s="6" t="s">
        <v>152</v>
      </c>
      <c r="D2540" s="6" t="s">
        <v>153</v>
      </c>
      <c r="E2540" s="6" t="s">
        <v>1533</v>
      </c>
      <c r="F2540" s="6" t="s">
        <v>2096</v>
      </c>
      <c r="G2540" s="6">
        <v>49.45</v>
      </c>
      <c r="H2540" s="6">
        <v>49.45</v>
      </c>
      <c r="I2540" s="6">
        <v>62</v>
      </c>
      <c r="J2540" s="6">
        <v>1700</v>
      </c>
      <c r="K2540" s="7">
        <f>(J2540-M2540)*税费参数!$B$12/(I2540*10000*(1+SUM(税费参数!$B$6:$B$8)))</f>
        <v>0.0247402952433023</v>
      </c>
      <c r="L2540" s="7">
        <f>J2540*税费参数!$B$12/(I2540*10000)</f>
        <v>0.0274193548387097</v>
      </c>
      <c r="M2540" s="6">
        <f>I2540*10000*SUM(税费参数!$B$9:$B$10)/税费参数!$B$11</f>
        <v>116.25</v>
      </c>
    </row>
    <row r="2541" ht="21" customHeight="1" spans="1:13">
      <c r="A2541" s="5" t="s">
        <v>11</v>
      </c>
      <c r="B2541" s="6" t="s">
        <v>137</v>
      </c>
      <c r="C2541" s="6" t="s">
        <v>152</v>
      </c>
      <c r="D2541" s="6" t="s">
        <v>153</v>
      </c>
      <c r="E2541" s="6" t="s">
        <v>1533</v>
      </c>
      <c r="F2541" s="6" t="s">
        <v>2097</v>
      </c>
      <c r="G2541" s="6">
        <v>49.45</v>
      </c>
      <c r="H2541" s="6">
        <v>51.3</v>
      </c>
      <c r="I2541" s="6">
        <v>62</v>
      </c>
      <c r="J2541" s="6">
        <v>1700</v>
      </c>
      <c r="K2541" s="7">
        <f>(J2541-M2541)*税费参数!$B$12/(I2541*10000*(1+SUM(税费参数!$B$6:$B$8)))</f>
        <v>0.0247402952433023</v>
      </c>
      <c r="L2541" s="7">
        <f>J2541*税费参数!$B$12/(I2541*10000)</f>
        <v>0.0274193548387097</v>
      </c>
      <c r="M2541" s="6">
        <f>I2541*10000*SUM(税费参数!$B$9:$B$10)/税费参数!$B$11</f>
        <v>116.25</v>
      </c>
    </row>
    <row r="2542" ht="21" customHeight="1" spans="1:13">
      <c r="A2542" s="5" t="s">
        <v>11</v>
      </c>
      <c r="B2542" s="6" t="s">
        <v>137</v>
      </c>
      <c r="C2542" s="6" t="s">
        <v>152</v>
      </c>
      <c r="D2542" s="6" t="s">
        <v>153</v>
      </c>
      <c r="E2542" s="6" t="s">
        <v>1533</v>
      </c>
      <c r="F2542" s="6" t="s">
        <v>2101</v>
      </c>
      <c r="G2542" s="6">
        <v>49.45</v>
      </c>
      <c r="H2542" s="6">
        <v>45.91</v>
      </c>
      <c r="I2542" s="6">
        <v>62</v>
      </c>
      <c r="J2542" s="6">
        <v>2000</v>
      </c>
      <c r="K2542" s="7">
        <f>(J2542-M2542)*税费参数!$B$12/(I2542*10000*(1+SUM(税费参数!$B$6:$B$8)))</f>
        <v>0.0294266968679216</v>
      </c>
      <c r="L2542" s="7">
        <f>J2542*税费参数!$B$12/(I2542*10000)</f>
        <v>0.032258064516129</v>
      </c>
      <c r="M2542" s="6">
        <f>I2542*10000*SUM(税费参数!$B$9:$B$10)/税费参数!$B$11</f>
        <v>116.25</v>
      </c>
    </row>
    <row r="2543" ht="21" customHeight="1" spans="1:13">
      <c r="A2543" s="5" t="s">
        <v>11</v>
      </c>
      <c r="B2543" s="6" t="s">
        <v>137</v>
      </c>
      <c r="C2543" s="6" t="s">
        <v>152</v>
      </c>
      <c r="D2543" s="6" t="s">
        <v>153</v>
      </c>
      <c r="E2543" s="6" t="s">
        <v>1533</v>
      </c>
      <c r="F2543" s="6" t="s">
        <v>2098</v>
      </c>
      <c r="G2543" s="6">
        <v>49.45</v>
      </c>
      <c r="H2543" s="6">
        <v>51.3</v>
      </c>
      <c r="I2543" s="6">
        <v>62</v>
      </c>
      <c r="J2543" s="6">
        <v>1900</v>
      </c>
      <c r="K2543" s="7">
        <f>(J2543-M2543)*税费参数!$B$12/(I2543*10000*(1+SUM(税费参数!$B$6:$B$8)))</f>
        <v>0.0278645629930485</v>
      </c>
      <c r="L2543" s="7">
        <f>J2543*税费参数!$B$12/(I2543*10000)</f>
        <v>0.0306451612903226</v>
      </c>
      <c r="M2543" s="6">
        <f>I2543*10000*SUM(税费参数!$B$9:$B$10)/税费参数!$B$11</f>
        <v>116.25</v>
      </c>
    </row>
    <row r="2544" ht="21" customHeight="1" spans="1:13">
      <c r="A2544" s="5" t="s">
        <v>11</v>
      </c>
      <c r="B2544" s="6" t="s">
        <v>137</v>
      </c>
      <c r="C2544" s="6" t="s">
        <v>152</v>
      </c>
      <c r="D2544" s="6" t="s">
        <v>153</v>
      </c>
      <c r="E2544" s="6" t="s">
        <v>1533</v>
      </c>
      <c r="F2544" s="6" t="s">
        <v>2102</v>
      </c>
      <c r="G2544" s="6">
        <v>49.45</v>
      </c>
      <c r="H2544" s="6">
        <v>45.91</v>
      </c>
      <c r="I2544" s="6">
        <v>62</v>
      </c>
      <c r="J2544" s="6">
        <v>1700</v>
      </c>
      <c r="K2544" s="7">
        <f>(J2544-M2544)*税费参数!$B$12/(I2544*10000*(1+SUM(税费参数!$B$6:$B$8)))</f>
        <v>0.0247402952433023</v>
      </c>
      <c r="L2544" s="7">
        <f>J2544*税费参数!$B$12/(I2544*10000)</f>
        <v>0.0274193548387097</v>
      </c>
      <c r="M2544" s="6">
        <f>I2544*10000*SUM(税费参数!$B$9:$B$10)/税费参数!$B$11</f>
        <v>116.25</v>
      </c>
    </row>
    <row r="2545" ht="21" customHeight="1" spans="1:13">
      <c r="A2545" s="5" t="s">
        <v>11</v>
      </c>
      <c r="B2545" s="6" t="s">
        <v>137</v>
      </c>
      <c r="C2545" s="6" t="s">
        <v>152</v>
      </c>
      <c r="D2545" s="6" t="s">
        <v>153</v>
      </c>
      <c r="E2545" s="6" t="s">
        <v>1533</v>
      </c>
      <c r="F2545" s="6" t="s">
        <v>2103</v>
      </c>
      <c r="G2545" s="6">
        <v>49.45</v>
      </c>
      <c r="H2545" s="6">
        <v>45</v>
      </c>
      <c r="I2545" s="6">
        <v>62</v>
      </c>
      <c r="J2545" s="6">
        <v>2500</v>
      </c>
      <c r="K2545" s="7">
        <f>(J2545-M2545)*税费参数!$B$12/(I2545*10000*(1+SUM(税费参数!$B$6:$B$8)))</f>
        <v>0.037237366242287</v>
      </c>
      <c r="L2545" s="7">
        <f>J2545*税费参数!$B$12/(I2545*10000)</f>
        <v>0.0403225806451613</v>
      </c>
      <c r="M2545" s="6">
        <f>I2545*10000*SUM(税费参数!$B$9:$B$10)/税费参数!$B$11</f>
        <v>116.25</v>
      </c>
    </row>
    <row r="2546" ht="21" customHeight="1" spans="1:13">
      <c r="A2546" s="5" t="s">
        <v>11</v>
      </c>
      <c r="B2546" s="6" t="s">
        <v>137</v>
      </c>
      <c r="C2546" s="6" t="s">
        <v>152</v>
      </c>
      <c r="D2546" s="6" t="s">
        <v>153</v>
      </c>
      <c r="E2546" s="6" t="s">
        <v>1533</v>
      </c>
      <c r="F2546" s="6" t="s">
        <v>2104</v>
      </c>
      <c r="G2546" s="6">
        <v>49.45</v>
      </c>
      <c r="H2546" s="6">
        <v>45.91</v>
      </c>
      <c r="I2546" s="6">
        <v>62</v>
      </c>
      <c r="J2546" s="6">
        <v>1750</v>
      </c>
      <c r="K2546" s="7">
        <f>(J2546-M2546)*税费参数!$B$12/(I2546*10000*(1+SUM(税费参数!$B$6:$B$8)))</f>
        <v>0.0255213621807389</v>
      </c>
      <c r="L2546" s="7">
        <f>J2546*税费参数!$B$12/(I2546*10000)</f>
        <v>0.0282258064516129</v>
      </c>
      <c r="M2546" s="6">
        <f>I2546*10000*SUM(税费参数!$B$9:$B$10)/税费参数!$B$11</f>
        <v>116.25</v>
      </c>
    </row>
    <row r="2547" ht="21" customHeight="1" spans="1:13">
      <c r="A2547" s="5" t="s">
        <v>11</v>
      </c>
      <c r="B2547" s="6" t="s">
        <v>137</v>
      </c>
      <c r="C2547" s="6" t="s">
        <v>152</v>
      </c>
      <c r="D2547" s="6" t="s">
        <v>153</v>
      </c>
      <c r="E2547" s="6" t="s">
        <v>1533</v>
      </c>
      <c r="F2547" s="6" t="s">
        <v>2105</v>
      </c>
      <c r="G2547" s="6">
        <v>49.45</v>
      </c>
      <c r="H2547" s="6">
        <v>45.91</v>
      </c>
      <c r="I2547" s="6">
        <v>62</v>
      </c>
      <c r="J2547" s="6">
        <v>1500</v>
      </c>
      <c r="K2547" s="7">
        <f>(J2547-M2547)*税费参数!$B$12/(I2547*10000*(1+SUM(税费参数!$B$6:$B$8)))</f>
        <v>0.0216160274935562</v>
      </c>
      <c r="L2547" s="7">
        <f>J2547*税费参数!$B$12/(I2547*10000)</f>
        <v>0.0241935483870968</v>
      </c>
      <c r="M2547" s="6">
        <f>I2547*10000*SUM(税费参数!$B$9:$B$10)/税费参数!$B$11</f>
        <v>116.25</v>
      </c>
    </row>
    <row r="2548" ht="21" customHeight="1" spans="1:13">
      <c r="A2548" s="5" t="s">
        <v>11</v>
      </c>
      <c r="B2548" s="6" t="s">
        <v>137</v>
      </c>
      <c r="C2548" s="6" t="s">
        <v>152</v>
      </c>
      <c r="D2548" s="6" t="s">
        <v>153</v>
      </c>
      <c r="E2548" s="6" t="s">
        <v>1535</v>
      </c>
      <c r="F2548" s="6" t="s">
        <v>2099</v>
      </c>
      <c r="G2548" s="6">
        <v>45.91</v>
      </c>
      <c r="H2548" s="6">
        <v>46.91</v>
      </c>
      <c r="I2548" s="6">
        <v>69.8</v>
      </c>
      <c r="J2548" s="6">
        <v>1800</v>
      </c>
      <c r="K2548" s="7">
        <f>(J2548-M2548)*税费参数!$B$12/(I2548*10000*(1+SUM(税费参数!$B$6:$B$8)))</f>
        <v>0.0231602572552502</v>
      </c>
      <c r="L2548" s="7">
        <f>J2548*税费参数!$B$12/(I2548*10000)</f>
        <v>0.0257879656160458</v>
      </c>
      <c r="M2548" s="6">
        <f>I2548*10000*SUM(税费参数!$B$9:$B$10)/税费参数!$B$11</f>
        <v>130.875</v>
      </c>
    </row>
    <row r="2549" ht="21" customHeight="1" spans="1:13">
      <c r="A2549" s="5" t="s">
        <v>11</v>
      </c>
      <c r="B2549" s="6" t="s">
        <v>137</v>
      </c>
      <c r="C2549" s="6" t="s">
        <v>152</v>
      </c>
      <c r="D2549" s="6" t="s">
        <v>153</v>
      </c>
      <c r="E2549" s="6" t="s">
        <v>1535</v>
      </c>
      <c r="F2549" s="6" t="s">
        <v>2100</v>
      </c>
      <c r="G2549" s="6">
        <v>45.91</v>
      </c>
      <c r="H2549" s="6">
        <v>45.91</v>
      </c>
      <c r="I2549" s="6">
        <v>69.8</v>
      </c>
      <c r="J2549" s="6">
        <v>1900</v>
      </c>
      <c r="K2549" s="7">
        <f>(J2549-M2549)*税费参数!$B$12/(I2549*10000*(1+SUM(税费参数!$B$6:$B$8)))</f>
        <v>0.0245478260266274</v>
      </c>
      <c r="L2549" s="7">
        <f>J2549*税费参数!$B$12/(I2549*10000)</f>
        <v>0.0272206303724928</v>
      </c>
      <c r="M2549" s="6">
        <f>I2549*10000*SUM(税费参数!$B$9:$B$10)/税费参数!$B$11</f>
        <v>130.875</v>
      </c>
    </row>
    <row r="2550" ht="21" customHeight="1" spans="1:13">
      <c r="A2550" s="5" t="s">
        <v>11</v>
      </c>
      <c r="B2550" s="6" t="s">
        <v>137</v>
      </c>
      <c r="C2550" s="6" t="s">
        <v>152</v>
      </c>
      <c r="D2550" s="6" t="s">
        <v>153</v>
      </c>
      <c r="E2550" s="6" t="s">
        <v>1535</v>
      </c>
      <c r="F2550" s="6" t="s">
        <v>2096</v>
      </c>
      <c r="G2550" s="6">
        <v>45.91</v>
      </c>
      <c r="H2550" s="6">
        <v>49.45</v>
      </c>
      <c r="I2550" s="6">
        <v>69.8</v>
      </c>
      <c r="J2550" s="6">
        <v>1700</v>
      </c>
      <c r="K2550" s="7">
        <f>(J2550-M2550)*税费参数!$B$12/(I2550*10000*(1+SUM(税费参数!$B$6:$B$8)))</f>
        <v>0.021772688483873</v>
      </c>
      <c r="L2550" s="7">
        <f>J2550*税费参数!$B$12/(I2550*10000)</f>
        <v>0.0243553008595989</v>
      </c>
      <c r="M2550" s="6">
        <f>I2550*10000*SUM(税费参数!$B$9:$B$10)/税费参数!$B$11</f>
        <v>130.875</v>
      </c>
    </row>
    <row r="2551" ht="21" customHeight="1" spans="1:13">
      <c r="A2551" s="5" t="s">
        <v>11</v>
      </c>
      <c r="B2551" s="6" t="s">
        <v>137</v>
      </c>
      <c r="C2551" s="6" t="s">
        <v>152</v>
      </c>
      <c r="D2551" s="6" t="s">
        <v>153</v>
      </c>
      <c r="E2551" s="6" t="s">
        <v>1535</v>
      </c>
      <c r="F2551" s="6" t="s">
        <v>2097</v>
      </c>
      <c r="G2551" s="6">
        <v>45.91</v>
      </c>
      <c r="H2551" s="6">
        <v>51.3</v>
      </c>
      <c r="I2551" s="6">
        <v>69.8</v>
      </c>
      <c r="J2551" s="6">
        <v>1700</v>
      </c>
      <c r="K2551" s="7">
        <f>(J2551-M2551)*税费参数!$B$12/(I2551*10000*(1+SUM(税费参数!$B$6:$B$8)))</f>
        <v>0.021772688483873</v>
      </c>
      <c r="L2551" s="7">
        <f>J2551*税费参数!$B$12/(I2551*10000)</f>
        <v>0.0243553008595989</v>
      </c>
      <c r="M2551" s="6">
        <f>I2551*10000*SUM(税费参数!$B$9:$B$10)/税费参数!$B$11</f>
        <v>130.875</v>
      </c>
    </row>
    <row r="2552" ht="21" customHeight="1" spans="1:13">
      <c r="A2552" s="5" t="s">
        <v>11</v>
      </c>
      <c r="B2552" s="6" t="s">
        <v>137</v>
      </c>
      <c r="C2552" s="6" t="s">
        <v>152</v>
      </c>
      <c r="D2552" s="6" t="s">
        <v>153</v>
      </c>
      <c r="E2552" s="6" t="s">
        <v>1535</v>
      </c>
      <c r="F2552" s="6" t="s">
        <v>2101</v>
      </c>
      <c r="G2552" s="6">
        <v>45.91</v>
      </c>
      <c r="H2552" s="6">
        <v>45.91</v>
      </c>
      <c r="I2552" s="6">
        <v>69.8</v>
      </c>
      <c r="J2552" s="6">
        <v>2000</v>
      </c>
      <c r="K2552" s="7">
        <f>(J2552-M2552)*税费参数!$B$12/(I2552*10000*(1+SUM(税费参数!$B$6:$B$8)))</f>
        <v>0.0259353947980047</v>
      </c>
      <c r="L2552" s="7">
        <f>J2552*税费参数!$B$12/(I2552*10000)</f>
        <v>0.0286532951289398</v>
      </c>
      <c r="M2552" s="6">
        <f>I2552*10000*SUM(税费参数!$B$9:$B$10)/税费参数!$B$11</f>
        <v>130.875</v>
      </c>
    </row>
    <row r="2553" ht="21" customHeight="1" spans="1:13">
      <c r="A2553" s="5" t="s">
        <v>11</v>
      </c>
      <c r="B2553" s="6" t="s">
        <v>137</v>
      </c>
      <c r="C2553" s="6" t="s">
        <v>152</v>
      </c>
      <c r="D2553" s="6" t="s">
        <v>153</v>
      </c>
      <c r="E2553" s="6" t="s">
        <v>1535</v>
      </c>
      <c r="F2553" s="6" t="s">
        <v>2098</v>
      </c>
      <c r="G2553" s="6">
        <v>45.91</v>
      </c>
      <c r="H2553" s="6">
        <v>51.3</v>
      </c>
      <c r="I2553" s="6">
        <v>69.8</v>
      </c>
      <c r="J2553" s="6">
        <v>1900</v>
      </c>
      <c r="K2553" s="7">
        <f>(J2553-M2553)*税费参数!$B$12/(I2553*10000*(1+SUM(税费参数!$B$6:$B$8)))</f>
        <v>0.0245478260266274</v>
      </c>
      <c r="L2553" s="7">
        <f>J2553*税费参数!$B$12/(I2553*10000)</f>
        <v>0.0272206303724928</v>
      </c>
      <c r="M2553" s="6">
        <f>I2553*10000*SUM(税费参数!$B$9:$B$10)/税费参数!$B$11</f>
        <v>130.875</v>
      </c>
    </row>
    <row r="2554" ht="21" customHeight="1" spans="1:13">
      <c r="A2554" s="5" t="s">
        <v>11</v>
      </c>
      <c r="B2554" s="6" t="s">
        <v>137</v>
      </c>
      <c r="C2554" s="6" t="s">
        <v>152</v>
      </c>
      <c r="D2554" s="6" t="s">
        <v>153</v>
      </c>
      <c r="E2554" s="6" t="s">
        <v>1535</v>
      </c>
      <c r="F2554" s="6" t="s">
        <v>2102</v>
      </c>
      <c r="G2554" s="6">
        <v>45.91</v>
      </c>
      <c r="H2554" s="6">
        <v>45.91</v>
      </c>
      <c r="I2554" s="6">
        <v>69.8</v>
      </c>
      <c r="J2554" s="6">
        <v>1700</v>
      </c>
      <c r="K2554" s="7">
        <f>(J2554-M2554)*税费参数!$B$12/(I2554*10000*(1+SUM(税费参数!$B$6:$B$8)))</f>
        <v>0.021772688483873</v>
      </c>
      <c r="L2554" s="7">
        <f>J2554*税费参数!$B$12/(I2554*10000)</f>
        <v>0.0243553008595989</v>
      </c>
      <c r="M2554" s="6">
        <f>I2554*10000*SUM(税费参数!$B$9:$B$10)/税费参数!$B$11</f>
        <v>130.875</v>
      </c>
    </row>
    <row r="2555" ht="21" customHeight="1" spans="1:13">
      <c r="A2555" s="5" t="s">
        <v>11</v>
      </c>
      <c r="B2555" s="6" t="s">
        <v>137</v>
      </c>
      <c r="C2555" s="6" t="s">
        <v>152</v>
      </c>
      <c r="D2555" s="6" t="s">
        <v>153</v>
      </c>
      <c r="E2555" s="6" t="s">
        <v>1535</v>
      </c>
      <c r="F2555" s="6" t="s">
        <v>2103</v>
      </c>
      <c r="G2555" s="6">
        <v>45.91</v>
      </c>
      <c r="H2555" s="6">
        <v>45</v>
      </c>
      <c r="I2555" s="6">
        <v>69.8</v>
      </c>
      <c r="J2555" s="6">
        <v>2500</v>
      </c>
      <c r="K2555" s="7">
        <f>(J2555-M2555)*税费参数!$B$12/(I2555*10000*(1+SUM(税费参数!$B$6:$B$8)))</f>
        <v>0.0328732386548908</v>
      </c>
      <c r="L2555" s="7">
        <f>J2555*税费参数!$B$12/(I2555*10000)</f>
        <v>0.0358166189111748</v>
      </c>
      <c r="M2555" s="6">
        <f>I2555*10000*SUM(税费参数!$B$9:$B$10)/税费参数!$B$11</f>
        <v>130.875</v>
      </c>
    </row>
    <row r="2556" ht="21" customHeight="1" spans="1:13">
      <c r="A2556" s="5" t="s">
        <v>11</v>
      </c>
      <c r="B2556" s="6" t="s">
        <v>137</v>
      </c>
      <c r="C2556" s="6" t="s">
        <v>152</v>
      </c>
      <c r="D2556" s="6" t="s">
        <v>153</v>
      </c>
      <c r="E2556" s="6" t="s">
        <v>1535</v>
      </c>
      <c r="F2556" s="6" t="s">
        <v>2104</v>
      </c>
      <c r="G2556" s="6">
        <v>45.91</v>
      </c>
      <c r="H2556" s="6">
        <v>45.91</v>
      </c>
      <c r="I2556" s="6">
        <v>69.8</v>
      </c>
      <c r="J2556" s="6">
        <v>1750</v>
      </c>
      <c r="K2556" s="7">
        <f>(J2556-M2556)*税费参数!$B$12/(I2556*10000*(1+SUM(税费参数!$B$6:$B$8)))</f>
        <v>0.0224664728695616</v>
      </c>
      <c r="L2556" s="7">
        <f>J2556*税费参数!$B$12/(I2556*10000)</f>
        <v>0.0250716332378223</v>
      </c>
      <c r="M2556" s="6">
        <f>I2556*10000*SUM(税费参数!$B$9:$B$10)/税费参数!$B$11</f>
        <v>130.875</v>
      </c>
    </row>
    <row r="2557" ht="21" customHeight="1" spans="1:13">
      <c r="A2557" s="5" t="s">
        <v>11</v>
      </c>
      <c r="B2557" s="6" t="s">
        <v>137</v>
      </c>
      <c r="C2557" s="6" t="s">
        <v>152</v>
      </c>
      <c r="D2557" s="6" t="s">
        <v>153</v>
      </c>
      <c r="E2557" s="6" t="s">
        <v>1535</v>
      </c>
      <c r="F2557" s="6" t="s">
        <v>2105</v>
      </c>
      <c r="G2557" s="6">
        <v>45.91</v>
      </c>
      <c r="H2557" s="6">
        <v>45.91</v>
      </c>
      <c r="I2557" s="6">
        <v>69.8</v>
      </c>
      <c r="J2557" s="6">
        <v>1500</v>
      </c>
      <c r="K2557" s="7">
        <f>(J2557-M2557)*税费参数!$B$12/(I2557*10000*(1+SUM(税费参数!$B$6:$B$8)))</f>
        <v>0.0189975509411185</v>
      </c>
      <c r="L2557" s="7">
        <f>J2557*税费参数!$B$12/(I2557*10000)</f>
        <v>0.0214899713467049</v>
      </c>
      <c r="M2557" s="6">
        <f>I2557*10000*SUM(税费参数!$B$9:$B$10)/税费参数!$B$11</f>
        <v>130.875</v>
      </c>
    </row>
    <row r="2558" ht="21" customHeight="1" spans="1:13">
      <c r="A2558" s="5" t="s">
        <v>11</v>
      </c>
      <c r="B2558" s="6" t="s">
        <v>137</v>
      </c>
      <c r="C2558" s="6" t="s">
        <v>152</v>
      </c>
      <c r="D2558" s="6" t="s">
        <v>153</v>
      </c>
      <c r="E2558" s="6" t="s">
        <v>1539</v>
      </c>
      <c r="F2558" s="6" t="s">
        <v>2099</v>
      </c>
      <c r="G2558" s="6">
        <v>45.91</v>
      </c>
      <c r="H2558" s="6">
        <v>46.91</v>
      </c>
      <c r="I2558" s="6">
        <v>80</v>
      </c>
      <c r="J2558" s="6">
        <v>1800</v>
      </c>
      <c r="K2558" s="7">
        <f>(J2558-M2558)*税费参数!$B$12/(I2558*10000*(1+SUM(税费参数!$B$6:$B$8)))</f>
        <v>0.0199757869249395</v>
      </c>
      <c r="L2558" s="7">
        <f>J2558*税费参数!$B$12/(I2558*10000)</f>
        <v>0.0225</v>
      </c>
      <c r="M2558" s="6">
        <f>I2558*10000*SUM(税费参数!$B$9:$B$10)/税费参数!$B$11</f>
        <v>150</v>
      </c>
    </row>
    <row r="2559" ht="21" customHeight="1" spans="1:13">
      <c r="A2559" s="5" t="s">
        <v>11</v>
      </c>
      <c r="B2559" s="6" t="s">
        <v>137</v>
      </c>
      <c r="C2559" s="6" t="s">
        <v>152</v>
      </c>
      <c r="D2559" s="6" t="s">
        <v>153</v>
      </c>
      <c r="E2559" s="6" t="s">
        <v>1539</v>
      </c>
      <c r="F2559" s="6" t="s">
        <v>2100</v>
      </c>
      <c r="G2559" s="6">
        <v>45.91</v>
      </c>
      <c r="H2559" s="6">
        <v>45.91</v>
      </c>
      <c r="I2559" s="6">
        <v>80</v>
      </c>
      <c r="J2559" s="6">
        <v>1900</v>
      </c>
      <c r="K2559" s="7">
        <f>(J2559-M2559)*税费参数!$B$12/(I2559*10000*(1+SUM(税费参数!$B$6:$B$8)))</f>
        <v>0.0211864406779661</v>
      </c>
      <c r="L2559" s="7">
        <f>J2559*税费参数!$B$12/(I2559*10000)</f>
        <v>0.02375</v>
      </c>
      <c r="M2559" s="6">
        <f>I2559*10000*SUM(税费参数!$B$9:$B$10)/税费参数!$B$11</f>
        <v>150</v>
      </c>
    </row>
    <row r="2560" ht="21" customHeight="1" spans="1:13">
      <c r="A2560" s="5" t="s">
        <v>11</v>
      </c>
      <c r="B2560" s="6" t="s">
        <v>137</v>
      </c>
      <c r="C2560" s="6" t="s">
        <v>152</v>
      </c>
      <c r="D2560" s="6" t="s">
        <v>153</v>
      </c>
      <c r="E2560" s="6" t="s">
        <v>1539</v>
      </c>
      <c r="F2560" s="6" t="s">
        <v>2096</v>
      </c>
      <c r="G2560" s="6">
        <v>45.91</v>
      </c>
      <c r="H2560" s="6">
        <v>49.45</v>
      </c>
      <c r="I2560" s="6">
        <v>80</v>
      </c>
      <c r="J2560" s="6">
        <v>1700</v>
      </c>
      <c r="K2560" s="7">
        <f>(J2560-M2560)*税费参数!$B$12/(I2560*10000*(1+SUM(税费参数!$B$6:$B$8)))</f>
        <v>0.0187651331719128</v>
      </c>
      <c r="L2560" s="7">
        <f>J2560*税费参数!$B$12/(I2560*10000)</f>
        <v>0.02125</v>
      </c>
      <c r="M2560" s="6">
        <f>I2560*10000*SUM(税费参数!$B$9:$B$10)/税费参数!$B$11</f>
        <v>150</v>
      </c>
    </row>
    <row r="2561" ht="21" customHeight="1" spans="1:13">
      <c r="A2561" s="5" t="s">
        <v>11</v>
      </c>
      <c r="B2561" s="6" t="s">
        <v>137</v>
      </c>
      <c r="C2561" s="6" t="s">
        <v>152</v>
      </c>
      <c r="D2561" s="6" t="s">
        <v>153</v>
      </c>
      <c r="E2561" s="6" t="s">
        <v>1539</v>
      </c>
      <c r="F2561" s="6" t="s">
        <v>2097</v>
      </c>
      <c r="G2561" s="6">
        <v>45.91</v>
      </c>
      <c r="H2561" s="6">
        <v>51.3</v>
      </c>
      <c r="I2561" s="6">
        <v>80</v>
      </c>
      <c r="J2561" s="6">
        <v>1700</v>
      </c>
      <c r="K2561" s="7">
        <f>(J2561-M2561)*税费参数!$B$12/(I2561*10000*(1+SUM(税费参数!$B$6:$B$8)))</f>
        <v>0.0187651331719128</v>
      </c>
      <c r="L2561" s="7">
        <f>J2561*税费参数!$B$12/(I2561*10000)</f>
        <v>0.02125</v>
      </c>
      <c r="M2561" s="6">
        <f>I2561*10000*SUM(税费参数!$B$9:$B$10)/税费参数!$B$11</f>
        <v>150</v>
      </c>
    </row>
    <row r="2562" ht="21" customHeight="1" spans="1:13">
      <c r="A2562" s="5" t="s">
        <v>11</v>
      </c>
      <c r="B2562" s="6" t="s">
        <v>137</v>
      </c>
      <c r="C2562" s="6" t="s">
        <v>152</v>
      </c>
      <c r="D2562" s="6" t="s">
        <v>153</v>
      </c>
      <c r="E2562" s="6" t="s">
        <v>1539</v>
      </c>
      <c r="F2562" s="6" t="s">
        <v>2101</v>
      </c>
      <c r="G2562" s="6">
        <v>45.91</v>
      </c>
      <c r="H2562" s="6">
        <v>45.91</v>
      </c>
      <c r="I2562" s="6">
        <v>80</v>
      </c>
      <c r="J2562" s="6">
        <v>2000</v>
      </c>
      <c r="K2562" s="7">
        <f>(J2562-M2562)*税费参数!$B$12/(I2562*10000*(1+SUM(税费参数!$B$6:$B$8)))</f>
        <v>0.0223970944309927</v>
      </c>
      <c r="L2562" s="7">
        <f>J2562*税费参数!$B$12/(I2562*10000)</f>
        <v>0.025</v>
      </c>
      <c r="M2562" s="6">
        <f>I2562*10000*SUM(税费参数!$B$9:$B$10)/税费参数!$B$11</f>
        <v>150</v>
      </c>
    </row>
    <row r="2563" ht="21" customHeight="1" spans="1:13">
      <c r="A2563" s="5" t="s">
        <v>11</v>
      </c>
      <c r="B2563" s="6" t="s">
        <v>137</v>
      </c>
      <c r="C2563" s="6" t="s">
        <v>152</v>
      </c>
      <c r="D2563" s="6" t="s">
        <v>153</v>
      </c>
      <c r="E2563" s="6" t="s">
        <v>1539</v>
      </c>
      <c r="F2563" s="6" t="s">
        <v>2098</v>
      </c>
      <c r="G2563" s="6">
        <v>45.91</v>
      </c>
      <c r="H2563" s="6">
        <v>51.3</v>
      </c>
      <c r="I2563" s="6">
        <v>80</v>
      </c>
      <c r="J2563" s="6">
        <v>1900</v>
      </c>
      <c r="K2563" s="7">
        <f>(J2563-M2563)*税费参数!$B$12/(I2563*10000*(1+SUM(税费参数!$B$6:$B$8)))</f>
        <v>0.0211864406779661</v>
      </c>
      <c r="L2563" s="7">
        <f>J2563*税费参数!$B$12/(I2563*10000)</f>
        <v>0.02375</v>
      </c>
      <c r="M2563" s="6">
        <f>I2563*10000*SUM(税费参数!$B$9:$B$10)/税费参数!$B$11</f>
        <v>150</v>
      </c>
    </row>
    <row r="2564" ht="21" customHeight="1" spans="1:13">
      <c r="A2564" s="5" t="s">
        <v>11</v>
      </c>
      <c r="B2564" s="6" t="s">
        <v>137</v>
      </c>
      <c r="C2564" s="6" t="s">
        <v>152</v>
      </c>
      <c r="D2564" s="6" t="s">
        <v>153</v>
      </c>
      <c r="E2564" s="6" t="s">
        <v>1539</v>
      </c>
      <c r="F2564" s="6" t="s">
        <v>2102</v>
      </c>
      <c r="G2564" s="6">
        <v>45.91</v>
      </c>
      <c r="H2564" s="6">
        <v>45.91</v>
      </c>
      <c r="I2564" s="6">
        <v>80</v>
      </c>
      <c r="J2564" s="6">
        <v>1700</v>
      </c>
      <c r="K2564" s="7">
        <f>(J2564-M2564)*税费参数!$B$12/(I2564*10000*(1+SUM(税费参数!$B$6:$B$8)))</f>
        <v>0.0187651331719128</v>
      </c>
      <c r="L2564" s="7">
        <f>J2564*税费参数!$B$12/(I2564*10000)</f>
        <v>0.02125</v>
      </c>
      <c r="M2564" s="6">
        <f>I2564*10000*SUM(税费参数!$B$9:$B$10)/税费参数!$B$11</f>
        <v>150</v>
      </c>
    </row>
    <row r="2565" ht="21" customHeight="1" spans="1:13">
      <c r="A2565" s="5" t="s">
        <v>11</v>
      </c>
      <c r="B2565" s="6" t="s">
        <v>137</v>
      </c>
      <c r="C2565" s="6" t="s">
        <v>152</v>
      </c>
      <c r="D2565" s="6" t="s">
        <v>153</v>
      </c>
      <c r="E2565" s="6" t="s">
        <v>1539</v>
      </c>
      <c r="F2565" s="6" t="s">
        <v>2103</v>
      </c>
      <c r="G2565" s="6">
        <v>45.91</v>
      </c>
      <c r="H2565" s="6">
        <v>45</v>
      </c>
      <c r="I2565" s="6">
        <v>80</v>
      </c>
      <c r="J2565" s="6">
        <v>2500</v>
      </c>
      <c r="K2565" s="7">
        <f>(J2565-M2565)*税费参数!$B$12/(I2565*10000*(1+SUM(税费参数!$B$6:$B$8)))</f>
        <v>0.0284503631961259</v>
      </c>
      <c r="L2565" s="7">
        <f>J2565*税费参数!$B$12/(I2565*10000)</f>
        <v>0.03125</v>
      </c>
      <c r="M2565" s="6">
        <f>I2565*10000*SUM(税费参数!$B$9:$B$10)/税费参数!$B$11</f>
        <v>150</v>
      </c>
    </row>
    <row r="2566" ht="21" customHeight="1" spans="1:13">
      <c r="A2566" s="5" t="s">
        <v>11</v>
      </c>
      <c r="B2566" s="6" t="s">
        <v>137</v>
      </c>
      <c r="C2566" s="6" t="s">
        <v>152</v>
      </c>
      <c r="D2566" s="6" t="s">
        <v>153</v>
      </c>
      <c r="E2566" s="6" t="s">
        <v>1539</v>
      </c>
      <c r="F2566" s="6" t="s">
        <v>2104</v>
      </c>
      <c r="G2566" s="6">
        <v>45.91</v>
      </c>
      <c r="H2566" s="6">
        <v>45.91</v>
      </c>
      <c r="I2566" s="6">
        <v>80</v>
      </c>
      <c r="J2566" s="6">
        <v>1750</v>
      </c>
      <c r="K2566" s="7">
        <f>(J2566-M2566)*税费参数!$B$12/(I2566*10000*(1+SUM(税费参数!$B$6:$B$8)))</f>
        <v>0.0193704600484262</v>
      </c>
      <c r="L2566" s="7">
        <f>J2566*税费参数!$B$12/(I2566*10000)</f>
        <v>0.021875</v>
      </c>
      <c r="M2566" s="6">
        <f>I2566*10000*SUM(税费参数!$B$9:$B$10)/税费参数!$B$11</f>
        <v>150</v>
      </c>
    </row>
    <row r="2567" ht="21" customHeight="1" spans="1:13">
      <c r="A2567" s="5" t="s">
        <v>11</v>
      </c>
      <c r="B2567" s="6" t="s">
        <v>137</v>
      </c>
      <c r="C2567" s="6" t="s">
        <v>152</v>
      </c>
      <c r="D2567" s="6" t="s">
        <v>153</v>
      </c>
      <c r="E2567" s="6" t="s">
        <v>1539</v>
      </c>
      <c r="F2567" s="6" t="s">
        <v>2105</v>
      </c>
      <c r="G2567" s="6">
        <v>45.91</v>
      </c>
      <c r="H2567" s="6">
        <v>45.91</v>
      </c>
      <c r="I2567" s="6">
        <v>80</v>
      </c>
      <c r="J2567" s="6">
        <v>1500</v>
      </c>
      <c r="K2567" s="7">
        <f>(J2567-M2567)*税费参数!$B$12/(I2567*10000*(1+SUM(税费参数!$B$6:$B$8)))</f>
        <v>0.0163438256658596</v>
      </c>
      <c r="L2567" s="7">
        <f>J2567*税费参数!$B$12/(I2567*10000)</f>
        <v>0.01875</v>
      </c>
      <c r="M2567" s="6">
        <f>I2567*10000*SUM(税费参数!$B$9:$B$10)/税费参数!$B$11</f>
        <v>150</v>
      </c>
    </row>
    <row r="2568" ht="21" customHeight="1" spans="1:13">
      <c r="A2568" s="5" t="s">
        <v>11</v>
      </c>
      <c r="B2568" s="6" t="s">
        <v>137</v>
      </c>
      <c r="C2568" s="6" t="s">
        <v>152</v>
      </c>
      <c r="D2568" s="6" t="s">
        <v>153</v>
      </c>
      <c r="E2568" s="6" t="s">
        <v>1537</v>
      </c>
      <c r="F2568" s="6" t="s">
        <v>2099</v>
      </c>
      <c r="G2568" s="6">
        <v>45.91</v>
      </c>
      <c r="H2568" s="6">
        <v>46.91</v>
      </c>
      <c r="I2568" s="6">
        <v>52</v>
      </c>
      <c r="J2568" s="6">
        <v>1800</v>
      </c>
      <c r="K2568" s="7">
        <f>(J2568-M2568)*税费参数!$B$12/(I2568*10000*(1+SUM(税费参数!$B$6:$B$8)))</f>
        <v>0.0317098156081207</v>
      </c>
      <c r="L2568" s="7">
        <f>J2568*税费参数!$B$12/(I2568*10000)</f>
        <v>0.0346153846153846</v>
      </c>
      <c r="M2568" s="6">
        <f>I2568*10000*SUM(税费参数!$B$9:$B$10)/税费参数!$B$11</f>
        <v>97.5</v>
      </c>
    </row>
    <row r="2569" ht="21" customHeight="1" spans="1:13">
      <c r="A2569" s="5" t="s">
        <v>11</v>
      </c>
      <c r="B2569" s="6" t="s">
        <v>137</v>
      </c>
      <c r="C2569" s="6" t="s">
        <v>152</v>
      </c>
      <c r="D2569" s="6" t="s">
        <v>153</v>
      </c>
      <c r="E2569" s="6" t="s">
        <v>1537</v>
      </c>
      <c r="F2569" s="6" t="s">
        <v>2100</v>
      </c>
      <c r="G2569" s="6">
        <v>45.91</v>
      </c>
      <c r="H2569" s="6">
        <v>45.91</v>
      </c>
      <c r="I2569" s="6">
        <v>52</v>
      </c>
      <c r="J2569" s="6">
        <v>1900</v>
      </c>
      <c r="K2569" s="7">
        <f>(J2569-M2569)*税费参数!$B$12/(I2569*10000*(1+SUM(税费参数!$B$6:$B$8)))</f>
        <v>0.0335723598435463</v>
      </c>
      <c r="L2569" s="7">
        <f>J2569*税费参数!$B$12/(I2569*10000)</f>
        <v>0.0365384615384615</v>
      </c>
      <c r="M2569" s="6">
        <f>I2569*10000*SUM(税费参数!$B$9:$B$10)/税费参数!$B$11</f>
        <v>97.5</v>
      </c>
    </row>
    <row r="2570" ht="21" customHeight="1" spans="1:13">
      <c r="A2570" s="5" t="s">
        <v>11</v>
      </c>
      <c r="B2570" s="6" t="s">
        <v>137</v>
      </c>
      <c r="C2570" s="6" t="s">
        <v>152</v>
      </c>
      <c r="D2570" s="6" t="s">
        <v>153</v>
      </c>
      <c r="E2570" s="6" t="s">
        <v>1537</v>
      </c>
      <c r="F2570" s="6" t="s">
        <v>2096</v>
      </c>
      <c r="G2570" s="6">
        <v>45.91</v>
      </c>
      <c r="H2570" s="6">
        <v>49.45</v>
      </c>
      <c r="I2570" s="6">
        <v>52</v>
      </c>
      <c r="J2570" s="6">
        <v>1700</v>
      </c>
      <c r="K2570" s="7">
        <f>(J2570-M2570)*税费参数!$B$12/(I2570*10000*(1+SUM(税费参数!$B$6:$B$8)))</f>
        <v>0.0298472713726951</v>
      </c>
      <c r="L2570" s="7">
        <f>J2570*税费参数!$B$12/(I2570*10000)</f>
        <v>0.0326923076923077</v>
      </c>
      <c r="M2570" s="6">
        <f>I2570*10000*SUM(税费参数!$B$9:$B$10)/税费参数!$B$11</f>
        <v>97.5</v>
      </c>
    </row>
    <row r="2571" ht="21" customHeight="1" spans="1:13">
      <c r="A2571" s="5" t="s">
        <v>11</v>
      </c>
      <c r="B2571" s="6" t="s">
        <v>137</v>
      </c>
      <c r="C2571" s="6" t="s">
        <v>152</v>
      </c>
      <c r="D2571" s="6" t="s">
        <v>153</v>
      </c>
      <c r="E2571" s="6" t="s">
        <v>1537</v>
      </c>
      <c r="F2571" s="6" t="s">
        <v>2097</v>
      </c>
      <c r="G2571" s="6">
        <v>45.91</v>
      </c>
      <c r="H2571" s="6">
        <v>51.3</v>
      </c>
      <c r="I2571" s="6">
        <v>52</v>
      </c>
      <c r="J2571" s="6">
        <v>1700</v>
      </c>
      <c r="K2571" s="7">
        <f>(J2571-M2571)*税费参数!$B$12/(I2571*10000*(1+SUM(税费参数!$B$6:$B$8)))</f>
        <v>0.0298472713726951</v>
      </c>
      <c r="L2571" s="7">
        <f>J2571*税费参数!$B$12/(I2571*10000)</f>
        <v>0.0326923076923077</v>
      </c>
      <c r="M2571" s="6">
        <f>I2571*10000*SUM(税费参数!$B$9:$B$10)/税费参数!$B$11</f>
        <v>97.5</v>
      </c>
    </row>
    <row r="2572" ht="21" customHeight="1" spans="1:13">
      <c r="A2572" s="5" t="s">
        <v>11</v>
      </c>
      <c r="B2572" s="6" t="s">
        <v>137</v>
      </c>
      <c r="C2572" s="6" t="s">
        <v>152</v>
      </c>
      <c r="D2572" s="6" t="s">
        <v>153</v>
      </c>
      <c r="E2572" s="6" t="s">
        <v>1537</v>
      </c>
      <c r="F2572" s="6" t="s">
        <v>2101</v>
      </c>
      <c r="G2572" s="6">
        <v>45.91</v>
      </c>
      <c r="H2572" s="6">
        <v>45.91</v>
      </c>
      <c r="I2572" s="6">
        <v>52</v>
      </c>
      <c r="J2572" s="6">
        <v>2000</v>
      </c>
      <c r="K2572" s="7">
        <f>(J2572-M2572)*税费参数!$B$12/(I2572*10000*(1+SUM(税费参数!$B$6:$B$8)))</f>
        <v>0.0354349040789719</v>
      </c>
      <c r="L2572" s="7">
        <f>J2572*税费参数!$B$12/(I2572*10000)</f>
        <v>0.0384615384615385</v>
      </c>
      <c r="M2572" s="6">
        <f>I2572*10000*SUM(税费参数!$B$9:$B$10)/税费参数!$B$11</f>
        <v>97.5</v>
      </c>
    </row>
    <row r="2573" ht="21" customHeight="1" spans="1:13">
      <c r="A2573" s="5" t="s">
        <v>11</v>
      </c>
      <c r="B2573" s="6" t="s">
        <v>137</v>
      </c>
      <c r="C2573" s="6" t="s">
        <v>152</v>
      </c>
      <c r="D2573" s="6" t="s">
        <v>153</v>
      </c>
      <c r="E2573" s="6" t="s">
        <v>1537</v>
      </c>
      <c r="F2573" s="6" t="s">
        <v>2098</v>
      </c>
      <c r="G2573" s="6">
        <v>45.91</v>
      </c>
      <c r="H2573" s="6">
        <v>51.3</v>
      </c>
      <c r="I2573" s="6">
        <v>52</v>
      </c>
      <c r="J2573" s="6">
        <v>1900</v>
      </c>
      <c r="K2573" s="7">
        <f>(J2573-M2573)*税费参数!$B$12/(I2573*10000*(1+SUM(税费参数!$B$6:$B$8)))</f>
        <v>0.0335723598435463</v>
      </c>
      <c r="L2573" s="7">
        <f>J2573*税费参数!$B$12/(I2573*10000)</f>
        <v>0.0365384615384615</v>
      </c>
      <c r="M2573" s="6">
        <f>I2573*10000*SUM(税费参数!$B$9:$B$10)/税费参数!$B$11</f>
        <v>97.5</v>
      </c>
    </row>
    <row r="2574" ht="21" customHeight="1" spans="1:13">
      <c r="A2574" s="5" t="s">
        <v>11</v>
      </c>
      <c r="B2574" s="6" t="s">
        <v>137</v>
      </c>
      <c r="C2574" s="6" t="s">
        <v>152</v>
      </c>
      <c r="D2574" s="6" t="s">
        <v>153</v>
      </c>
      <c r="E2574" s="6" t="s">
        <v>1537</v>
      </c>
      <c r="F2574" s="6" t="s">
        <v>2102</v>
      </c>
      <c r="G2574" s="6">
        <v>45.91</v>
      </c>
      <c r="H2574" s="6">
        <v>45.91</v>
      </c>
      <c r="I2574" s="6">
        <v>52</v>
      </c>
      <c r="J2574" s="6">
        <v>1700</v>
      </c>
      <c r="K2574" s="7">
        <f>(J2574-M2574)*税费参数!$B$12/(I2574*10000*(1+SUM(税费参数!$B$6:$B$8)))</f>
        <v>0.0298472713726951</v>
      </c>
      <c r="L2574" s="7">
        <f>J2574*税费参数!$B$12/(I2574*10000)</f>
        <v>0.0326923076923077</v>
      </c>
      <c r="M2574" s="6">
        <f>I2574*10000*SUM(税费参数!$B$9:$B$10)/税费参数!$B$11</f>
        <v>97.5</v>
      </c>
    </row>
    <row r="2575" ht="21" customHeight="1" spans="1:13">
      <c r="A2575" s="5" t="s">
        <v>11</v>
      </c>
      <c r="B2575" s="6" t="s">
        <v>137</v>
      </c>
      <c r="C2575" s="6" t="s">
        <v>152</v>
      </c>
      <c r="D2575" s="6" t="s">
        <v>153</v>
      </c>
      <c r="E2575" s="6" t="s">
        <v>1537</v>
      </c>
      <c r="F2575" s="6" t="s">
        <v>2103</v>
      </c>
      <c r="G2575" s="6">
        <v>45.91</v>
      </c>
      <c r="H2575" s="6">
        <v>45</v>
      </c>
      <c r="I2575" s="6">
        <v>52</v>
      </c>
      <c r="J2575" s="6">
        <v>2500</v>
      </c>
      <c r="K2575" s="7">
        <f>(J2575-M2575)*税费参数!$B$12/(I2575*10000*(1+SUM(税费参数!$B$6:$B$8)))</f>
        <v>0.0447476252560998</v>
      </c>
      <c r="L2575" s="7">
        <f>J2575*税费参数!$B$12/(I2575*10000)</f>
        <v>0.0480769230769231</v>
      </c>
      <c r="M2575" s="6">
        <f>I2575*10000*SUM(税费参数!$B$9:$B$10)/税费参数!$B$11</f>
        <v>97.5</v>
      </c>
    </row>
    <row r="2576" ht="21" customHeight="1" spans="1:13">
      <c r="A2576" s="5" t="s">
        <v>11</v>
      </c>
      <c r="B2576" s="6" t="s">
        <v>137</v>
      </c>
      <c r="C2576" s="6" t="s">
        <v>152</v>
      </c>
      <c r="D2576" s="6" t="s">
        <v>153</v>
      </c>
      <c r="E2576" s="6" t="s">
        <v>1537</v>
      </c>
      <c r="F2576" s="6" t="s">
        <v>2104</v>
      </c>
      <c r="G2576" s="6">
        <v>45.91</v>
      </c>
      <c r="H2576" s="6">
        <v>45.91</v>
      </c>
      <c r="I2576" s="6">
        <v>52</v>
      </c>
      <c r="J2576" s="6">
        <v>1750</v>
      </c>
      <c r="K2576" s="7">
        <f>(J2576-M2576)*税费参数!$B$12/(I2576*10000*(1+SUM(税费参数!$B$6:$B$8)))</f>
        <v>0.0307785434904079</v>
      </c>
      <c r="L2576" s="7">
        <f>J2576*税费参数!$B$12/(I2576*10000)</f>
        <v>0.0336538461538462</v>
      </c>
      <c r="M2576" s="6">
        <f>I2576*10000*SUM(税费参数!$B$9:$B$10)/税费参数!$B$11</f>
        <v>97.5</v>
      </c>
    </row>
    <row r="2577" ht="21" customHeight="1" spans="1:13">
      <c r="A2577" s="5" t="s">
        <v>11</v>
      </c>
      <c r="B2577" s="6" t="s">
        <v>137</v>
      </c>
      <c r="C2577" s="6" t="s">
        <v>152</v>
      </c>
      <c r="D2577" s="6" t="s">
        <v>153</v>
      </c>
      <c r="E2577" s="6" t="s">
        <v>1537</v>
      </c>
      <c r="F2577" s="6" t="s">
        <v>2105</v>
      </c>
      <c r="G2577" s="6">
        <v>45.91</v>
      </c>
      <c r="H2577" s="6">
        <v>45.91</v>
      </c>
      <c r="I2577" s="6">
        <v>52</v>
      </c>
      <c r="J2577" s="6">
        <v>1500</v>
      </c>
      <c r="K2577" s="7">
        <f>(J2577-M2577)*税费参数!$B$12/(I2577*10000*(1+SUM(税费参数!$B$6:$B$8)))</f>
        <v>0.0261221829018439</v>
      </c>
      <c r="L2577" s="7">
        <f>J2577*税费参数!$B$12/(I2577*10000)</f>
        <v>0.0288461538461538</v>
      </c>
      <c r="M2577" s="6">
        <f>I2577*10000*SUM(税费参数!$B$9:$B$10)/税费参数!$B$11</f>
        <v>97.5</v>
      </c>
    </row>
    <row r="2578" ht="21" customHeight="1" spans="1:13">
      <c r="A2578" s="5" t="s">
        <v>11</v>
      </c>
      <c r="B2578" s="6" t="s">
        <v>137</v>
      </c>
      <c r="C2578" s="6" t="s">
        <v>152</v>
      </c>
      <c r="D2578" s="6" t="s">
        <v>153</v>
      </c>
      <c r="E2578" s="6" t="s">
        <v>1529</v>
      </c>
      <c r="F2578" s="6" t="s">
        <v>2099</v>
      </c>
      <c r="G2578" s="6">
        <v>45.91</v>
      </c>
      <c r="H2578" s="6">
        <v>46.91</v>
      </c>
      <c r="I2578" s="6">
        <v>53</v>
      </c>
      <c r="J2578" s="6">
        <v>1800</v>
      </c>
      <c r="K2578" s="7">
        <f>(J2578-M2578)*税费参数!$B$12/(I2578*10000*(1+SUM(税费参数!$B$6:$B$8)))</f>
        <v>0.0310772534149573</v>
      </c>
      <c r="L2578" s="7">
        <f>J2578*税费参数!$B$12/(I2578*10000)</f>
        <v>0.0339622641509434</v>
      </c>
      <c r="M2578" s="6">
        <f>I2578*10000*SUM(税费参数!$B$9:$B$10)/税费参数!$B$11</f>
        <v>99.375</v>
      </c>
    </row>
    <row r="2579" ht="21" customHeight="1" spans="1:13">
      <c r="A2579" s="5" t="s">
        <v>11</v>
      </c>
      <c r="B2579" s="6" t="s">
        <v>137</v>
      </c>
      <c r="C2579" s="6" t="s">
        <v>152</v>
      </c>
      <c r="D2579" s="6" t="s">
        <v>153</v>
      </c>
      <c r="E2579" s="6" t="s">
        <v>1529</v>
      </c>
      <c r="F2579" s="6" t="s">
        <v>2100</v>
      </c>
      <c r="G2579" s="6">
        <v>45.91</v>
      </c>
      <c r="H2579" s="6">
        <v>45.91</v>
      </c>
      <c r="I2579" s="6">
        <v>53</v>
      </c>
      <c r="J2579" s="6">
        <v>1900</v>
      </c>
      <c r="K2579" s="7">
        <f>(J2579-M2579)*税费参数!$B$12/(I2579*10000*(1+SUM(税费参数!$B$6:$B$8)))</f>
        <v>0.0329046553063182</v>
      </c>
      <c r="L2579" s="7">
        <f>J2579*税费参数!$B$12/(I2579*10000)</f>
        <v>0.0358490566037736</v>
      </c>
      <c r="M2579" s="6">
        <f>I2579*10000*SUM(税费参数!$B$9:$B$10)/税费参数!$B$11</f>
        <v>99.375</v>
      </c>
    </row>
    <row r="2580" ht="21" customHeight="1" spans="1:13">
      <c r="A2580" s="5" t="s">
        <v>11</v>
      </c>
      <c r="B2580" s="6" t="s">
        <v>137</v>
      </c>
      <c r="C2580" s="6" t="s">
        <v>152</v>
      </c>
      <c r="D2580" s="6" t="s">
        <v>153</v>
      </c>
      <c r="E2580" s="6" t="s">
        <v>1529</v>
      </c>
      <c r="F2580" s="6" t="s">
        <v>2096</v>
      </c>
      <c r="G2580" s="6">
        <v>45.91</v>
      </c>
      <c r="H2580" s="6">
        <v>49.45</v>
      </c>
      <c r="I2580" s="6">
        <v>53</v>
      </c>
      <c r="J2580" s="6">
        <v>1700</v>
      </c>
      <c r="K2580" s="7">
        <f>(J2580-M2580)*税费参数!$B$12/(I2580*10000*(1+SUM(税费参数!$B$6:$B$8)))</f>
        <v>0.0292498515235963</v>
      </c>
      <c r="L2580" s="7">
        <f>J2580*税费参数!$B$12/(I2580*10000)</f>
        <v>0.0320754716981132</v>
      </c>
      <c r="M2580" s="6">
        <f>I2580*10000*SUM(税费参数!$B$9:$B$10)/税费参数!$B$11</f>
        <v>99.375</v>
      </c>
    </row>
    <row r="2581" ht="21" customHeight="1" spans="1:13">
      <c r="A2581" s="5" t="s">
        <v>11</v>
      </c>
      <c r="B2581" s="6" t="s">
        <v>137</v>
      </c>
      <c r="C2581" s="6" t="s">
        <v>152</v>
      </c>
      <c r="D2581" s="6" t="s">
        <v>153</v>
      </c>
      <c r="E2581" s="6" t="s">
        <v>1529</v>
      </c>
      <c r="F2581" s="6" t="s">
        <v>2097</v>
      </c>
      <c r="G2581" s="6">
        <v>45.91</v>
      </c>
      <c r="H2581" s="6">
        <v>51.3</v>
      </c>
      <c r="I2581" s="6">
        <v>53</v>
      </c>
      <c r="J2581" s="6">
        <v>1700</v>
      </c>
      <c r="K2581" s="7">
        <f>(J2581-M2581)*税费参数!$B$12/(I2581*10000*(1+SUM(税费参数!$B$6:$B$8)))</f>
        <v>0.0292498515235963</v>
      </c>
      <c r="L2581" s="7">
        <f>J2581*税费参数!$B$12/(I2581*10000)</f>
        <v>0.0320754716981132</v>
      </c>
      <c r="M2581" s="6">
        <f>I2581*10000*SUM(税费参数!$B$9:$B$10)/税费参数!$B$11</f>
        <v>99.375</v>
      </c>
    </row>
    <row r="2582" ht="21" customHeight="1" spans="1:13">
      <c r="A2582" s="5" t="s">
        <v>11</v>
      </c>
      <c r="B2582" s="6" t="s">
        <v>137</v>
      </c>
      <c r="C2582" s="6" t="s">
        <v>152</v>
      </c>
      <c r="D2582" s="6" t="s">
        <v>153</v>
      </c>
      <c r="E2582" s="6" t="s">
        <v>1529</v>
      </c>
      <c r="F2582" s="6" t="s">
        <v>2101</v>
      </c>
      <c r="G2582" s="6">
        <v>45.91</v>
      </c>
      <c r="H2582" s="6">
        <v>45.91</v>
      </c>
      <c r="I2582" s="6">
        <v>53</v>
      </c>
      <c r="J2582" s="6">
        <v>2000</v>
      </c>
      <c r="K2582" s="7">
        <f>(J2582-M2582)*税费参数!$B$12/(I2582*10000*(1+SUM(税费参数!$B$6:$B$8)))</f>
        <v>0.0347320571976792</v>
      </c>
      <c r="L2582" s="7">
        <f>J2582*税费参数!$B$12/(I2582*10000)</f>
        <v>0.0377358490566038</v>
      </c>
      <c r="M2582" s="6">
        <f>I2582*10000*SUM(税费参数!$B$9:$B$10)/税费参数!$B$11</f>
        <v>99.375</v>
      </c>
    </row>
    <row r="2583" ht="21" customHeight="1" spans="1:13">
      <c r="A2583" s="5" t="s">
        <v>11</v>
      </c>
      <c r="B2583" s="6" t="s">
        <v>137</v>
      </c>
      <c r="C2583" s="6" t="s">
        <v>152</v>
      </c>
      <c r="D2583" s="6" t="s">
        <v>153</v>
      </c>
      <c r="E2583" s="6" t="s">
        <v>1529</v>
      </c>
      <c r="F2583" s="6" t="s">
        <v>2098</v>
      </c>
      <c r="G2583" s="6">
        <v>45.91</v>
      </c>
      <c r="H2583" s="6">
        <v>51.3</v>
      </c>
      <c r="I2583" s="6">
        <v>53</v>
      </c>
      <c r="J2583" s="6">
        <v>1900</v>
      </c>
      <c r="K2583" s="7">
        <f>(J2583-M2583)*税费参数!$B$12/(I2583*10000*(1+SUM(税费参数!$B$6:$B$8)))</f>
        <v>0.0329046553063182</v>
      </c>
      <c r="L2583" s="7">
        <f>J2583*税费参数!$B$12/(I2583*10000)</f>
        <v>0.0358490566037736</v>
      </c>
      <c r="M2583" s="6">
        <f>I2583*10000*SUM(税费参数!$B$9:$B$10)/税费参数!$B$11</f>
        <v>99.375</v>
      </c>
    </row>
    <row r="2584" ht="21" customHeight="1" spans="1:13">
      <c r="A2584" s="5" t="s">
        <v>11</v>
      </c>
      <c r="B2584" s="6" t="s">
        <v>137</v>
      </c>
      <c r="C2584" s="6" t="s">
        <v>152</v>
      </c>
      <c r="D2584" s="6" t="s">
        <v>153</v>
      </c>
      <c r="E2584" s="6" t="s">
        <v>1529</v>
      </c>
      <c r="F2584" s="6" t="s">
        <v>2102</v>
      </c>
      <c r="G2584" s="6">
        <v>45.91</v>
      </c>
      <c r="H2584" s="6">
        <v>45.91</v>
      </c>
      <c r="I2584" s="6">
        <v>53</v>
      </c>
      <c r="J2584" s="6">
        <v>1700</v>
      </c>
      <c r="K2584" s="7">
        <f>(J2584-M2584)*税费参数!$B$12/(I2584*10000*(1+SUM(税费参数!$B$6:$B$8)))</f>
        <v>0.0292498515235963</v>
      </c>
      <c r="L2584" s="7">
        <f>J2584*税费参数!$B$12/(I2584*10000)</f>
        <v>0.0320754716981132</v>
      </c>
      <c r="M2584" s="6">
        <f>I2584*10000*SUM(税费参数!$B$9:$B$10)/税费参数!$B$11</f>
        <v>99.375</v>
      </c>
    </row>
    <row r="2585" ht="21" customHeight="1" spans="1:13">
      <c r="A2585" s="5" t="s">
        <v>11</v>
      </c>
      <c r="B2585" s="6" t="s">
        <v>137</v>
      </c>
      <c r="C2585" s="6" t="s">
        <v>152</v>
      </c>
      <c r="D2585" s="6" t="s">
        <v>153</v>
      </c>
      <c r="E2585" s="6" t="s">
        <v>1529</v>
      </c>
      <c r="F2585" s="6" t="s">
        <v>2103</v>
      </c>
      <c r="G2585" s="6">
        <v>45.91</v>
      </c>
      <c r="H2585" s="6">
        <v>45</v>
      </c>
      <c r="I2585" s="6">
        <v>53</v>
      </c>
      <c r="J2585" s="6">
        <v>2500</v>
      </c>
      <c r="K2585" s="7">
        <f>(J2585-M2585)*税费参数!$B$12/(I2585*10000*(1+SUM(税费参数!$B$6:$B$8)))</f>
        <v>0.043869066654484</v>
      </c>
      <c r="L2585" s="7">
        <f>J2585*税费参数!$B$12/(I2585*10000)</f>
        <v>0.0471698113207547</v>
      </c>
      <c r="M2585" s="6">
        <f>I2585*10000*SUM(税费参数!$B$9:$B$10)/税费参数!$B$11</f>
        <v>99.375</v>
      </c>
    </row>
    <row r="2586" ht="21" customHeight="1" spans="1:13">
      <c r="A2586" s="5" t="s">
        <v>11</v>
      </c>
      <c r="B2586" s="6" t="s">
        <v>137</v>
      </c>
      <c r="C2586" s="6" t="s">
        <v>152</v>
      </c>
      <c r="D2586" s="6" t="s">
        <v>153</v>
      </c>
      <c r="E2586" s="6" t="s">
        <v>1529</v>
      </c>
      <c r="F2586" s="6" t="s">
        <v>2104</v>
      </c>
      <c r="G2586" s="6">
        <v>45.91</v>
      </c>
      <c r="H2586" s="6">
        <v>45.91</v>
      </c>
      <c r="I2586" s="6">
        <v>53</v>
      </c>
      <c r="J2586" s="6">
        <v>1750</v>
      </c>
      <c r="K2586" s="7">
        <f>(J2586-M2586)*税费参数!$B$12/(I2586*10000*(1+SUM(税费参数!$B$6:$B$8)))</f>
        <v>0.0301635524692768</v>
      </c>
      <c r="L2586" s="7">
        <f>J2586*税费参数!$B$12/(I2586*10000)</f>
        <v>0.0330188679245283</v>
      </c>
      <c r="M2586" s="6">
        <f>I2586*10000*SUM(税费参数!$B$9:$B$10)/税费参数!$B$11</f>
        <v>99.375</v>
      </c>
    </row>
    <row r="2587" ht="21" customHeight="1" spans="1:13">
      <c r="A2587" s="5" t="s">
        <v>11</v>
      </c>
      <c r="B2587" s="6" t="s">
        <v>137</v>
      </c>
      <c r="C2587" s="6" t="s">
        <v>152</v>
      </c>
      <c r="D2587" s="6" t="s">
        <v>153</v>
      </c>
      <c r="E2587" s="6" t="s">
        <v>1529</v>
      </c>
      <c r="F2587" s="6" t="s">
        <v>2105</v>
      </c>
      <c r="G2587" s="6">
        <v>45.91</v>
      </c>
      <c r="H2587" s="6">
        <v>45.91</v>
      </c>
      <c r="I2587" s="6">
        <v>53</v>
      </c>
      <c r="J2587" s="6">
        <v>1500</v>
      </c>
      <c r="K2587" s="7">
        <f>(J2587-M2587)*税费参数!$B$12/(I2587*10000*(1+SUM(税费参数!$B$6:$B$8)))</f>
        <v>0.0255950477408744</v>
      </c>
      <c r="L2587" s="7">
        <f>J2587*税费参数!$B$12/(I2587*10000)</f>
        <v>0.0283018867924528</v>
      </c>
      <c r="M2587" s="6">
        <f>I2587*10000*SUM(税费参数!$B$9:$B$10)/税费参数!$B$11</f>
        <v>99.375</v>
      </c>
    </row>
    <row r="2588" ht="21" customHeight="1" spans="1:13">
      <c r="A2588" s="5" t="s">
        <v>11</v>
      </c>
      <c r="B2588" s="6" t="s">
        <v>139</v>
      </c>
      <c r="C2588" s="6" t="s">
        <v>152</v>
      </c>
      <c r="D2588" s="6" t="s">
        <v>153</v>
      </c>
      <c r="E2588" s="6" t="s">
        <v>1559</v>
      </c>
      <c r="F2588" s="6" t="s">
        <v>2106</v>
      </c>
      <c r="G2588" s="6">
        <v>52.68</v>
      </c>
      <c r="H2588" s="6">
        <v>46.44</v>
      </c>
      <c r="I2588" s="6">
        <v>55</v>
      </c>
      <c r="J2588" s="6">
        <v>1700</v>
      </c>
      <c r="K2588" s="7">
        <f>(J2588-M2588)*税费参数!$B$12/(I2588*10000*(1+SUM(税费参数!$B$6:$B$8)))</f>
        <v>0.0281201848998459</v>
      </c>
      <c r="L2588" s="7">
        <f>J2588*税费参数!$B$12/(I2588*10000)</f>
        <v>0.0309090909090909</v>
      </c>
      <c r="M2588" s="6">
        <f>I2588*10000*SUM(税费参数!$B$9:$B$10)/税费参数!$B$11</f>
        <v>103.125</v>
      </c>
    </row>
    <row r="2589" ht="21" customHeight="1" spans="1:13">
      <c r="A2589" s="5" t="s">
        <v>11</v>
      </c>
      <c r="B2589" s="6" t="s">
        <v>139</v>
      </c>
      <c r="C2589" s="6" t="s">
        <v>152</v>
      </c>
      <c r="D2589" s="6" t="s">
        <v>153</v>
      </c>
      <c r="E2589" s="6" t="s">
        <v>1561</v>
      </c>
      <c r="F2589" s="6" t="s">
        <v>2106</v>
      </c>
      <c r="G2589" s="6">
        <v>51.54</v>
      </c>
      <c r="H2589" s="6">
        <v>46.44</v>
      </c>
      <c r="I2589" s="6">
        <v>58</v>
      </c>
      <c r="J2589" s="6">
        <v>1700</v>
      </c>
      <c r="K2589" s="7">
        <f>(J2589-M2589)*税费参数!$B$12/(I2589*10000*(1+SUM(税费参数!$B$6:$B$8)))</f>
        <v>0.0265717625448777</v>
      </c>
      <c r="L2589" s="7">
        <f>J2589*税费参数!$B$12/(I2589*10000)</f>
        <v>0.0293103448275862</v>
      </c>
      <c r="M2589" s="6">
        <f>I2589*10000*SUM(税费参数!$B$9:$B$10)/税费参数!$B$11</f>
        <v>108.75</v>
      </c>
    </row>
    <row r="2590" ht="21" customHeight="1" spans="1:13">
      <c r="A2590" s="5" t="s">
        <v>11</v>
      </c>
      <c r="B2590" s="6" t="s">
        <v>135</v>
      </c>
      <c r="C2590" s="6" t="s">
        <v>152</v>
      </c>
      <c r="D2590" s="6" t="s">
        <v>160</v>
      </c>
      <c r="E2590" s="6" t="s">
        <v>1571</v>
      </c>
      <c r="F2590" s="6" t="s">
        <v>2107</v>
      </c>
      <c r="G2590" s="6">
        <v>46.67</v>
      </c>
      <c r="H2590" s="6">
        <v>46.5</v>
      </c>
      <c r="I2590" s="6">
        <v>35</v>
      </c>
      <c r="J2590" s="6">
        <v>1500</v>
      </c>
      <c r="K2590" s="7">
        <f>(J2590-M2590)*税费参数!$B$12/(I2590*10000*(1+SUM(税费参数!$B$6:$B$8)))</f>
        <v>0.0396921480456589</v>
      </c>
      <c r="L2590" s="7">
        <f>J2590*税费参数!$B$12/(I2590*10000)</f>
        <v>0.0428571428571429</v>
      </c>
      <c r="M2590" s="6">
        <f>I2590*10000*SUM(税费参数!$B$9:$B$10)/税费参数!$B$11</f>
        <v>65.625</v>
      </c>
    </row>
    <row r="2591" ht="21" customHeight="1" spans="1:13">
      <c r="A2591" s="5" t="s">
        <v>11</v>
      </c>
      <c r="B2591" s="6" t="s">
        <v>135</v>
      </c>
      <c r="C2591" s="6" t="s">
        <v>152</v>
      </c>
      <c r="D2591" s="6" t="s">
        <v>160</v>
      </c>
      <c r="E2591" s="6" t="s">
        <v>1571</v>
      </c>
      <c r="F2591" s="6" t="s">
        <v>2108</v>
      </c>
      <c r="G2591" s="6">
        <v>46.67</v>
      </c>
      <c r="H2591" s="6">
        <v>46.5</v>
      </c>
      <c r="I2591" s="6">
        <v>35</v>
      </c>
      <c r="J2591" s="6">
        <v>1800</v>
      </c>
      <c r="K2591" s="7">
        <f>(J2591-M2591)*税费参数!$B$12/(I2591*10000*(1+SUM(税费参数!$B$6:$B$8)))</f>
        <v>0.0479937737806987</v>
      </c>
      <c r="L2591" s="7">
        <f>J2591*税费参数!$B$12/(I2591*10000)</f>
        <v>0.0514285714285714</v>
      </c>
      <c r="M2591" s="6">
        <f>I2591*10000*SUM(税费参数!$B$9:$B$10)/税费参数!$B$11</f>
        <v>65.625</v>
      </c>
    </row>
    <row r="2592" ht="21" customHeight="1" spans="1:13">
      <c r="A2592" s="5" t="s">
        <v>11</v>
      </c>
      <c r="B2592" s="6" t="s">
        <v>135</v>
      </c>
      <c r="C2592" s="6" t="s">
        <v>152</v>
      </c>
      <c r="D2592" s="6" t="s">
        <v>160</v>
      </c>
      <c r="E2592" s="6" t="s">
        <v>1569</v>
      </c>
      <c r="F2592" s="6" t="s">
        <v>2107</v>
      </c>
      <c r="G2592" s="6">
        <v>46.5</v>
      </c>
      <c r="H2592" s="6">
        <v>46.5</v>
      </c>
      <c r="I2592" s="6">
        <v>35</v>
      </c>
      <c r="J2592" s="6">
        <v>1500</v>
      </c>
      <c r="K2592" s="7">
        <f>(J2592-M2592)*税费参数!$B$12/(I2592*10000*(1+SUM(税费参数!$B$6:$B$8)))</f>
        <v>0.0396921480456589</v>
      </c>
      <c r="L2592" s="7">
        <f>J2592*税费参数!$B$12/(I2592*10000)</f>
        <v>0.0428571428571429</v>
      </c>
      <c r="M2592" s="6">
        <f>I2592*10000*SUM(税费参数!$B$9:$B$10)/税费参数!$B$11</f>
        <v>65.625</v>
      </c>
    </row>
    <row r="2593" ht="21" customHeight="1" spans="1:13">
      <c r="A2593" s="5" t="s">
        <v>11</v>
      </c>
      <c r="B2593" s="6" t="s">
        <v>135</v>
      </c>
      <c r="C2593" s="6" t="s">
        <v>152</v>
      </c>
      <c r="D2593" s="6" t="s">
        <v>160</v>
      </c>
      <c r="E2593" s="6" t="s">
        <v>1569</v>
      </c>
      <c r="F2593" s="6" t="s">
        <v>2108</v>
      </c>
      <c r="G2593" s="6">
        <v>46.5</v>
      </c>
      <c r="H2593" s="6">
        <v>46.5</v>
      </c>
      <c r="I2593" s="6">
        <v>35</v>
      </c>
      <c r="J2593" s="6">
        <v>1800</v>
      </c>
      <c r="K2593" s="7">
        <f>(J2593-M2593)*税费参数!$B$12/(I2593*10000*(1+SUM(税费参数!$B$6:$B$8)))</f>
        <v>0.0479937737806987</v>
      </c>
      <c r="L2593" s="7">
        <f>J2593*税费参数!$B$12/(I2593*10000)</f>
        <v>0.0514285714285714</v>
      </c>
      <c r="M2593" s="6">
        <f>I2593*10000*SUM(税费参数!$B$9:$B$10)/税费参数!$B$11</f>
        <v>65.625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商圈对比</vt:lpstr>
      <vt:lpstr>税费参数</vt:lpstr>
      <vt:lpstr>小区汇总</vt:lpstr>
      <vt:lpstr>户型汇总</vt:lpstr>
      <vt:lpstr>出售逐套</vt:lpstr>
      <vt:lpstr>租金配对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边思宇</cp:lastModifiedBy>
  <dcterms:created xsi:type="dcterms:W3CDTF">2026-10-27T09:13:38Z</dcterms:created>
  <dcterms:modified xsi:type="dcterms:W3CDTF">2026-10-27T09:14:40Z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74B78FA54553162A00FBDF6AE83B2636_42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